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欠陥ダッシュボード" sheetId="2" state="visible" r:id="rId2"/>
    <sheet name="要対応一覧" sheetId="3" state="visible" r:id="rId3"/>
    <sheet name="進捗サマリー" sheetId="4" state="visible" r:id="rId4"/>
    <sheet name="欠陥サマリー" sheetId="5" state="visible" r:id="rId5"/>
    <sheet name="欠陥詳細" sheetId="6" state="visible" r:id="rId6"/>
    <sheet name="明細" sheetId="7" state="visible" r:id="rId7"/>
    <sheet name="祝日マス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FFFFFF"/>
      <sz val="11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ダッシュボード</t>
        </is>
      </c>
    </row>
    <row r="2" ht="20" customHeight="1">
      <c r="A2" s="2" t="inlineStr">
        <is>
          <t>セクション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メタ情報</t>
        </is>
      </c>
      <c r="B3" s="3" t="inlineStr">
        <is>
          <t>基準日</t>
        </is>
      </c>
      <c r="C3" s="3" t="inlineStr">
        <is>
          <t>進捗判定の基準となる日付（本日）</t>
        </is>
      </c>
      <c r="D3" s="3" t="inlineStr">
        <is>
          <t>システム日付</t>
        </is>
      </c>
      <c r="E3" s="3" t="inlineStr">
        <is>
          <t>B2セル。他シートから参照される</t>
        </is>
      </c>
    </row>
    <row r="4">
      <c r="A4" s="3" t="inlineStr">
        <is>
          <t>メタ情報</t>
        </is>
      </c>
      <c r="B4" s="3" t="inlineStr">
        <is>
          <t>週範囲From / To</t>
        </is>
      </c>
      <c r="C4" s="3" t="inlineStr">
        <is>
          <t>週次集計の開始日・終了日</t>
        </is>
      </c>
      <c r="D4" s="3" t="inlineStr">
        <is>
          <t>ユーザー指定 or デフォルト</t>
        </is>
      </c>
      <c r="E4" s="3" t="inlineStr">
        <is>
          <t>G2 / I2セル</t>
        </is>
      </c>
    </row>
    <row r="5">
      <c r="A5" s="3" t="inlineStr">
        <is>
          <t>実施進捗</t>
        </is>
      </c>
      <c r="B5" s="3" t="inlineStr">
        <is>
          <t>チーム</t>
        </is>
      </c>
      <c r="C5" s="3" t="inlineStr">
        <is>
          <t>チーム名（全体＋各チーム）</t>
        </is>
      </c>
      <c r="D5" s="3" t="inlineStr">
        <is>
          <t>ファイル名パターンから自動識別</t>
        </is>
      </c>
      <c r="E5" s="3" t="inlineStr"/>
    </row>
    <row r="6">
      <c r="A6" s="3" t="inlineStr">
        <is>
          <t>実施進捗</t>
        </is>
      </c>
      <c r="B6" s="3" t="inlineStr">
        <is>
          <t>日次_予定</t>
        </is>
      </c>
      <c r="C6" s="3" t="inlineStr">
        <is>
          <t>基準日の実施予定件数</t>
        </is>
      </c>
      <c r="D6" s="3" t="inlineStr">
        <is>
          <t>INDEX/MATCH(進捗サマリー!D列, 基準日)</t>
        </is>
      </c>
      <c r="E6" s="3" t="inlineStr"/>
    </row>
    <row r="7">
      <c r="A7" s="3" t="inlineStr">
        <is>
          <t>実施進捗</t>
        </is>
      </c>
      <c r="B7" s="3" t="inlineStr">
        <is>
          <t>日次_実績</t>
        </is>
      </c>
      <c r="C7" s="3" t="inlineStr">
        <is>
          <t>基準日の実施実績件数</t>
        </is>
      </c>
      <c r="D7" s="3" t="inlineStr">
        <is>
          <t>INDEX/MATCH(進捗サマリー!E列, 基準日)</t>
        </is>
      </c>
      <c r="E7" s="3" t="inlineStr"/>
    </row>
    <row r="8">
      <c r="A8" s="3" t="inlineStr">
        <is>
          <t>実施進捗</t>
        </is>
      </c>
      <c r="B8" s="3" t="inlineStr">
        <is>
          <t>週次_予定</t>
        </is>
      </c>
      <c r="C8" s="3" t="inlineStr">
        <is>
          <t>週範囲内の実施予定件数</t>
        </is>
      </c>
      <c r="D8" s="3" t="inlineStr">
        <is>
          <t>SUMIFS(進捗サマリー!D列, From〜To)</t>
        </is>
      </c>
      <c r="E8" s="3" t="inlineStr"/>
    </row>
    <row r="9">
      <c r="A9" s="3" t="inlineStr">
        <is>
          <t>実施進捗</t>
        </is>
      </c>
      <c r="B9" s="3" t="inlineStr">
        <is>
          <t>週次_実績</t>
        </is>
      </c>
      <c r="C9" s="3" t="inlineStr">
        <is>
          <t>週範囲内の実施実績件数</t>
        </is>
      </c>
      <c r="D9" s="3" t="inlineStr">
        <is>
          <t>SUMIFS(進捗サマリー!E列, From〜To)</t>
        </is>
      </c>
      <c r="E9" s="3" t="inlineStr"/>
    </row>
    <row r="10">
      <c r="A10" s="3" t="inlineStr">
        <is>
          <t>実施進捗</t>
        </is>
      </c>
      <c r="B10" s="3" t="inlineStr">
        <is>
          <t>週次_残数</t>
        </is>
      </c>
      <c r="C10" s="3" t="inlineStr">
        <is>
          <t>週次の未実施件数</t>
        </is>
      </c>
      <c r="D10" s="3" t="inlineStr">
        <is>
          <t>週次予定 − 週次実績</t>
        </is>
      </c>
      <c r="E10" s="3" t="inlineStr"/>
    </row>
    <row r="11">
      <c r="A11" s="3" t="inlineStr">
        <is>
          <t>実施進捗</t>
        </is>
      </c>
      <c r="B11" s="3" t="inlineStr">
        <is>
          <t>週次_遅延</t>
        </is>
      </c>
      <c r="C11" s="3" t="inlineStr">
        <is>
          <t>週次で遅延している件数</t>
        </is>
      </c>
      <c r="D11" s="3" t="inlineStr">
        <is>
          <t>IF(残数&gt;0, 残数, 0)</t>
        </is>
      </c>
      <c r="E11" s="3" t="inlineStr"/>
    </row>
    <row r="12">
      <c r="A12" s="3" t="inlineStr">
        <is>
          <t>実施進捗</t>
        </is>
      </c>
      <c r="B12" s="3" t="inlineStr">
        <is>
          <t>総数</t>
        </is>
      </c>
      <c r="C12" s="3" t="inlineStr">
        <is>
          <t>テストケース総数（実施）</t>
        </is>
      </c>
      <c r="D12" s="3" t="inlineStr">
        <is>
          <t>進捗サマリー合計行!D列</t>
        </is>
      </c>
      <c r="E12" s="3" t="inlineStr"/>
    </row>
    <row r="13">
      <c r="A13" s="3" t="inlineStr">
        <is>
          <t>実施進捗</t>
        </is>
      </c>
      <c r="B13" s="3" t="inlineStr">
        <is>
          <t>予定累計</t>
        </is>
      </c>
      <c r="C13" s="3" t="inlineStr">
        <is>
          <t>基準日までの実施予定累計</t>
        </is>
      </c>
      <c r="D13" s="3" t="inlineStr">
        <is>
          <t>INDEX/MATCH(進捗サマリー!G列, 基準日)</t>
        </is>
      </c>
      <c r="E13" s="3" t="inlineStr"/>
    </row>
    <row r="14">
      <c r="A14" s="3" t="inlineStr">
        <is>
          <t>実施進捗</t>
        </is>
      </c>
      <c r="B14" s="3" t="inlineStr">
        <is>
          <t>実績累計</t>
        </is>
      </c>
      <c r="C14" s="3" t="inlineStr">
        <is>
          <t>基準日までの実施実績累計</t>
        </is>
      </c>
      <c r="D14" s="3" t="inlineStr">
        <is>
          <t>INDEX/MATCH(進捗サマリー!H列, 基準日)</t>
        </is>
      </c>
      <c r="E14" s="3" t="inlineStr"/>
    </row>
    <row r="15">
      <c r="A15" s="3" t="inlineStr">
        <is>
          <t>実施進捗</t>
        </is>
      </c>
      <c r="B15" s="3" t="inlineStr">
        <is>
          <t>残数</t>
        </is>
      </c>
      <c r="C15" s="3" t="inlineStr">
        <is>
          <t>実施の未消化総数</t>
        </is>
      </c>
      <c r="D15" s="3" t="inlineStr">
        <is>
          <t>総数 − 実績累計</t>
        </is>
      </c>
      <c r="E15" s="3" t="inlineStr"/>
    </row>
    <row r="16">
      <c r="A16" s="3" t="inlineStr">
        <is>
          <t>実施進捗</t>
        </is>
      </c>
      <c r="B16" s="3" t="inlineStr">
        <is>
          <t>遅延</t>
        </is>
      </c>
      <c r="C16" s="3" t="inlineStr">
        <is>
          <t>予定に対して遅延している件数</t>
        </is>
      </c>
      <c r="D16" s="3" t="inlineStr">
        <is>
          <t>MAX(0, 予定累計 − 実績累計)</t>
        </is>
      </c>
      <c r="E16" s="3" t="inlineStr"/>
    </row>
    <row r="17">
      <c r="A17" s="3" t="inlineStr">
        <is>
          <t>実施進捗</t>
        </is>
      </c>
      <c r="B17" s="3" t="inlineStr">
        <is>
          <t>予定消化率</t>
        </is>
      </c>
      <c r="C17" s="3" t="inlineStr">
        <is>
          <t>予定ベースの消化率</t>
        </is>
      </c>
      <c r="D17" s="3" t="inlineStr">
        <is>
          <t>IF(総数=0, 0, 予定累計/総数)</t>
        </is>
      </c>
      <c r="E17" s="3" t="inlineStr">
        <is>
          <t>% 表示</t>
        </is>
      </c>
    </row>
    <row r="18">
      <c r="A18" s="3" t="inlineStr">
        <is>
          <t>実施進捗</t>
        </is>
      </c>
      <c r="B18" s="3" t="inlineStr">
        <is>
          <t>実績消化率</t>
        </is>
      </c>
      <c r="C18" s="3" t="inlineStr">
        <is>
          <t>実績ベースの消化率</t>
        </is>
      </c>
      <c r="D18" s="3" t="inlineStr">
        <is>
          <t>IF(総数=0, 0, 実績累計/総数)</t>
        </is>
      </c>
      <c r="E18" s="3" t="inlineStr">
        <is>
          <t>% 表示</t>
        </is>
      </c>
    </row>
    <row r="19">
      <c r="A19" s="3" t="inlineStr">
        <is>
          <t>実施進捗</t>
        </is>
      </c>
      <c r="B19" s="3" t="inlineStr">
        <is>
          <t>予実差</t>
        </is>
      </c>
      <c r="C19" s="3" t="inlineStr">
        <is>
          <t>予定消化率と実績消化率の差</t>
        </is>
      </c>
      <c r="D19" s="3" t="inlineStr">
        <is>
          <t>実績消化率 − 予定消化率</t>
        </is>
      </c>
      <c r="E19" s="3" t="inlineStr">
        <is>
          <t>マイナス＝遅延（赤表示）</t>
        </is>
      </c>
    </row>
    <row r="20">
      <c r="A20" s="3" t="inlineStr">
        <is>
          <t>実施進捗</t>
        </is>
      </c>
      <c r="B20" s="3" t="inlineStr">
        <is>
          <t>状態</t>
        </is>
      </c>
      <c r="C20" s="3" t="inlineStr">
        <is>
          <t>進捗状態の判定</t>
        </is>
      </c>
      <c r="D20" s="3" t="inlineStr">
        <is>
          <t>IF(実績累計&gt;=総数, "完了", IF(遅延&gt;0, "遅延", "順調"))</t>
        </is>
      </c>
      <c r="E20" s="3" t="inlineStr">
        <is>
          <t>条件付き書式で色分け</t>
        </is>
      </c>
    </row>
    <row r="21">
      <c r="A21" s="3" t="inlineStr">
        <is>
          <t>検証進捗</t>
        </is>
      </c>
      <c r="B21" s="3" t="inlineStr">
        <is>
          <t>（各項目）</t>
        </is>
      </c>
      <c r="C21" s="3" t="inlineStr">
        <is>
          <t>実施進捗と同じ構成で検証者データを集計</t>
        </is>
      </c>
      <c r="D21" s="3" t="inlineStr">
        <is>
          <t>進捗サマリーのK〜Q列を参照</t>
        </is>
      </c>
      <c r="E21" s="3" t="inlineStr">
        <is>
          <t>構造は実施と同一</t>
        </is>
      </c>
    </row>
    <row r="22">
      <c r="A22" s="3" t="inlineStr">
        <is>
          <t>進捗推移チャート</t>
        </is>
      </c>
      <c r="B22" s="3" t="inlineStr">
        <is>
          <t>実施チャート</t>
        </is>
      </c>
      <c r="C22" s="3" t="inlineStr">
        <is>
          <t>予定累計 vs 実績累計の折れ線グラフ</t>
        </is>
      </c>
      <c r="D22" s="3" t="inlineStr">
        <is>
          <t>進捗サマリー G列(予定), H列(実績)</t>
        </is>
      </c>
      <c r="E22" s="3" t="inlineStr">
        <is>
          <t>チーム別に生成</t>
        </is>
      </c>
    </row>
    <row r="23">
      <c r="A23" s="3" t="inlineStr">
        <is>
          <t>進捗推移チャート</t>
        </is>
      </c>
      <c r="B23" s="3" t="inlineStr">
        <is>
          <t>検証チャート</t>
        </is>
      </c>
      <c r="C23" s="3" t="inlineStr">
        <is>
          <t>予定累計 vs 実績累計の折れ線グラフ</t>
        </is>
      </c>
      <c r="D23" s="3" t="inlineStr">
        <is>
          <t>進捗サマリー N列(予定), O列(実績)</t>
        </is>
      </c>
      <c r="E23" s="3" t="inlineStr">
        <is>
          <t>チーム別に生成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欠陥ダッシュボード</t>
        </is>
      </c>
    </row>
    <row r="2" ht="20" customHeight="1">
      <c r="A2" s="2" t="inlineStr">
        <is>
          <t>セクション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メタ情報</t>
        </is>
      </c>
      <c r="B3" s="3" t="inlineStr">
        <is>
          <t>基準日 / 週範囲</t>
        </is>
      </c>
      <c r="C3" s="3" t="inlineStr">
        <is>
          <t>ダッシュボードと同じ基準日・週範囲</t>
        </is>
      </c>
      <c r="D3" s="3">
        <f>ダッシュボード!$B$2 等を参照</f>
        <v/>
      </c>
      <c r="E3" s="3" t="inlineStr"/>
    </row>
    <row r="4">
      <c r="A4" s="3" t="inlineStr">
        <is>
          <t>欠陥サマリー</t>
        </is>
      </c>
      <c r="B4" s="3" t="inlineStr">
        <is>
          <t>チーム</t>
        </is>
      </c>
      <c r="C4" s="3" t="inlineStr">
        <is>
          <t>チーム名（全体＋各チーム）</t>
        </is>
      </c>
      <c r="D4" s="3" t="inlineStr">
        <is>
          <t>欠陥詳細シートのA列</t>
        </is>
      </c>
      <c r="E4" s="3" t="inlineStr"/>
    </row>
    <row r="5">
      <c r="A5" s="3" t="inlineStr">
        <is>
          <t>欠陥サマリー</t>
        </is>
      </c>
      <c r="B5" s="3" t="inlineStr">
        <is>
          <t>対応状況別件数</t>
        </is>
      </c>
      <c r="C5" s="3" t="inlineStr">
        <is>
          <t>対応状況ごとの欠陥件数</t>
        </is>
      </c>
      <c r="D5" s="3" t="inlineStr">
        <is>
          <t>COUNTIFS(欠陥詳細!C列, 対応状況)</t>
        </is>
      </c>
      <c r="E5" s="3" t="inlineStr">
        <is>
          <t>状況の種類は動的</t>
        </is>
      </c>
    </row>
    <row r="6">
      <c r="A6" s="3" t="inlineStr">
        <is>
          <t>欠陥サマリー</t>
        </is>
      </c>
      <c r="B6" s="3" t="inlineStr">
        <is>
          <t>合計</t>
        </is>
      </c>
      <c r="C6" s="3" t="inlineStr">
        <is>
          <t>欠陥の合計件数</t>
        </is>
      </c>
      <c r="D6" s="3" t="inlineStr">
        <is>
          <t>各対応状況の合算</t>
        </is>
      </c>
      <c r="E6" s="3" t="inlineStr"/>
    </row>
    <row r="7">
      <c r="A7" s="3" t="inlineStr">
        <is>
          <t>欠陥サマリー</t>
        </is>
      </c>
      <c r="B7" s="3" t="inlineStr">
        <is>
          <t>新規検出</t>
        </is>
      </c>
      <c r="C7" s="3" t="inlineStr">
        <is>
          <t>基準日に新たに検出された件数</t>
        </is>
      </c>
      <c r="D7" s="3" t="inlineStr">
        <is>
          <t>COUNTIFS(発見日 = 基準日〜前営業日)</t>
        </is>
      </c>
      <c r="E7" s="3" t="inlineStr"/>
    </row>
    <row r="8">
      <c r="A8" s="3" t="inlineStr">
        <is>
          <t>欠陥サマリー</t>
        </is>
      </c>
      <c r="B8" s="3" t="inlineStr">
        <is>
          <t>週検出</t>
        </is>
      </c>
      <c r="C8" s="3" t="inlineStr">
        <is>
          <t>週範囲内に検出された件数</t>
        </is>
      </c>
      <c r="D8" s="3" t="inlineStr">
        <is>
          <t>COUNTIFS(発見日 = From〜To)</t>
        </is>
      </c>
      <c r="E8" s="3" t="inlineStr"/>
    </row>
    <row r="9">
      <c r="A9" s="3" t="inlineStr">
        <is>
          <t>欠陥サマリー</t>
        </is>
      </c>
      <c r="B9" s="3" t="inlineStr">
        <is>
          <t>累積検出</t>
        </is>
      </c>
      <c r="C9" s="3" t="inlineStr">
        <is>
          <t>全期間の累積検出件数</t>
        </is>
      </c>
      <c r="D9" s="3" t="inlineStr">
        <is>
          <t>COUNTA(対応状況列)</t>
        </is>
      </c>
      <c r="E9" s="3" t="inlineStr"/>
    </row>
    <row r="10">
      <c r="A10" s="3" t="inlineStr">
        <is>
          <t>予定超過・滞留</t>
        </is>
      </c>
      <c r="B10" s="3" t="inlineStr">
        <is>
          <t>未完了</t>
        </is>
      </c>
      <c r="C10" s="3" t="inlineStr">
        <is>
          <t>検証未完了の欠陥数</t>
        </is>
      </c>
      <c r="D10" s="3" t="inlineStr">
        <is>
          <t>COUNTBLANK(検証日列)</t>
        </is>
      </c>
      <c r="E10" s="3" t="inlineStr"/>
    </row>
    <row r="11">
      <c r="A11" s="3" t="inlineStr">
        <is>
          <t>予定超過・滞留</t>
        </is>
      </c>
      <c r="B11" s="3" t="inlineStr">
        <is>
          <t>予定超過_調査</t>
        </is>
      </c>
      <c r="C11" s="3" t="inlineStr">
        <is>
          <t>調査予定日を超過した件数</t>
        </is>
      </c>
      <c r="D11" s="3" t="inlineStr">
        <is>
          <t>COUNTIFS(調査予定日&lt;基準日, 調査完了日=空)</t>
        </is>
      </c>
      <c r="E11" s="3" t="inlineStr"/>
    </row>
    <row r="12">
      <c r="A12" s="3" t="inlineStr">
        <is>
          <t>予定超過・滞留</t>
        </is>
      </c>
      <c r="B12" s="3" t="inlineStr">
        <is>
          <t>予定超過_対応</t>
        </is>
      </c>
      <c r="C12" s="3" t="inlineStr">
        <is>
          <t>対応予定日を超過した件数</t>
        </is>
      </c>
      <c r="D12" s="3" t="inlineStr">
        <is>
          <t>COUNTIFS(対応予定日&lt;基準日, 対応日=空)</t>
        </is>
      </c>
      <c r="E12" s="3" t="inlineStr"/>
    </row>
    <row r="13">
      <c r="A13" s="3" t="inlineStr">
        <is>
          <t>予定超過・滞留</t>
        </is>
      </c>
      <c r="B13" s="3" t="inlineStr">
        <is>
          <t>予定超過_横展開</t>
        </is>
      </c>
      <c r="C13" s="3" t="inlineStr">
        <is>
          <t>横展開予定日を超過した件数</t>
        </is>
      </c>
      <c r="D13" s="3" t="inlineStr">
        <is>
          <t>COUNTIFS(横展開=有, 完了予定日&lt;基準日, 完了日=空)</t>
        </is>
      </c>
      <c r="E13" s="3" t="inlineStr"/>
    </row>
    <row r="14">
      <c r="A14" s="3" t="inlineStr">
        <is>
          <t>予定超過・滞留</t>
        </is>
      </c>
      <c r="B14" s="3" t="inlineStr">
        <is>
          <t>予定超過_検証</t>
        </is>
      </c>
      <c r="C14" s="3" t="inlineStr">
        <is>
          <t>検証予定日を超過した件数</t>
        </is>
      </c>
      <c r="D14" s="3" t="inlineStr">
        <is>
          <t>COUNTIFS(リリース予定日&lt;基準日, 検証日=空)</t>
        </is>
      </c>
      <c r="E14" s="3" t="inlineStr"/>
    </row>
    <row r="15">
      <c r="A15" s="3" t="inlineStr">
        <is>
          <t>予定超過・滞留</t>
        </is>
      </c>
      <c r="B15" s="3" t="inlineStr">
        <is>
          <t>滞留(7日超)_各項目</t>
        </is>
      </c>
      <c r="C15" s="3" t="inlineStr">
        <is>
          <t>7日以上滞留している件数</t>
        </is>
      </c>
      <c r="D15" s="3" t="inlineStr">
        <is>
          <t>同上条件 + 基準日−7日で判定</t>
        </is>
      </c>
      <c r="E15" s="3" t="inlineStr"/>
    </row>
    <row r="16">
      <c r="A16" s="3" t="inlineStr">
        <is>
          <t>緊急度別</t>
        </is>
      </c>
      <c r="B16" s="3" t="inlineStr">
        <is>
          <t>緊急度別欠陥数</t>
        </is>
      </c>
      <c r="C16" s="3" t="inlineStr">
        <is>
          <t>緊急度の値ごとの欠陥件数</t>
        </is>
      </c>
      <c r="D16" s="3" t="inlineStr">
        <is>
          <t>COUNTIFS(欠陥詳細!G列, 緊急度)</t>
        </is>
      </c>
      <c r="E16" s="3" t="inlineStr">
        <is>
          <t>チーム×緊急度のマトリクス</t>
        </is>
      </c>
    </row>
    <row r="17">
      <c r="A17" s="3" t="inlineStr">
        <is>
          <t>業務機能分類</t>
        </is>
      </c>
      <c r="B17" s="3" t="inlineStr">
        <is>
          <t>機能分類別件数</t>
        </is>
      </c>
      <c r="C17" s="3" t="inlineStr">
        <is>
          <t>業務機能分類ごとの欠陥件数</t>
        </is>
      </c>
      <c r="D17" s="3" t="inlineStr">
        <is>
          <t>COUNTIFS(欠陥詳細!F列, 分類名)</t>
        </is>
      </c>
      <c r="E17" s="3" t="inlineStr">
        <is>
          <t>円グラフ付き</t>
        </is>
      </c>
    </row>
    <row r="18">
      <c r="A18" s="3" t="inlineStr">
        <is>
          <t>欠陥原因（深層）</t>
        </is>
      </c>
      <c r="B18" s="3" t="inlineStr">
        <is>
          <t>原因別件数</t>
        </is>
      </c>
      <c r="C18" s="3" t="inlineStr">
        <is>
          <t>欠陥原因ごとの欠陥件数</t>
        </is>
      </c>
      <c r="D18" s="3" t="inlineStr">
        <is>
          <t>COUNTIFS(欠陥詳細!K列, 原因名)</t>
        </is>
      </c>
      <c r="E18" s="3" t="inlineStr">
        <is>
          <t>円グラフ付き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要対応一覧</t>
        </is>
      </c>
    </row>
    <row r="2" ht="20" customHeight="1">
      <c r="A2" s="2" t="inlineStr">
        <is>
          <t>セクション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メタ情報</t>
        </is>
      </c>
      <c r="B3" s="3" t="inlineStr">
        <is>
          <t>基準日</t>
        </is>
      </c>
      <c r="C3" s="3" t="inlineStr">
        <is>
          <t>判定基準日</t>
        </is>
      </c>
      <c r="D3" s="3" t="inlineStr">
        <is>
          <t>システム日付</t>
        </is>
      </c>
      <c r="E3" s="3" t="inlineStr"/>
    </row>
    <row r="4">
      <c r="A4" s="3" t="inlineStr">
        <is>
          <t>メタ情報</t>
        </is>
      </c>
      <c r="B4" s="3" t="inlineStr">
        <is>
          <t>遅延件数</t>
        </is>
      </c>
      <c r="C4" s="3" t="inlineStr">
        <is>
          <t>タイトルに表示される総遅延件数</t>
        </is>
      </c>
      <c r="D4" s="3" t="inlineStr">
        <is>
          <t>遅延一覧のレコード数</t>
        </is>
      </c>
      <c r="E4" s="3" t="inlineStr"/>
    </row>
    <row r="5">
      <c r="A5" s="3" t="inlineStr">
        <is>
          <t>遅延サマリー</t>
        </is>
      </c>
      <c r="B5" s="3" t="inlineStr">
        <is>
          <t>実施者_遅延</t>
        </is>
      </c>
      <c r="C5" s="3" t="inlineStr">
        <is>
          <t>実施が遅延しているケース数</t>
        </is>
      </c>
      <c r="D5" s="3" t="inlineStr">
        <is>
          <t>COUNTIF(明細!H列, "遅延")</t>
        </is>
      </c>
      <c r="E5" s="3" t="inlineStr">
        <is>
          <t>赤表示（&gt;0時）</t>
        </is>
      </c>
    </row>
    <row r="6">
      <c r="A6" s="3" t="inlineStr">
        <is>
          <t>遅延サマリー</t>
        </is>
      </c>
      <c r="B6" s="3" t="inlineStr">
        <is>
          <t>検証者_遅延</t>
        </is>
      </c>
      <c r="C6" s="3" t="inlineStr">
        <is>
          <t>検証が遅延しているケース数</t>
        </is>
      </c>
      <c r="D6" s="3" t="inlineStr">
        <is>
          <t>COUNTIF(明細!K列, "遅延")</t>
        </is>
      </c>
      <c r="E6" s="3" t="inlineStr">
        <is>
          <t>赤表示（&gt;0時）</t>
        </is>
      </c>
    </row>
    <row r="7">
      <c r="A7" s="3" t="inlineStr">
        <is>
          <t>遅延一覧</t>
        </is>
      </c>
      <c r="B7" s="3" t="inlineStr">
        <is>
          <t>No.</t>
        </is>
      </c>
      <c r="C7" s="3" t="inlineStr">
        <is>
          <t>連番</t>
        </is>
      </c>
      <c r="D7" s="3" t="inlineStr">
        <is>
          <t>自動採番</t>
        </is>
      </c>
      <c r="E7" s="3" t="inlineStr"/>
    </row>
    <row r="8">
      <c r="A8" s="3" t="inlineStr">
        <is>
          <t>遅延一覧</t>
        </is>
      </c>
      <c r="B8" s="3" t="inlineStr">
        <is>
          <t>チーム名</t>
        </is>
      </c>
      <c r="C8" s="3" t="inlineStr">
        <is>
          <t>所属チーム</t>
        </is>
      </c>
      <c r="D8" s="3" t="inlineStr">
        <is>
          <t>明細シートのD列</t>
        </is>
      </c>
      <c r="E8" s="3" t="inlineStr"/>
    </row>
    <row r="9">
      <c r="A9" s="3" t="inlineStr">
        <is>
          <t>遅延一覧</t>
        </is>
      </c>
      <c r="B9" s="3" t="inlineStr">
        <is>
          <t>シート名</t>
        </is>
      </c>
      <c r="C9" s="3" t="inlineStr">
        <is>
          <t>テストケースのシート名</t>
        </is>
      </c>
      <c r="D9" s="3" t="inlineStr">
        <is>
          <t>明細シートのC列</t>
        </is>
      </c>
      <c r="E9" s="3" t="inlineStr"/>
    </row>
    <row r="10">
      <c r="A10" s="3" t="inlineStr">
        <is>
          <t>遅延一覧</t>
        </is>
      </c>
      <c r="B10" s="3" t="inlineStr">
        <is>
          <t>テストID</t>
        </is>
      </c>
      <c r="C10" s="3" t="inlineStr">
        <is>
          <t>テストケースID</t>
        </is>
      </c>
      <c r="D10" s="3" t="inlineStr">
        <is>
          <t>明細シートのE列</t>
        </is>
      </c>
      <c r="E10" s="3" t="inlineStr"/>
    </row>
    <row r="11">
      <c r="A11" s="3" t="inlineStr">
        <is>
          <t>遅延一覧</t>
        </is>
      </c>
      <c r="B11" s="3" t="inlineStr">
        <is>
          <t>実施予定</t>
        </is>
      </c>
      <c r="C11" s="3" t="inlineStr">
        <is>
          <t>実施予定日</t>
        </is>
      </c>
      <c r="D11" s="3" t="inlineStr">
        <is>
          <t>明細シートのF列</t>
        </is>
      </c>
      <c r="E11" s="3" t="inlineStr"/>
    </row>
    <row r="12">
      <c r="A12" s="3" t="inlineStr">
        <is>
          <t>遅延一覧</t>
        </is>
      </c>
      <c r="B12" s="3" t="inlineStr">
        <is>
          <t>実施実績</t>
        </is>
      </c>
      <c r="C12" s="3" t="inlineStr">
        <is>
          <t>実施実績日（遅延時は赤表示）</t>
        </is>
      </c>
      <c r="D12" s="3" t="inlineStr">
        <is>
          <t>明細シートのG列</t>
        </is>
      </c>
      <c r="E12" s="3" t="inlineStr">
        <is>
          <t>予定超過＆未実施で赤</t>
        </is>
      </c>
    </row>
    <row r="13">
      <c r="A13" s="3" t="inlineStr">
        <is>
          <t>遅延一覧</t>
        </is>
      </c>
      <c r="B13" s="3" t="inlineStr">
        <is>
          <t>検証予定</t>
        </is>
      </c>
      <c r="C13" s="3" t="inlineStr">
        <is>
          <t>検証予定日</t>
        </is>
      </c>
      <c r="D13" s="3" t="inlineStr">
        <is>
          <t>明細シートのI列</t>
        </is>
      </c>
      <c r="E13" s="3" t="inlineStr"/>
    </row>
    <row r="14">
      <c r="A14" s="3" t="inlineStr">
        <is>
          <t>遅延一覧</t>
        </is>
      </c>
      <c r="B14" s="3" t="inlineStr">
        <is>
          <t>検証実績</t>
        </is>
      </c>
      <c r="C14" s="3" t="inlineStr">
        <is>
          <t>検証実績日（遅延時は赤表示）</t>
        </is>
      </c>
      <c r="D14" s="3" t="inlineStr">
        <is>
          <t>明細シートのJ列</t>
        </is>
      </c>
      <c r="E14" s="3" t="inlineStr">
        <is>
          <t>予定超過＆未実施で赤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進捗サマリー（_ALL / _チーム別）</t>
        </is>
      </c>
    </row>
    <row r="2" ht="20" customHeight="1">
      <c r="A2" s="2" t="inlineStr">
        <is>
          <t>セクション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共通</t>
        </is>
      </c>
      <c r="B3" s="3" t="inlineStr">
        <is>
          <t>日付</t>
        </is>
      </c>
      <c r="C3" s="3" t="inlineStr">
        <is>
          <t>集計対象の各日付</t>
        </is>
      </c>
      <c r="D3" s="3" t="inlineStr">
        <is>
          <t>入力データの最小日付〜最大日付</t>
        </is>
      </c>
      <c r="E3" s="3" t="inlineStr">
        <is>
          <t>1日1行</t>
        </is>
      </c>
    </row>
    <row r="4">
      <c r="A4" s="3" t="inlineStr">
        <is>
          <t>共通</t>
        </is>
      </c>
      <c r="B4" s="3" t="inlineStr">
        <is>
          <t>曜</t>
        </is>
      </c>
      <c r="C4" s="3" t="inlineStr">
        <is>
          <t>曜日（月〜日）</t>
        </is>
      </c>
      <c r="D4" s="3" t="inlineStr">
        <is>
          <t>CHOOSE(WEEKDAY(日付))</t>
        </is>
      </c>
      <c r="E4" s="3" t="inlineStr"/>
    </row>
    <row r="5">
      <c r="A5" s="3" t="inlineStr">
        <is>
          <t>共通</t>
        </is>
      </c>
      <c r="B5" s="3" t="inlineStr">
        <is>
          <t>営業日</t>
        </is>
      </c>
      <c r="C5" s="3" t="inlineStr">
        <is>
          <t>営業日 or 非営業日</t>
        </is>
      </c>
      <c r="D5" s="3" t="inlineStr">
        <is>
          <t>土日 or 祝日マスタに該当→非営業日</t>
        </is>
      </c>
      <c r="E5" s="3" t="inlineStr">
        <is>
          <t>非営業日行はグレー背景</t>
        </is>
      </c>
    </row>
    <row r="6">
      <c r="A6" s="3" t="inlineStr">
        <is>
          <t>実施</t>
        </is>
      </c>
      <c r="B6" s="3" t="inlineStr">
        <is>
          <t>予定</t>
        </is>
      </c>
      <c r="C6" s="3" t="inlineStr">
        <is>
          <t>当日の実施予定件数</t>
        </is>
      </c>
      <c r="D6" s="3" t="inlineStr">
        <is>
          <t>COUNTIFS(明細!F列, 日付)</t>
        </is>
      </c>
      <c r="E6" s="3" t="inlineStr">
        <is>
          <t>チーム別は+チーム条件</t>
        </is>
      </c>
    </row>
    <row r="7">
      <c r="A7" s="3" t="inlineStr">
        <is>
          <t>実施</t>
        </is>
      </c>
      <c r="B7" s="3" t="inlineStr">
        <is>
          <t>実績</t>
        </is>
      </c>
      <c r="C7" s="3" t="inlineStr">
        <is>
          <t>当日の実施実績件数</t>
        </is>
      </c>
      <c r="D7" s="3" t="inlineStr">
        <is>
          <t>COUNTIFS(明細!G列, 日付)</t>
        </is>
      </c>
      <c r="E7" s="3" t="inlineStr"/>
    </row>
    <row r="8">
      <c r="A8" s="3" t="inlineStr">
        <is>
          <t>実施</t>
        </is>
      </c>
      <c r="B8" s="3" t="inlineStr">
        <is>
          <t>消化率</t>
        </is>
      </c>
      <c r="C8" s="3" t="inlineStr">
        <is>
          <t>当日の消化率</t>
        </is>
      </c>
      <c r="D8" s="3" t="inlineStr">
        <is>
          <t>IF(予定=0, 0, 実績/予定)</t>
        </is>
      </c>
      <c r="E8" s="3" t="inlineStr">
        <is>
          <t>% 表示</t>
        </is>
      </c>
    </row>
    <row r="9">
      <c r="A9" s="3" t="inlineStr">
        <is>
          <t>実施</t>
        </is>
      </c>
      <c r="B9" s="3" t="inlineStr">
        <is>
          <t>予定累計</t>
        </is>
      </c>
      <c r="C9" s="3" t="inlineStr">
        <is>
          <t>日付までの予定累計</t>
        </is>
      </c>
      <c r="D9" s="3" t="inlineStr">
        <is>
          <t>SUM(予定の先頭行:当行)</t>
        </is>
      </c>
      <c r="E9" s="3" t="inlineStr"/>
    </row>
    <row r="10">
      <c r="A10" s="3" t="inlineStr">
        <is>
          <t>実施</t>
        </is>
      </c>
      <c r="B10" s="3" t="inlineStr">
        <is>
          <t>実績累計</t>
        </is>
      </c>
      <c r="C10" s="3" t="inlineStr">
        <is>
          <t>日付までの実績累計</t>
        </is>
      </c>
      <c r="D10" s="3" t="inlineStr">
        <is>
          <t>SUM(実績の先頭行:当行)</t>
        </is>
      </c>
      <c r="E10" s="3" t="inlineStr"/>
    </row>
    <row r="11">
      <c r="A11" s="3" t="inlineStr">
        <is>
          <t>実施</t>
        </is>
      </c>
      <c r="B11" s="3" t="inlineStr">
        <is>
          <t>累計消化率</t>
        </is>
      </c>
      <c r="C11" s="3" t="inlineStr">
        <is>
          <t>累計ベースの消化率</t>
        </is>
      </c>
      <c r="D11" s="3" t="inlineStr">
        <is>
          <t>IF(予定累計=0, "", 実績累計/予定累計)</t>
        </is>
      </c>
      <c r="E11" s="3" t="inlineStr">
        <is>
          <t>データバー付き</t>
        </is>
      </c>
    </row>
    <row r="12">
      <c r="A12" s="3" t="inlineStr">
        <is>
          <t>実施</t>
        </is>
      </c>
      <c r="B12" s="3" t="inlineStr">
        <is>
          <t>判定</t>
        </is>
      </c>
      <c r="C12" s="3" t="inlineStr">
        <is>
          <t>進捗状態</t>
        </is>
      </c>
      <c r="D12" s="3" t="inlineStr">
        <is>
          <t>日付&gt;基準日→"予定", 累計消化率&gt;=1→"完了", 実績&gt;=予定→"順調", それ以外→"遅延"</t>
        </is>
      </c>
      <c r="E12" s="3" t="inlineStr">
        <is>
          <t>条件付き書式で色分け</t>
        </is>
      </c>
    </row>
    <row r="13">
      <c r="A13" s="3" t="inlineStr">
        <is>
          <t>検証</t>
        </is>
      </c>
      <c r="B13" s="3" t="inlineStr">
        <is>
          <t>（各項目）</t>
        </is>
      </c>
      <c r="C13" s="3" t="inlineStr">
        <is>
          <t>実施と同じ構成で検証者データを集計</t>
        </is>
      </c>
      <c r="D13" s="3" t="inlineStr">
        <is>
          <t>明細シートのI列(予定), J列(実績)</t>
        </is>
      </c>
      <c r="E13" s="3" t="inlineStr">
        <is>
          <t>構造は実施と同一</t>
        </is>
      </c>
    </row>
    <row r="14">
      <c r="A14" s="3" t="inlineStr">
        <is>
          <t>合計</t>
        </is>
      </c>
      <c r="B14" s="3" t="inlineStr">
        <is>
          <t>予定</t>
        </is>
      </c>
      <c r="C14" s="3" t="inlineStr">
        <is>
          <t>当日の実施+検証の予定合計</t>
        </is>
      </c>
      <c r="D14" s="3" t="inlineStr">
        <is>
          <t>実施予定 + 検証予定</t>
        </is>
      </c>
      <c r="E14" s="3" t="inlineStr"/>
    </row>
    <row r="15">
      <c r="A15" s="3" t="inlineStr">
        <is>
          <t>合計</t>
        </is>
      </c>
      <c r="B15" s="3" t="inlineStr">
        <is>
          <t>実績</t>
        </is>
      </c>
      <c r="C15" s="3" t="inlineStr">
        <is>
          <t>当日の実施+検証の実績合計</t>
        </is>
      </c>
      <c r="D15" s="3" t="inlineStr">
        <is>
          <t>実施実績 + 検証実績</t>
        </is>
      </c>
      <c r="E15" s="3" t="inlineStr"/>
    </row>
    <row r="16">
      <c r="A16" s="3" t="inlineStr">
        <is>
          <t>合計行</t>
        </is>
      </c>
      <c r="B16" s="3" t="inlineStr">
        <is>
          <t>合計行（先頭）</t>
        </is>
      </c>
      <c r="C16" s="3" t="inlineStr">
        <is>
          <t>全期間のSUM集計</t>
        </is>
      </c>
      <c r="D16" s="3" t="inlineStr">
        <is>
          <t>SUM(各列)</t>
        </is>
      </c>
      <c r="E16" s="3" t="inlineStr">
        <is>
          <t>シート上部に表示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欠陥サマリー（_ALL / _チーム別）</t>
        </is>
      </c>
    </row>
    <row r="2" ht="20" customHeight="1">
      <c r="A2" s="2" t="inlineStr">
        <is>
          <t>セクション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日次データ</t>
        </is>
      </c>
      <c r="B3" s="3" t="inlineStr">
        <is>
          <t>日付</t>
        </is>
      </c>
      <c r="C3" s="3" t="inlineStr">
        <is>
          <t>集計対象の各日付</t>
        </is>
      </c>
      <c r="D3" s="3" t="inlineStr">
        <is>
          <t>欠陥一覧ファイルのC列（日付）</t>
        </is>
      </c>
      <c r="E3" s="3" t="inlineStr">
        <is>
          <t>1日1行</t>
        </is>
      </c>
    </row>
    <row r="4">
      <c r="A4" s="3" t="inlineStr">
        <is>
          <t>日次データ</t>
        </is>
      </c>
      <c r="B4" s="3" t="inlineStr">
        <is>
          <t>曜</t>
        </is>
      </c>
      <c r="C4" s="3" t="inlineStr">
        <is>
          <t>曜日（月〜日）</t>
        </is>
      </c>
      <c r="D4" s="3" t="inlineStr">
        <is>
          <t>CHOOSE(WEEKDAY(日付))</t>
        </is>
      </c>
      <c r="E4" s="3" t="inlineStr"/>
    </row>
    <row r="5">
      <c r="A5" s="3" t="inlineStr">
        <is>
          <t>日次データ</t>
        </is>
      </c>
      <c r="B5" s="3" t="inlineStr">
        <is>
          <t>検出</t>
        </is>
      </c>
      <c r="C5" s="3" t="inlineStr">
        <is>
          <t>当日の検出欠陥数</t>
        </is>
      </c>
      <c r="D5" s="3" t="inlineStr">
        <is>
          <t>欠陥一覧ファイルのD列</t>
        </is>
      </c>
      <c r="E5" s="3" t="inlineStr"/>
    </row>
    <row r="6">
      <c r="A6" s="3" t="inlineStr">
        <is>
          <t>日次データ</t>
        </is>
      </c>
      <c r="B6" s="3" t="inlineStr">
        <is>
          <t>対応</t>
        </is>
      </c>
      <c r="C6" s="3" t="inlineStr">
        <is>
          <t>当日の対応欠陥数</t>
        </is>
      </c>
      <c r="D6" s="3" t="inlineStr">
        <is>
          <t>欠陥一覧ファイルのE列</t>
        </is>
      </c>
      <c r="E6" s="3" t="inlineStr"/>
    </row>
    <row r="7">
      <c r="A7" s="3" t="inlineStr">
        <is>
          <t>日次データ</t>
        </is>
      </c>
      <c r="B7" s="3" t="inlineStr">
        <is>
          <t>累積検出</t>
        </is>
      </c>
      <c r="C7" s="3" t="inlineStr">
        <is>
          <t>累積の検出欠陥数</t>
        </is>
      </c>
      <c r="D7" s="3" t="inlineStr">
        <is>
          <t>欠陥一覧ファイルのF列（再計算）</t>
        </is>
      </c>
      <c r="E7" s="3" t="inlineStr"/>
    </row>
    <row r="8">
      <c r="A8" s="3" t="inlineStr">
        <is>
          <t>日次データ</t>
        </is>
      </c>
      <c r="B8" s="3" t="inlineStr">
        <is>
          <t>累積対応</t>
        </is>
      </c>
      <c r="C8" s="3" t="inlineStr">
        <is>
          <t>累積の対応欠陥数</t>
        </is>
      </c>
      <c r="D8" s="3" t="inlineStr">
        <is>
          <t>欠陥一覧ファイルのG列（再計算）</t>
        </is>
      </c>
      <c r="E8" s="3" t="inlineStr"/>
    </row>
    <row r="9">
      <c r="A9" s="3" t="inlineStr">
        <is>
          <t>日次データ</t>
        </is>
      </c>
      <c r="B9" s="3" t="inlineStr">
        <is>
          <t>累積未対応</t>
        </is>
      </c>
      <c r="C9" s="3" t="inlineStr">
        <is>
          <t>累積の未対応欠陥数</t>
        </is>
      </c>
      <c r="D9" s="3" t="inlineStr">
        <is>
          <t>累積検出 − 累積対応</t>
        </is>
      </c>
      <c r="E9" s="3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欠陥詳細（_ALL / _チーム別）</t>
        </is>
      </c>
    </row>
    <row r="2" ht="20" customHeight="1">
      <c r="A2" s="2" t="inlineStr">
        <is>
          <t>列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</t>
        </is>
      </c>
      <c r="E2" s="2" t="inlineStr">
        <is>
          <t>備考</t>
        </is>
      </c>
    </row>
    <row r="3">
      <c r="A3" s="3" t="inlineStr">
        <is>
          <t>A</t>
        </is>
      </c>
      <c r="B3" s="3" t="inlineStr">
        <is>
          <t>チーム名</t>
        </is>
      </c>
      <c r="C3" s="3" t="inlineStr">
        <is>
          <t>欠陥が属するチーム</t>
        </is>
      </c>
      <c r="D3" s="3" t="inlineStr">
        <is>
          <t>ファイル指定時のチーム名</t>
        </is>
      </c>
      <c r="E3" s="3" t="inlineStr"/>
    </row>
    <row r="4">
      <c r="A4" s="3" t="inlineStr">
        <is>
          <t>B</t>
        </is>
      </c>
      <c r="B4" s="3" t="inlineStr">
        <is>
          <t>欠陥ID</t>
        </is>
      </c>
      <c r="C4" s="3" t="inlineStr">
        <is>
          <t>欠陥の一意識別子</t>
        </is>
      </c>
      <c r="D4" s="3" t="inlineStr">
        <is>
          <t>欠陥一覧!A列</t>
        </is>
      </c>
      <c r="E4" s="3" t="inlineStr"/>
    </row>
    <row r="5">
      <c r="A5" s="3" t="inlineStr">
        <is>
          <t>C</t>
        </is>
      </c>
      <c r="B5" s="3" t="inlineStr">
        <is>
          <t>対応状況</t>
        </is>
      </c>
      <c r="C5" s="3" t="inlineStr">
        <is>
          <t>現在の対応ステータス</t>
        </is>
      </c>
      <c r="D5" s="3" t="inlineStr">
        <is>
          <t>欠陥一覧!B列</t>
        </is>
      </c>
      <c r="E5" s="3" t="inlineStr">
        <is>
          <t>ダッシュボードの集計に使用</t>
        </is>
      </c>
    </row>
    <row r="6">
      <c r="A6" s="3" t="inlineStr">
        <is>
          <t>D</t>
        </is>
      </c>
      <c r="B6" s="3" t="inlineStr">
        <is>
          <t>件名</t>
        </is>
      </c>
      <c r="C6" s="3" t="inlineStr">
        <is>
          <t>欠陥の件名・概要</t>
        </is>
      </c>
      <c r="D6" s="3" t="inlineStr">
        <is>
          <t>欠陥一覧!C列</t>
        </is>
      </c>
      <c r="E6" s="3" t="inlineStr"/>
    </row>
    <row r="7">
      <c r="A7" s="3" t="inlineStr">
        <is>
          <t>E</t>
        </is>
      </c>
      <c r="B7" s="3" t="inlineStr">
        <is>
          <t>発見日</t>
        </is>
      </c>
      <c r="C7" s="3" t="inlineStr">
        <is>
          <t>欠陥が発見された日付</t>
        </is>
      </c>
      <c r="D7" s="3" t="inlineStr">
        <is>
          <t>欠陥一覧!D列</t>
        </is>
      </c>
      <c r="E7" s="3" t="inlineStr">
        <is>
          <t>YYYY/MM/DD</t>
        </is>
      </c>
    </row>
    <row r="8">
      <c r="A8" s="3" t="inlineStr">
        <is>
          <t>F</t>
        </is>
      </c>
      <c r="B8" s="3" t="inlineStr">
        <is>
          <t>業務機能分類</t>
        </is>
      </c>
      <c r="C8" s="3" t="inlineStr">
        <is>
          <t>関連する業務機能の分類</t>
        </is>
      </c>
      <c r="D8" s="3" t="inlineStr">
        <is>
          <t>欠陥一覧!G列</t>
        </is>
      </c>
      <c r="E8" s="3" t="inlineStr">
        <is>
          <t>ダッシュボード円グラフに使用</t>
        </is>
      </c>
    </row>
    <row r="9">
      <c r="A9" s="3" t="inlineStr">
        <is>
          <t>G</t>
        </is>
      </c>
      <c r="B9" s="3" t="inlineStr">
        <is>
          <t>緊急度</t>
        </is>
      </c>
      <c r="C9" s="3" t="inlineStr">
        <is>
          <t>対応の緊急度</t>
        </is>
      </c>
      <c r="D9" s="3" t="inlineStr">
        <is>
          <t>欠陥一覧!M列</t>
        </is>
      </c>
      <c r="E9" s="3" t="inlineStr">
        <is>
          <t>ダッシュボード集計に使用</t>
        </is>
      </c>
    </row>
    <row r="10">
      <c r="A10" s="3" t="inlineStr">
        <is>
          <t>H</t>
        </is>
      </c>
      <c r="B10" s="3" t="inlineStr">
        <is>
          <t>影響度</t>
        </is>
      </c>
      <c r="C10" s="3" t="inlineStr">
        <is>
          <t>欠陥の影響範囲</t>
        </is>
      </c>
      <c r="D10" s="3" t="inlineStr">
        <is>
          <t>欠陥一覧!N列</t>
        </is>
      </c>
      <c r="E10" s="3" t="inlineStr"/>
    </row>
    <row r="11">
      <c r="A11" s="3" t="inlineStr">
        <is>
          <t>I</t>
        </is>
      </c>
      <c r="B11" s="3" t="inlineStr">
        <is>
          <t>調査予定日</t>
        </is>
      </c>
      <c r="C11" s="3" t="inlineStr">
        <is>
          <t>調査完了の予定日</t>
        </is>
      </c>
      <c r="D11" s="3" t="inlineStr">
        <is>
          <t>欠陥一覧!O列</t>
        </is>
      </c>
      <c r="E11" s="3" t="inlineStr">
        <is>
          <t>超過判定に使用</t>
        </is>
      </c>
    </row>
    <row r="12">
      <c r="A12" s="3" t="inlineStr">
        <is>
          <t>J</t>
        </is>
      </c>
      <c r="B12" s="3" t="inlineStr">
        <is>
          <t>調査完了日</t>
        </is>
      </c>
      <c r="C12" s="3" t="inlineStr">
        <is>
          <t>調査が完了した日</t>
        </is>
      </c>
      <c r="D12" s="3" t="inlineStr">
        <is>
          <t>欠陥一覧!P列</t>
        </is>
      </c>
      <c r="E12" s="3" t="inlineStr"/>
    </row>
    <row r="13">
      <c r="A13" s="3" t="inlineStr">
        <is>
          <t>K</t>
        </is>
      </c>
      <c r="B13" s="3" t="inlineStr">
        <is>
          <t>欠陥原因</t>
        </is>
      </c>
      <c r="C13" s="3" t="inlineStr">
        <is>
          <t>欠陥の根本原因（深層）</t>
        </is>
      </c>
      <c r="D13" s="3" t="inlineStr">
        <is>
          <t>欠陥一覧!T列</t>
        </is>
      </c>
      <c r="E13" s="3" t="inlineStr">
        <is>
          <t>ダッシュボード円グラフに使用</t>
        </is>
      </c>
    </row>
    <row r="14">
      <c r="A14" s="3" t="inlineStr">
        <is>
          <t>L</t>
        </is>
      </c>
      <c r="B14" s="3" t="inlineStr">
        <is>
          <t>欠陥埋込フェーズ</t>
        </is>
      </c>
      <c r="C14" s="3" t="inlineStr">
        <is>
          <t>欠陥が埋め込まれたフェーズ</t>
        </is>
      </c>
      <c r="D14" s="3" t="inlineStr">
        <is>
          <t>欠陥一覧から取得</t>
        </is>
      </c>
      <c r="E14" s="3" t="inlineStr"/>
    </row>
    <row r="15">
      <c r="A15" s="3" t="inlineStr">
        <is>
          <t>M</t>
        </is>
      </c>
      <c r="B15" s="3" t="inlineStr">
        <is>
          <t>検出すべきフェーズ</t>
        </is>
      </c>
      <c r="C15" s="3" t="inlineStr">
        <is>
          <t>本来検出すべきだったフェーズ</t>
        </is>
      </c>
      <c r="D15" s="3" t="inlineStr">
        <is>
          <t>欠陥一覧から取得</t>
        </is>
      </c>
      <c r="E15" s="3" t="inlineStr"/>
    </row>
    <row r="16">
      <c r="A16" s="3" t="inlineStr">
        <is>
          <t>N</t>
        </is>
      </c>
      <c r="B16" s="3" t="inlineStr">
        <is>
          <t>対応予定日</t>
        </is>
      </c>
      <c r="C16" s="3" t="inlineStr">
        <is>
          <t>対応完了の予定日</t>
        </is>
      </c>
      <c r="D16" s="3" t="inlineStr">
        <is>
          <t>欠陥一覧!AC列</t>
        </is>
      </c>
      <c r="E16" s="3" t="inlineStr">
        <is>
          <t>超過判定に使用</t>
        </is>
      </c>
    </row>
    <row r="17">
      <c r="A17" s="3" t="inlineStr">
        <is>
          <t>O</t>
        </is>
      </c>
      <c r="B17" s="3" t="inlineStr">
        <is>
          <t>対応日</t>
        </is>
      </c>
      <c r="C17" s="3" t="inlineStr">
        <is>
          <t>実際に対応が完了した日</t>
        </is>
      </c>
      <c r="D17" s="3" t="inlineStr">
        <is>
          <t>欠陥一覧!AD列</t>
        </is>
      </c>
      <c r="E17" s="3" t="inlineStr"/>
    </row>
    <row r="18">
      <c r="A18" s="3" t="inlineStr">
        <is>
          <t>P</t>
        </is>
      </c>
      <c r="B18" s="3" t="inlineStr">
        <is>
          <t>横展開有無</t>
        </is>
      </c>
      <c r="C18" s="3" t="inlineStr">
        <is>
          <t>横展開の要否</t>
        </is>
      </c>
      <c r="D18" s="3" t="inlineStr">
        <is>
          <t>欠陥一覧!AF列</t>
        </is>
      </c>
      <c r="E18" s="3" t="inlineStr">
        <is>
          <t>有/無</t>
        </is>
      </c>
    </row>
    <row r="19">
      <c r="A19" s="3" t="inlineStr">
        <is>
          <t>Q</t>
        </is>
      </c>
      <c r="B19" s="3" t="inlineStr">
        <is>
          <t>横展開先</t>
        </is>
      </c>
      <c r="C19" s="3" t="inlineStr">
        <is>
          <t>横展開の対象</t>
        </is>
      </c>
      <c r="D19" s="3" t="inlineStr">
        <is>
          <t>欠陥一覧!AG列</t>
        </is>
      </c>
      <c r="E19" s="3" t="inlineStr"/>
    </row>
    <row r="20">
      <c r="A20" s="3" t="inlineStr">
        <is>
          <t>R</t>
        </is>
      </c>
      <c r="B20" s="3" t="inlineStr">
        <is>
          <t>横展開完了予定日</t>
        </is>
      </c>
      <c r="C20" s="3" t="inlineStr">
        <is>
          <t>横展開の完了予定日</t>
        </is>
      </c>
      <c r="D20" s="3" t="inlineStr">
        <is>
          <t>欠陥一覧!AH列</t>
        </is>
      </c>
      <c r="E20" s="3" t="inlineStr">
        <is>
          <t>超過判定に使用</t>
        </is>
      </c>
    </row>
    <row r="21">
      <c r="A21" s="3" t="inlineStr">
        <is>
          <t>S</t>
        </is>
      </c>
      <c r="B21" s="3" t="inlineStr">
        <is>
          <t>横展開完了日</t>
        </is>
      </c>
      <c r="C21" s="3" t="inlineStr">
        <is>
          <t>横展開が完了した日</t>
        </is>
      </c>
      <c r="D21" s="3" t="inlineStr">
        <is>
          <t>欠陥一覧!AI列</t>
        </is>
      </c>
      <c r="E21" s="3" t="inlineStr"/>
    </row>
    <row r="22">
      <c r="A22" s="3" t="inlineStr">
        <is>
          <t>T</t>
        </is>
      </c>
      <c r="B22" s="3" t="inlineStr">
        <is>
          <t>リリース予定日</t>
        </is>
      </c>
      <c r="C22" s="3" t="inlineStr">
        <is>
          <t>リリースの予定日</t>
        </is>
      </c>
      <c r="D22" s="3" t="inlineStr">
        <is>
          <t>欠陥一覧!AK列</t>
        </is>
      </c>
      <c r="E22" s="3" t="inlineStr">
        <is>
          <t>超過判定に使用</t>
        </is>
      </c>
    </row>
    <row r="23">
      <c r="A23" s="3" t="inlineStr">
        <is>
          <t>U</t>
        </is>
      </c>
      <c r="B23" s="3" t="inlineStr">
        <is>
          <t>リリース日</t>
        </is>
      </c>
      <c r="C23" s="3" t="inlineStr">
        <is>
          <t>実際のリリース日</t>
        </is>
      </c>
      <c r="D23" s="3" t="inlineStr">
        <is>
          <t>欠陥一覧!AL列</t>
        </is>
      </c>
      <c r="E23" s="3" t="inlineStr"/>
    </row>
    <row r="24">
      <c r="A24" s="3" t="inlineStr">
        <is>
          <t>V</t>
        </is>
      </c>
      <c r="B24" s="3" t="inlineStr">
        <is>
          <t>検証日</t>
        </is>
      </c>
      <c r="C24" s="3" t="inlineStr">
        <is>
          <t>検証が完了した日</t>
        </is>
      </c>
      <c r="D24" s="3" t="inlineStr">
        <is>
          <t>欠陥一覧!AM列</t>
        </is>
      </c>
      <c r="E24" s="3" t="inlineStr">
        <is>
          <t>未完了判定に使用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明細シート</t>
        </is>
      </c>
    </row>
    <row r="2" ht="20" customHeight="1">
      <c r="A2" s="2" t="inlineStr">
        <is>
          <t>列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データソース・計算式</t>
        </is>
      </c>
      <c r="E2" s="2" t="inlineStr">
        <is>
          <t>備考</t>
        </is>
      </c>
    </row>
    <row r="3">
      <c r="A3" s="3" t="inlineStr">
        <is>
          <t>A</t>
        </is>
      </c>
      <c r="B3" s="3" t="inlineStr">
        <is>
          <t>No.</t>
        </is>
      </c>
      <c r="C3" s="3" t="inlineStr">
        <is>
          <t>連番</t>
        </is>
      </c>
      <c r="D3" s="3" t="inlineStr">
        <is>
          <t>自動採番</t>
        </is>
      </c>
      <c r="E3" s="3" t="inlineStr"/>
    </row>
    <row r="4">
      <c r="A4" s="3" t="inlineStr">
        <is>
          <t>B</t>
        </is>
      </c>
      <c r="B4" s="3" t="inlineStr">
        <is>
          <t>ファイル名</t>
        </is>
      </c>
      <c r="C4" s="3" t="inlineStr">
        <is>
          <t>入力Excelのファイル名</t>
        </is>
      </c>
      <c r="D4" s="3" t="inlineStr">
        <is>
          <t>入力ファイル名</t>
        </is>
      </c>
      <c r="E4" s="3" t="inlineStr"/>
    </row>
    <row r="5">
      <c r="A5" s="3" t="inlineStr">
        <is>
          <t>C</t>
        </is>
      </c>
      <c r="B5" s="3" t="inlineStr">
        <is>
          <t>シート名</t>
        </is>
      </c>
      <c r="C5" s="3" t="inlineStr">
        <is>
          <t>対象シート名</t>
        </is>
      </c>
      <c r="D5" s="3" t="inlineStr">
        <is>
          <t>ITBで始まるシート名</t>
        </is>
      </c>
      <c r="E5" s="3" t="inlineStr"/>
    </row>
    <row r="6">
      <c r="A6" s="3" t="inlineStr">
        <is>
          <t>D</t>
        </is>
      </c>
      <c r="B6" s="3" t="inlineStr">
        <is>
          <t>チーム名</t>
        </is>
      </c>
      <c r="C6" s="3" t="inlineStr">
        <is>
          <t>所属チーム</t>
        </is>
      </c>
      <c r="D6" s="3" t="inlineStr">
        <is>
          <t>ファイル名パターンから自動判定</t>
        </is>
      </c>
      <c r="E6" s="3" t="inlineStr">
        <is>
          <t>-O-:オンライン, -B-:バッチ等</t>
        </is>
      </c>
    </row>
    <row r="7">
      <c r="A7" s="3" t="inlineStr">
        <is>
          <t>E</t>
        </is>
      </c>
      <c r="B7" s="3" t="inlineStr">
        <is>
          <t>テストID</t>
        </is>
      </c>
      <c r="C7" s="3" t="inlineStr">
        <is>
          <t>テストケースの識別子</t>
        </is>
      </c>
      <c r="D7" s="3" t="inlineStr">
        <is>
          <t>入力ファイルのC列</t>
        </is>
      </c>
      <c r="E7" s="3" t="inlineStr"/>
    </row>
    <row r="8">
      <c r="A8" s="3" t="inlineStr">
        <is>
          <t>F</t>
        </is>
      </c>
      <c r="B8" s="3" t="inlineStr">
        <is>
          <t>実施者_予定</t>
        </is>
      </c>
      <c r="C8" s="3" t="inlineStr">
        <is>
          <t>実施の予定日</t>
        </is>
      </c>
      <c r="D8" s="3" t="inlineStr">
        <is>
          <t>入力ファイルのQ列</t>
        </is>
      </c>
      <c r="E8" s="3" t="inlineStr">
        <is>
          <t>YYYY/MM/DD</t>
        </is>
      </c>
    </row>
    <row r="9">
      <c r="A9" s="3" t="inlineStr">
        <is>
          <t>G</t>
        </is>
      </c>
      <c r="B9" s="3" t="inlineStr">
        <is>
          <t>実施者_実績</t>
        </is>
      </c>
      <c r="C9" s="3" t="inlineStr">
        <is>
          <t>実施の実績日</t>
        </is>
      </c>
      <c r="D9" s="3" t="inlineStr">
        <is>
          <t>入力ファイルのR列</t>
        </is>
      </c>
      <c r="E9" s="3" t="inlineStr">
        <is>
          <t>YYYY/MM/DD</t>
        </is>
      </c>
    </row>
    <row r="10">
      <c r="A10" s="3" t="inlineStr">
        <is>
          <t>H</t>
        </is>
      </c>
      <c r="B10" s="3" t="inlineStr">
        <is>
          <t>実施者_状況</t>
        </is>
      </c>
      <c r="C10" s="3" t="inlineStr">
        <is>
          <t>実施の進捗状態</t>
        </is>
      </c>
      <c r="D10" s="3" t="inlineStr">
        <is>
          <t>IF(実績≠空→"完了", 予定=空→"－", 予定≤基準日→"遅延", else "予定")</t>
        </is>
      </c>
      <c r="E10" s="3" t="inlineStr">
        <is>
          <t>条件付き書式で色分け</t>
        </is>
      </c>
    </row>
    <row r="11">
      <c r="A11" s="3" t="inlineStr">
        <is>
          <t>I</t>
        </is>
      </c>
      <c r="B11" s="3" t="inlineStr">
        <is>
          <t>検証者_予定</t>
        </is>
      </c>
      <c r="C11" s="3" t="inlineStr">
        <is>
          <t>検証の予定日</t>
        </is>
      </c>
      <c r="D11" s="3" t="inlineStr">
        <is>
          <t>入力ファイルのS列</t>
        </is>
      </c>
      <c r="E11" s="3" t="inlineStr">
        <is>
          <t>YYYY/MM/DD</t>
        </is>
      </c>
    </row>
    <row r="12">
      <c r="A12" s="3" t="inlineStr">
        <is>
          <t>J</t>
        </is>
      </c>
      <c r="B12" s="3" t="inlineStr">
        <is>
          <t>検証者_実績</t>
        </is>
      </c>
      <c r="C12" s="3" t="inlineStr">
        <is>
          <t>検証の実績日</t>
        </is>
      </c>
      <c r="D12" s="3" t="inlineStr">
        <is>
          <t>入力ファイルのT列</t>
        </is>
      </c>
      <c r="E12" s="3" t="inlineStr">
        <is>
          <t>YYYY/MM/DD</t>
        </is>
      </c>
    </row>
    <row r="13">
      <c r="A13" s="3" t="inlineStr">
        <is>
          <t>K</t>
        </is>
      </c>
      <c r="B13" s="3" t="inlineStr">
        <is>
          <t>検証者_状況</t>
        </is>
      </c>
      <c r="C13" s="3" t="inlineStr">
        <is>
          <t>検証の進捗状態</t>
        </is>
      </c>
      <c r="D13" s="3" t="inlineStr">
        <is>
          <t>IF(実績≠空→"完了", 予定=空→"－", 予定≤基準日→"遅延", else "予定")</t>
        </is>
      </c>
      <c r="E13" s="3" t="inlineStr">
        <is>
          <t>条件付き書式で色分け</t>
        </is>
      </c>
    </row>
    <row r="14">
      <c r="A14" s="3" t="inlineStr">
        <is>
          <t>L</t>
        </is>
      </c>
      <c r="B14" s="3" t="inlineStr">
        <is>
          <t>進捗状況</t>
        </is>
      </c>
      <c r="C14" s="3" t="inlineStr">
        <is>
          <t>テスト全体の進捗判定</t>
        </is>
      </c>
      <c r="D14" s="3" t="inlineStr">
        <is>
          <t>両方完了→"完了", どちらか遅延→"遅延", どちらか完了→"進行中", else "予定"</t>
        </is>
      </c>
      <c r="E14" s="3" t="inlineStr">
        <is>
          <t>条件付き書式で色分け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40" customWidth="1" min="4" max="4"/>
    <col width="14" customWidth="1" min="5" max="5"/>
  </cols>
  <sheetData>
    <row r="1" ht="30" customHeight="1">
      <c r="A1" s="1" t="inlineStr">
        <is>
          <t>祝日マスタ</t>
        </is>
      </c>
    </row>
    <row r="2" ht="20" customHeight="1">
      <c r="A2" s="2" t="inlineStr">
        <is>
          <t>列</t>
        </is>
      </c>
      <c r="B2" s="2" t="inlineStr">
        <is>
          <t>項目名</t>
        </is>
      </c>
      <c r="C2" s="2" t="inlineStr">
        <is>
          <t>説明</t>
        </is>
      </c>
      <c r="D2" s="2" t="inlineStr">
        <is>
          <t>データソース</t>
        </is>
      </c>
      <c r="E2" s="2" t="inlineStr">
        <is>
          <t>備考</t>
        </is>
      </c>
    </row>
    <row r="3">
      <c r="A3" s="3" t="inlineStr">
        <is>
          <t>A</t>
        </is>
      </c>
      <c r="B3" s="3" t="inlineStr">
        <is>
          <t>日付</t>
        </is>
      </c>
      <c r="C3" s="3" t="inlineStr">
        <is>
          <t>祝日の日付</t>
        </is>
      </c>
      <c r="D3" s="3" t="inlineStr">
        <is>
          <t>DEFAULT_HOLIDAYS（コード内定義）</t>
        </is>
      </c>
      <c r="E3" s="3" t="inlineStr">
        <is>
          <t>YYYY/MM/DD。2024〜2030年分</t>
        </is>
      </c>
    </row>
    <row r="4">
      <c r="A4" s="3" t="inlineStr">
        <is>
          <t>B</t>
        </is>
      </c>
      <c r="B4" s="3" t="inlineStr">
        <is>
          <t>祝日名</t>
        </is>
      </c>
      <c r="C4" s="3" t="inlineStr">
        <is>
          <t>祝日の名称</t>
        </is>
      </c>
      <c r="D4" s="3" t="inlineStr">
        <is>
          <t>DEFAULT_HOLIDAYS（コード内定義）</t>
        </is>
      </c>
      <c r="E4" s="3" t="inlineStr">
        <is>
          <t>元日、成人の日 等</t>
        </is>
      </c>
    </row>
    <row r="5">
      <c r="A5" s="3" t="inlineStr">
        <is>
          <t>C</t>
        </is>
      </c>
      <c r="B5" s="3" t="inlineStr">
        <is>
          <t>備考</t>
        </is>
      </c>
      <c r="C5" s="3" t="inlineStr">
        <is>
          <t>ユーザーが自由に記入可能</t>
        </is>
      </c>
      <c r="D5" s="3" t="inlineStr">
        <is>
          <t>空欄（編集可能）</t>
        </is>
      </c>
      <c r="E5" s="3" t="inlineStr">
        <is>
          <t>独自の休業日等を追記可能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2026-03-23T08:03:16Z</dcterms:created>
  <dcterms:modified xsi:type="dcterms:W3CDTF">2026-03-23T08:03:16Z</dcterms:modified>
</cp:coreProperties>
</file>