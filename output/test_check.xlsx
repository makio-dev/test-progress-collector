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要対応一覧" sheetId="2" state="visible" r:id="rId2"/>
    <sheet name="進捗サマリー_ALL" sheetId="3" state="visible" r:id="rId3"/>
    <sheet name="進捗サマリー_オンライン" sheetId="4" state="visible" r:id="rId4"/>
    <sheet name="進捗サマリー_バッチ" sheetId="5" state="visible" r:id="rId5"/>
    <sheet name="進捗サマリー_基盤" sheetId="6" state="visible" r:id="rId6"/>
    <sheet name="進捗サマリー_運用" sheetId="7" state="visible" r:id="rId7"/>
    <sheet name="明細" sheetId="8" state="visible" r:id="rId8"/>
    <sheet name="祝日マスタ" sheetId="9" state="visible" r:id="rId9"/>
  </sheets>
  <definedNames>
    <definedName name="_xlnm.Print_Titles" localSheetId="0">'ダッシュボード'!$1:$2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yyyy-mm-dd h:mm:ss"/>
    <numFmt numFmtId="166" formatCode="0.0%"/>
    <numFmt numFmtId="167" formatCode="yyyy-mm-dd"/>
    <numFmt numFmtId="168" formatCode="YYYY/MM/DD (AAA)"/>
  </numFmts>
  <fonts count="22">
    <font>
      <name val="Calibri"/>
      <family val="2"/>
      <color theme="1"/>
      <sz val="11"/>
      <scheme val="minor"/>
    </font>
    <font>
      <name val="游ゴシック"/>
      <b val="1"/>
      <color rgb="00333333"/>
      <sz val="14"/>
    </font>
    <font>
      <name val="游ゴシック"/>
      <color rgb="00666666"/>
      <sz val="9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color rgb="00FFFFFF"/>
      <sz val="12"/>
    </font>
    <font>
      <name val="游ゴシック"/>
      <sz val="10"/>
    </font>
    <font>
      <name val="游ゴシック"/>
      <b val="1"/>
      <color rgb="008B0000"/>
      <sz val="14"/>
    </font>
    <font>
      <name val="游ゴシック"/>
      <color rgb="00666666"/>
      <sz val="11"/>
    </font>
    <font>
      <name val="游ゴシック"/>
      <b val="1"/>
      <color rgb="00505050"/>
      <sz val="12"/>
    </font>
    <font>
      <name val="游ゴシック"/>
      <b val="1"/>
      <color rgb="009C0006"/>
      <sz val="10"/>
    </font>
    <font>
      <name val="游ゴシック"/>
      <b val="1"/>
      <color rgb="00FFFFFF"/>
      <sz val="14"/>
    </font>
    <font>
      <name val="游ゴシック"/>
      <color rgb="00333333"/>
      <sz val="10"/>
    </font>
    <font>
      <name val="游ゴシック"/>
      <b val="1"/>
      <color rgb="00333333"/>
      <sz val="10"/>
    </font>
    <font>
      <name val="游ゴシック"/>
      <b val="1"/>
      <color rgb="001B3A5C"/>
      <sz val="18"/>
    </font>
    <font>
      <name val="游ゴシック"/>
      <b val="1"/>
      <color rgb="00505050"/>
      <sz val="11"/>
    </font>
    <font>
      <name val="游ゴシック"/>
      <b val="1"/>
      <color rgb="002B5797"/>
      <sz val="11"/>
    </font>
    <font>
      <name val="游ゴシック"/>
      <color rgb="00505050"/>
      <sz val="10"/>
    </font>
    <font>
      <name val="游ゴシック"/>
      <b val="1"/>
      <color rgb="002B5797"/>
      <sz val="9"/>
    </font>
    <font>
      <name val="游ゴシック"/>
      <b val="1"/>
      <color rgb="00FFFFFF"/>
      <sz val="10"/>
    </font>
    <font>
      <name val="游ゴシック"/>
      <b val="1"/>
      <color rgb="00FFFFFF"/>
      <sz val="9"/>
    </font>
    <font>
      <name val="游ゴシック"/>
      <b val="1"/>
      <sz val="10"/>
    </font>
  </fonts>
  <fills count="21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505050"/>
        <bgColor rgb="00505050"/>
      </patternFill>
    </fill>
    <fill>
      <patternFill patternType="solid">
        <fgColor rgb="00FFE5E5"/>
        <bgColor rgb="00FFE5E5"/>
      </patternFill>
    </fill>
    <fill>
      <patternFill patternType="solid">
        <fgColor rgb="008B0000"/>
        <bgColor rgb="008B0000"/>
      </patternFill>
    </fill>
    <fill>
      <patternFill patternType="solid">
        <fgColor rgb="00FFC7CE"/>
        <bgColor rgb="00FFC7CE"/>
      </patternFill>
    </fill>
    <fill>
      <patternFill patternType="solid">
        <fgColor rgb="001B3A5C"/>
        <bgColor rgb="001B3A5C"/>
      </patternFill>
    </fill>
    <fill>
      <patternFill patternType="solid">
        <fgColor rgb="00E8EEF4"/>
        <bgColor rgb="00E8EEF4"/>
      </patternFill>
    </fill>
    <fill>
      <patternFill patternType="solid">
        <fgColor rgb="002B5797"/>
        <bgColor rgb="002B5797"/>
      </patternFill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6D6D6D"/>
        <bgColor rgb="006D6D6D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ED7D31"/>
        <bgColor rgb="00ED7D31"/>
      </patternFill>
    </fill>
    <fill>
      <patternFill patternType="solid">
        <fgColor rgb="00D9E2F3"/>
        <bgColor rgb="00D9E2F3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388E3C"/>
        <bgColor rgb="00388E3C"/>
      </patternFill>
    </fill>
    <fill>
      <patternFill patternType="solid">
        <fgColor rgb="00E8F5E9"/>
        <bgColor rgb="00E8F5E9"/>
      </patternFill>
    </fill>
  </fills>
  <borders count="2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  <border>
      <left style="thin">
        <color rgb="00000000"/>
      </left>
      <right style="medium">
        <color rgb="00FFFFFF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double">
        <color rgb="00000000"/>
      </bottom>
    </border>
    <border>
      <left style="medium">
        <color rgb="00000000"/>
      </left>
      <right style="thin">
        <color rgb="00000000"/>
      </right>
      <top style="double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double">
        <color rgb="00000000"/>
      </top>
      <bottom style="medium">
        <color rgb="00000000"/>
      </bottom>
    </border>
    <border>
      <left style="thin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dotted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168" fontId="1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7" fillId="0" borderId="0" applyAlignment="1" pivotButton="0" quotePrefix="0" xfId="0">
      <alignment horizontal="right" vertical="center"/>
    </xf>
    <xf numFmtId="0" fontId="18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19" fillId="13" borderId="17" applyAlignment="1" pivotButton="0" quotePrefix="0" xfId="0">
      <alignment horizontal="center" vertical="center"/>
    </xf>
    <xf numFmtId="0" fontId="0" fillId="13" borderId="16" pivotButton="0" quotePrefix="0" xfId="0"/>
    <xf numFmtId="0" fontId="19" fillId="17" borderId="1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6" pivotButton="0" quotePrefix="0" xfId="0"/>
    <xf numFmtId="0" fontId="0" fillId="0" borderId="24" pivotButton="0" quotePrefix="0" xfId="0"/>
    <xf numFmtId="0" fontId="20" fillId="13" borderId="17" applyAlignment="1" pivotButton="0" quotePrefix="0" xfId="0">
      <alignment horizontal="center" vertical="center" wrapText="1"/>
    </xf>
    <xf numFmtId="0" fontId="20" fillId="13" borderId="16" applyAlignment="1" pivotButton="0" quotePrefix="0" xfId="0">
      <alignment horizontal="center" vertical="center" wrapText="1"/>
    </xf>
    <xf numFmtId="0" fontId="20" fillId="17" borderId="17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center" vertical="center" wrapText="1"/>
    </xf>
    <xf numFmtId="0" fontId="20" fillId="17" borderId="16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/>
    </xf>
    <xf numFmtId="0" fontId="0" fillId="18" borderId="17" applyAlignment="1" pivotButton="0" quotePrefix="0" xfId="0">
      <alignment horizontal="center" vertical="center"/>
    </xf>
    <xf numFmtId="0" fontId="0" fillId="18" borderId="16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166" fontId="0" fillId="18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9" fillId="14" borderId="17" applyAlignment="1" pivotButton="0" quotePrefix="0" xfId="0">
      <alignment horizontal="center" vertical="center"/>
    </xf>
    <xf numFmtId="0" fontId="0" fillId="14" borderId="16" pivotButton="0" quotePrefix="0" xfId="0"/>
    <xf numFmtId="0" fontId="19" fillId="19" borderId="17" applyAlignment="1" pivotButton="0" quotePrefix="0" xfId="0">
      <alignment horizontal="center" vertical="center"/>
    </xf>
    <xf numFmtId="0" fontId="20" fillId="14" borderId="17" applyAlignment="1" pivotButton="0" quotePrefix="0" xfId="0">
      <alignment horizontal="center" vertical="center" wrapText="1"/>
    </xf>
    <xf numFmtId="0" fontId="20" fillId="14" borderId="16" applyAlignment="1" pivotButton="0" quotePrefix="0" xfId="0">
      <alignment horizontal="center" vertical="center" wrapText="1"/>
    </xf>
    <xf numFmtId="0" fontId="20" fillId="19" borderId="17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 wrapText="1"/>
    </xf>
    <xf numFmtId="0" fontId="20" fillId="19" borderId="16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/>
    </xf>
    <xf numFmtId="0" fontId="0" fillId="20" borderId="16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166" fontId="0" fillId="2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8" borderId="2" pivotButton="0" quotePrefix="0" xfId="0"/>
    <xf numFmtId="0" fontId="0" fillId="8" borderId="2" pivotButton="0" quotePrefix="0" xfId="0"/>
    <xf numFmtId="0" fontId="13" fillId="8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2" borderId="7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3" borderId="7" applyAlignment="1" pivotButton="0" quotePrefix="0" xfId="0">
      <alignment horizontal="center" vertical="center" wrapText="1"/>
    </xf>
    <xf numFmtId="0" fontId="3" fillId="14" borderId="5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4" borderId="7" applyAlignment="1" pivotButton="0" quotePrefix="0" xfId="0">
      <alignment horizontal="center" vertical="center" wrapText="1"/>
    </xf>
    <xf numFmtId="0" fontId="3" fillId="15" borderId="5" applyAlignment="1" pivotButton="0" quotePrefix="0" xfId="0">
      <alignment horizontal="center" vertical="center" wrapText="1"/>
    </xf>
    <xf numFmtId="0" fontId="3" fillId="15" borderId="7" applyAlignment="1" pivotButton="0" quotePrefix="0" xfId="0">
      <alignment horizontal="center" vertical="center" wrapText="1"/>
    </xf>
    <xf numFmtId="0" fontId="4" fillId="16" borderId="8" applyAlignment="1" pivotButton="0" quotePrefix="0" xfId="0">
      <alignment horizontal="center" vertical="center"/>
    </xf>
    <xf numFmtId="0" fontId="4" fillId="16" borderId="9" applyAlignment="1" pivotButton="0" quotePrefix="0" xfId="0">
      <alignment horizontal="center" vertical="center"/>
    </xf>
    <xf numFmtId="0" fontId="4" fillId="16" borderId="10" applyAlignment="1" pivotButton="0" quotePrefix="0" xfId="0">
      <alignment horizontal="center" vertical="center"/>
    </xf>
    <xf numFmtId="3" fontId="4" fillId="16" borderId="8" applyAlignment="1" pivotButton="0" quotePrefix="0" xfId="0">
      <alignment horizontal="center" vertical="center"/>
    </xf>
    <xf numFmtId="3" fontId="4" fillId="16" borderId="9" applyAlignment="1" pivotButton="0" quotePrefix="0" xfId="0">
      <alignment horizontal="center" vertical="center"/>
    </xf>
    <xf numFmtId="166" fontId="4" fillId="16" borderId="9" applyAlignment="1" pivotButton="0" quotePrefix="0" xfId="0">
      <alignment horizontal="center" vertical="center"/>
    </xf>
    <xf numFmtId="3" fontId="4" fillId="16" borderId="10" applyAlignment="1" pivotButton="0" quotePrefix="0" xfId="0">
      <alignment horizontal="center" vertical="center"/>
    </xf>
    <xf numFmtId="164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3" fontId="6" fillId="0" borderId="14" applyAlignment="1" pivotButton="0" quotePrefix="0" xfId="0">
      <alignment horizontal="center" vertical="center"/>
    </xf>
    <xf numFmtId="3" fontId="6" fillId="0" borderId="12" applyAlignment="1" pivotButton="0" quotePrefix="0" xfId="0">
      <alignment horizontal="center" vertical="center"/>
    </xf>
    <xf numFmtId="166" fontId="6" fillId="0" borderId="15" applyAlignment="1" pivotButton="0" quotePrefix="0" xfId="0">
      <alignment horizontal="center" vertical="center"/>
    </xf>
    <xf numFmtId="3" fontId="6" fillId="0" borderId="1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3" fontId="6" fillId="0" borderId="1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12">
    <dxf>
      <font>
        <name val="游ゴシック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游ゴシック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游ゴシック"/>
        <b val="1"/>
        <color rgb="002F5597"/>
        <sz val="10"/>
      </font>
      <fill>
        <patternFill patternType="solid">
          <fgColor rgb="00D6E4F0"/>
          <bgColor rgb="00D6E4F0"/>
        </patternFill>
      </fill>
    </dxf>
    <dxf>
      <font>
        <b val="1"/>
        <color rgb="00D32F2F"/>
      </font>
      <fill>
        <patternFill patternType="solid">
          <fgColor rgb="00FFE0E0"/>
          <bgColor rgb="00FFE0E0"/>
        </patternFill>
      </fill>
    </dxf>
    <dxf>
      <font>
        <b val="1"/>
        <color rgb="001565C0"/>
      </font>
      <fill>
        <patternFill patternType="solid">
          <fgColor rgb="00E3F2FD"/>
          <bgColor rgb="00E3F2FD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color rgb="009E9E9E"/>
      </font>
      <fill>
        <patternFill patternType="solid">
          <fgColor rgb="00F5F5F5"/>
          <bgColor rgb="00F5F5F5"/>
        </patternFill>
      </fill>
    </dxf>
    <dxf>
      <font>
        <color rgb="00BDBDBD"/>
      </font>
      <fill>
        <patternFill patternType="solid">
          <fgColor rgb="00FAFAFA"/>
          <bgColor rgb="00FAFAFA"/>
        </patternFill>
      </fill>
    </dxf>
    <dxf>
      <font>
        <b val="1"/>
        <color rgb="00E65100"/>
      </font>
      <fill>
        <patternFill patternType="solid">
          <fgColor rgb="00FFF9C4"/>
          <bgColor rgb="00FFF9C4"/>
        </patternFill>
      </fill>
    </dxf>
    <dxf>
      <fill>
        <patternFill patternType="solid">
          <fgColor rgb="00F2F2F2"/>
          <bgColor rgb="00F2F2F2"/>
        </patternFill>
      </fill>
    </dxf>
    <dxf>
      <font>
        <name val="游ゴシック"/>
        <color rgb="00808080"/>
        <sz val="10"/>
      </font>
      <fill>
        <patternFill patternType="solid">
          <fgColor rgb="00F2F2F2"/>
          <bgColor rgb="00F2F2F2"/>
        </patternFill>
      </fill>
    </dxf>
    <dxf>
      <font>
        <name val="游ゴシック"/>
        <b val="1"/>
        <color rgb="009C5700"/>
        <sz val="1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全体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'進捗サマリー_ALL'!$A$6:$A$30</f>
            </numRef>
          </cat>
          <val>
            <numRef>
              <f>'進捗サマリー_ALL'!$G$6:$G$30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'進捗サマリー_ALL'!$A$6:$A$30</f>
            </numRef>
          </cat>
          <val>
            <numRef>
              <f>'進捗サマリー_ALL'!$H$6:$H$30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全体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'進捗サマリー_ALL'!$A$6:$A$30</f>
            </numRef>
          </cat>
          <val>
            <numRef>
              <f>'進捗サマリー_ALL'!$N$6:$N$30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'進捗サマリー_ALL'!$A$6:$A$30</f>
            </numRef>
          </cat>
          <val>
            <numRef>
              <f>'進捗サマリー_ALL'!$O$6:$O$30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オンライン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'進捗サマリー_オンライン'!$A$6:$A$23</f>
            </numRef>
          </cat>
          <val>
            <numRef>
              <f>'進捗サマリー_オンライン'!$G$6:$G$23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'進捗サマリー_オンライン'!$A$6:$A$23</f>
            </numRef>
          </cat>
          <val>
            <numRef>
              <f>'進捗サマリー_オンライン'!$H$6:$H$23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オンライン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'進捗サマリー_オンライン'!$A$6:$A$23</f>
            </numRef>
          </cat>
          <val>
            <numRef>
              <f>'進捗サマリー_オンライン'!$N$6:$N$23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'進捗サマリー_オンライン'!$A$6:$A$23</f>
            </numRef>
          </cat>
          <val>
            <numRef>
              <f>'進捗サマリー_オンライン'!$O$6:$O$23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バッチ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'進捗サマリー_バッチ'!$A$6:$A$30</f>
            </numRef>
          </cat>
          <val>
            <numRef>
              <f>'進捗サマリー_バッチ'!$G$6:$G$30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'進捗サマリー_バッチ'!$A$6:$A$30</f>
            </numRef>
          </cat>
          <val>
            <numRef>
              <f>'進捗サマリー_バッチ'!$H$6:$H$30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バッチ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'進捗サマリー_バッチ'!$A$6:$A$30</f>
            </numRef>
          </cat>
          <val>
            <numRef>
              <f>'進捗サマリー_バッチ'!$N$6:$N$30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'進捗サマリー_バッチ'!$A$6:$A$30</f>
            </numRef>
          </cat>
          <val>
            <numRef>
              <f>'進捗サマリー_バッチ'!$O$6:$O$30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基盤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'進捗サマリー_基盤'!$A$6:$A$24</f>
            </numRef>
          </cat>
          <val>
            <numRef>
              <f>'進捗サマリー_基盤'!$G$6:$G$24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'進捗サマリー_基盤'!$A$6:$A$24</f>
            </numRef>
          </cat>
          <val>
            <numRef>
              <f>'進捗サマリー_基盤'!$H$6:$H$24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基盤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'進捗サマリー_基盤'!$A$6:$A$24</f>
            </numRef>
          </cat>
          <val>
            <numRef>
              <f>'進捗サマリー_基盤'!$N$6:$N$24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'進捗サマリー_基盤'!$A$6:$A$24</f>
            </numRef>
          </cat>
          <val>
            <numRef>
              <f>'進捗サマリー_基盤'!$O$6:$O$24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運用 - 実施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4472C4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'進捗サマリー_運用'!$A$6:$A$25</f>
            </numRef>
          </cat>
          <val>
            <numRef>
              <f>'進捗サマリー_運用'!$G$6:$G$25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'進捗サマリー_運用'!$A$6:$A$25</f>
            </numRef>
          </cat>
          <val>
            <numRef>
              <f>'進捗サマリー_運用'!$H$6:$H$25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運用 - 検証</a:t>
            </a:r>
          </a:p>
        </rich>
      </tx>
      <txPr>
        <a:bodyPr/>
        <a:p>
          <a:pPr>
            <a:defRPr sz="1000" b="1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1000" b="1">
            <a:solidFill>
              <a:srgbClr val="595959"/>
            </a:solidFill>
            <a:latin typeface="ＭＳ Ｐゴシック"/>
          </a:endParaRPr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"/>
          <y val="0.15"/>
          <w val="0.96"/>
          <h val="0.6"/>
        </manualLayout>
      </layout>
      <lineChart>
        <grouping val="standard"/>
        <ser>
          <idx val="0"/>
          <order val="0"/>
          <tx>
            <v>予定</v>
          </tx>
          <spPr>
            <a:ln w="25400">
              <a:solidFill>
                <a:srgbClr val="70AD47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'進捗サマリー_運用'!$A$6:$A$25</f>
            </numRef>
          </cat>
          <val>
            <numRef>
              <f>'進捗サマリー_運用'!$N$6:$N$25</f>
            </numRef>
          </val>
          <smooth val="0"/>
        </ser>
        <ser>
          <idx val="1"/>
          <order val="1"/>
          <tx>
            <v>実績</v>
          </tx>
          <spPr>
            <a:ln w="254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'進捗サマリー_運用'!$A$6:$A$25</f>
            </numRef>
          </cat>
          <val>
            <numRef>
              <f>'進捗サマリー_運用'!$O$6:$O$25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700">
              <a:solidFill>
                <a:srgbClr val="595959"/>
              </a:solidFill>
              <a:latin typeface="ＭＳ Ｐゴシック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D0D0D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>
                <a:solidFill>
                  <a:srgbClr val="595959"/>
                </a:solidFill>
                <a:latin typeface="ＭＳ Ｐゴシック"/>
              </a:defRPr>
            </a:pPr>
            <a:r>
              <a:t/>
            </a:r>
            <a:endParaRPr sz="800">
              <a:solidFill>
                <a:srgbClr val="595959"/>
              </a:solidFill>
              <a:latin typeface="ＭＳ Ｐゴシック"/>
            </a:endParaRPr>
          </a:p>
        </txPr>
        <crossAx val="10"/>
      </valAx>
    </plotArea>
    <legend>
      <legendPos val="b"/>
      <txPr>
        <a:bodyPr/>
        <a:p>
          <a:pPr>
            <a:defRPr sz="800">
              <a:solidFill>
                <a:srgbClr val="595959"/>
              </a:solidFill>
              <a:latin typeface="ＭＳ Ｐゴシック"/>
            </a:defRPr>
          </a:pPr>
          <a:r>
            <a:t/>
          </a:r>
          <a:endParaRPr sz="800">
            <a:solidFill>
              <a:srgbClr val="595959"/>
            </a:solidFill>
            <a:latin typeface="ＭＳ Ｐゴシック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6096000"/>
    <ext cx="4826000" cy="40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  <absoluteAnchor>
    <pos x="4927600" y="6096000"/>
    <ext cx="5715000" cy="40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absoluteAnchor>
  <absoluteAnchor>
    <pos x="0" y="10261600"/>
    <ext cx="4826000" cy="40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absoluteAnchor>
  <absoluteAnchor>
    <pos x="4927600" y="10261600"/>
    <ext cx="5715000" cy="40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absoluteAnchor>
  <absoluteAnchor>
    <pos x="0" y="14427200"/>
    <ext cx="4826000" cy="406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absoluteAnchor>
  <absoluteAnchor>
    <pos x="4927600" y="14427200"/>
    <ext cx="5715000" cy="406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absoluteAnchor>
  <absoluteAnchor>
    <pos x="0" y="18592800"/>
    <ext cx="4826000" cy="4064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absoluteAnchor>
  <absoluteAnchor>
    <pos x="4927600" y="18592800"/>
    <ext cx="5715000" cy="4064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absoluteAnchor>
  <absoluteAnchor>
    <pos x="0" y="22758400"/>
    <ext cx="4826000" cy="4064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absoluteAnchor>
  <absoluteAnchor>
    <pos x="4927600" y="22758400"/>
    <ext cx="5715000" cy="4064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遅延一覧テーブル" displayName="遅延一覧テーブル" ref="A10:H22" headerRowCount="1">
  <autoFilter ref="A10:H22"/>
  <tableColumns count="8">
    <tableColumn id="1" name="No."/>
    <tableColumn id="2" name="チーム名"/>
    <tableColumn id="3" name="シート名"/>
    <tableColumn id="4" name="テストID"/>
    <tableColumn id="5" name="実施予定"/>
    <tableColumn id="6" name="実施実績"/>
    <tableColumn id="7" name="検証予定"/>
    <tableColumn id="8" name="検証実績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明細テーブル" displayName="明細テーブル" ref="A4:L76" headerRowCount="1">
  <autoFilter ref="A4:L76"/>
  <tableColumns count="12">
    <tableColumn id="1" name="No."/>
    <tableColumn id="2" name="ファイル名"/>
    <tableColumn id="3" name="シート名"/>
    <tableColumn id="4" name="チーム名"/>
    <tableColumn id="5" name="テストID"/>
    <tableColumn id="6" name="実施者_予定"/>
    <tableColumn id="7" name="実施者_実績"/>
    <tableColumn id="8" name="実施者_状況"/>
    <tableColumn id="9" name="検証者_予定"/>
    <tableColumn id="10" name="検証者_実績"/>
    <tableColumn id="11" name="検証者_状況"/>
    <tableColumn id="12" name="進捗状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8" customWidth="1" min="15" max="15"/>
    <col width="8" customWidth="1" min="16" max="16"/>
  </cols>
  <sheetData>
    <row r="1" ht="35" customHeight="1">
      <c r="A1" s="1" t="inlineStr">
        <is>
          <t>テスト進捗ダッシュボード</t>
        </is>
      </c>
    </row>
    <row r="2" ht="22" customHeight="1">
      <c r="A2" s="2" t="inlineStr">
        <is>
          <t>基準日:</t>
        </is>
      </c>
      <c r="B2" s="3" t="n">
        <v>46086</v>
      </c>
      <c r="C2" s="4" t="n"/>
      <c r="D2" s="4" t="n"/>
      <c r="F2" s="5" t="inlineStr">
        <is>
          <t>週範囲From:</t>
        </is>
      </c>
      <c r="G2" s="6" t="inlineStr"/>
      <c r="H2" s="5" t="inlineStr">
        <is>
          <t>To:</t>
        </is>
      </c>
      <c r="I2" s="6" t="inlineStr"/>
    </row>
    <row r="4" ht="24" customHeight="1">
      <c r="A4" s="7" t="inlineStr">
        <is>
          <t>■ 実施進捗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0" customHeight="1">
      <c r="A5" s="8" t="inlineStr">
        <is>
          <t>チーム</t>
        </is>
      </c>
      <c r="B5" s="9" t="inlineStr">
        <is>
          <t>日次</t>
        </is>
      </c>
      <c r="C5" s="10" t="n"/>
      <c r="D5" s="11" t="inlineStr">
        <is>
          <t>週次</t>
        </is>
      </c>
      <c r="E5" s="12" t="n"/>
      <c r="F5" s="12" t="n"/>
      <c r="G5" s="13" t="n"/>
      <c r="H5" s="9" t="inlineStr">
        <is>
          <t>総計</t>
        </is>
      </c>
      <c r="I5" s="12" t="n"/>
      <c r="J5" s="12" t="n"/>
      <c r="K5" s="12" t="n"/>
      <c r="L5" s="12" t="n"/>
      <c r="M5" s="12" t="n"/>
      <c r="N5" s="12" t="n"/>
      <c r="O5" s="12" t="n"/>
      <c r="P5" s="13" t="n"/>
    </row>
    <row r="6" ht="22" customHeight="1">
      <c r="A6" s="14" t="n"/>
      <c r="B6" s="15" t="inlineStr">
        <is>
          <t>予定</t>
        </is>
      </c>
      <c r="C6" s="16" t="inlineStr">
        <is>
          <t>実績</t>
        </is>
      </c>
      <c r="D6" s="17" t="inlineStr">
        <is>
          <t>予定</t>
        </is>
      </c>
      <c r="E6" s="18" t="inlineStr">
        <is>
          <t>実績</t>
        </is>
      </c>
      <c r="F6" s="18" t="inlineStr">
        <is>
          <t>残数</t>
        </is>
      </c>
      <c r="G6" s="19" t="inlineStr">
        <is>
          <t>遅延</t>
        </is>
      </c>
      <c r="H6" s="15" t="inlineStr">
        <is>
          <t>総数</t>
        </is>
      </c>
      <c r="I6" s="20" t="inlineStr">
        <is>
          <t>予定累計</t>
        </is>
      </c>
      <c r="J6" s="20" t="inlineStr">
        <is>
          <t>実績累計</t>
        </is>
      </c>
      <c r="K6" s="20" t="inlineStr">
        <is>
          <t>残数</t>
        </is>
      </c>
      <c r="L6" s="20" t="inlineStr">
        <is>
          <t>遅延</t>
        </is>
      </c>
      <c r="M6" s="20" t="inlineStr">
        <is>
          <t>予定消化率</t>
        </is>
      </c>
      <c r="N6" s="20" t="inlineStr">
        <is>
          <t>実績消化率</t>
        </is>
      </c>
      <c r="O6" s="20" t="inlineStr">
        <is>
          <t>乖離</t>
        </is>
      </c>
      <c r="P6" s="16" t="inlineStr">
        <is>
          <t>状態</t>
        </is>
      </c>
    </row>
    <row r="7">
      <c r="A7" s="21" t="inlineStr">
        <is>
          <t>全体</t>
        </is>
      </c>
      <c r="B7" s="22">
        <f>IFERROR(INDEX('進捗サマリー_ALL'!D6:D30,MATCH($B$2,'進捗サマリー_ALL'!A6:A30,0)),0)</f>
        <v/>
      </c>
      <c r="C7" s="23">
        <f>IFERROR(INDEX('進捗サマリー_ALL'!E6:E30,MATCH($B$2,'進捗サマリー_ALL'!A6:A30,0)),0)</f>
        <v/>
      </c>
      <c r="D7" s="22">
        <f>IF(OR($G$2="",$I$2=""),"-",SUMIFS('進捗サマリー_ALL'!D6:D30,'進捗サマリー_ALL'!A6:A30,"&gt;="&amp;$G$2,'進捗サマリー_ALL'!A6:A30,"&lt;="&amp;$I$2))</f>
        <v/>
      </c>
      <c r="E7" s="24">
        <f>IF(OR($G$2="",$I$2=""),"-",SUMIFS('進捗サマリー_ALL'!E6:E30,'進捗サマリー_ALL'!A6:A30,"&gt;="&amp;$G$2,'進捗サマリー_ALL'!A6:A30,"&lt;="&amp;$I$2))</f>
        <v/>
      </c>
      <c r="F7" s="24">
        <f>IF(OR($G$2="",$I$2=""),"-",D7-E7)</f>
        <v/>
      </c>
      <c r="G7" s="23">
        <f>IF(OR($G$2="",$I$2=""),"-",IF(F7&gt;0,F7,0))</f>
        <v/>
      </c>
      <c r="H7" s="22">
        <f>'進捗サマリー_ALL'!D5</f>
        <v/>
      </c>
      <c r="I7" s="24">
        <f>IFERROR(INDEX('進捗サマリー_ALL'!G6:G30,MATCH($B$2,'進捗サマリー_ALL'!A6:A30,0)),0)</f>
        <v/>
      </c>
      <c r="J7" s="24">
        <f>IFERROR(INDEX('進捗サマリー_ALL'!H6:H30,MATCH($B$2,'進捗サマリー_ALL'!A6:A30,0)),0)</f>
        <v/>
      </c>
      <c r="K7" s="24">
        <f>H7-J7</f>
        <v/>
      </c>
      <c r="L7" s="24">
        <f>I7-J7</f>
        <v/>
      </c>
      <c r="M7" s="25">
        <f>IF(H7=0,0,I7/H7)</f>
        <v/>
      </c>
      <c r="N7" s="25">
        <f>IF(H7=0,0,J7/H7)</f>
        <v/>
      </c>
      <c r="O7" s="25">
        <f>N7-M7</f>
        <v/>
      </c>
      <c r="P7" s="23">
        <f>IF(J7&gt;=H7,"完了",IF(L7&gt;0,"遅延","順調"))</f>
        <v/>
      </c>
    </row>
    <row r="8">
      <c r="A8" s="26" t="inlineStr">
        <is>
          <t>オンライン</t>
        </is>
      </c>
      <c r="B8" s="27">
        <f>IFERROR(INDEX('進捗サマリー_オンライン'!D6:D23,MATCH($B$2,'進捗サマリー_オンライン'!A6:A23,0)),0)</f>
        <v/>
      </c>
      <c r="C8" s="28">
        <f>IFERROR(INDEX('進捗サマリー_オンライン'!E6:E23,MATCH($B$2,'進捗サマリー_オンライン'!A6:A23,0)),0)</f>
        <v/>
      </c>
      <c r="D8" s="27">
        <f>IF(OR($G$2="",$I$2=""),"-",SUMIFS('進捗サマリー_オンライン'!D6:D23,'進捗サマリー_オンライン'!A6:A23,"&gt;="&amp;$G$2,'進捗サマリー_オンライン'!A6:A23,"&lt;="&amp;$I$2))</f>
        <v/>
      </c>
      <c r="E8" s="29">
        <f>IF(OR($G$2="",$I$2=""),"-",SUMIFS('進捗サマリー_オンライン'!E6:E23,'進捗サマリー_オンライン'!A6:A23,"&gt;="&amp;$G$2,'進捗サマリー_オンライン'!A6:A23,"&lt;="&amp;$I$2))</f>
        <v/>
      </c>
      <c r="F8" s="29">
        <f>IF(OR($G$2="",$I$2=""),"-",D8-E8)</f>
        <v/>
      </c>
      <c r="G8" s="28">
        <f>IF(OR($G$2="",$I$2=""),"-",IF(F8&gt;0,F8,0))</f>
        <v/>
      </c>
      <c r="H8" s="27">
        <f>'進捗サマリー_オンライン'!D5</f>
        <v/>
      </c>
      <c r="I8" s="29">
        <f>IFERROR(INDEX('進捗サマリー_オンライン'!G6:G23,MATCH($B$2,'進捗サマリー_オンライン'!A6:A23,0)),0)</f>
        <v/>
      </c>
      <c r="J8" s="29">
        <f>IFERROR(INDEX('進捗サマリー_オンライン'!H6:H23,MATCH($B$2,'進捗サマリー_オンライン'!A6:A23,0)),0)</f>
        <v/>
      </c>
      <c r="K8" s="29">
        <f>H8-J8</f>
        <v/>
      </c>
      <c r="L8" s="29">
        <f>I8-J8</f>
        <v/>
      </c>
      <c r="M8" s="30">
        <f>IF(H8=0,0,I8/H8)</f>
        <v/>
      </c>
      <c r="N8" s="30">
        <f>IF(H8=0,0,J8/H8)</f>
        <v/>
      </c>
      <c r="O8" s="30">
        <f>N8-M8</f>
        <v/>
      </c>
      <c r="P8" s="28">
        <f>IF(J8&gt;=H8,"完了",IF(L8&gt;0,"遅延","順調"))</f>
        <v/>
      </c>
    </row>
    <row r="9">
      <c r="A9" s="26" t="inlineStr">
        <is>
          <t>バッチ</t>
        </is>
      </c>
      <c r="B9" s="27">
        <f>IFERROR(INDEX('進捗サマリー_バッチ'!D6:D30,MATCH($B$2,'進捗サマリー_バッチ'!A6:A30,0)),0)</f>
        <v/>
      </c>
      <c r="C9" s="28">
        <f>IFERROR(INDEX('進捗サマリー_バッチ'!E6:E30,MATCH($B$2,'進捗サマリー_バッチ'!A6:A30,0)),0)</f>
        <v/>
      </c>
      <c r="D9" s="27">
        <f>IF(OR($G$2="",$I$2=""),"-",SUMIFS('進捗サマリー_バッチ'!D6:D30,'進捗サマリー_バッチ'!A6:A30,"&gt;="&amp;$G$2,'進捗サマリー_バッチ'!A6:A30,"&lt;="&amp;$I$2))</f>
        <v/>
      </c>
      <c r="E9" s="29">
        <f>IF(OR($G$2="",$I$2=""),"-",SUMIFS('進捗サマリー_バッチ'!E6:E30,'進捗サマリー_バッチ'!A6:A30,"&gt;="&amp;$G$2,'進捗サマリー_バッチ'!A6:A30,"&lt;="&amp;$I$2))</f>
        <v/>
      </c>
      <c r="F9" s="29">
        <f>IF(OR($G$2="",$I$2=""),"-",D9-E9)</f>
        <v/>
      </c>
      <c r="G9" s="28">
        <f>IF(OR($G$2="",$I$2=""),"-",IF(F9&gt;0,F9,0))</f>
        <v/>
      </c>
      <c r="H9" s="27">
        <f>'進捗サマリー_バッチ'!D5</f>
        <v/>
      </c>
      <c r="I9" s="29">
        <f>IFERROR(INDEX('進捗サマリー_バッチ'!G6:G30,MATCH($B$2,'進捗サマリー_バッチ'!A6:A30,0)),0)</f>
        <v/>
      </c>
      <c r="J9" s="29">
        <f>IFERROR(INDEX('進捗サマリー_バッチ'!H6:H30,MATCH($B$2,'進捗サマリー_バッチ'!A6:A30,0)),0)</f>
        <v/>
      </c>
      <c r="K9" s="29">
        <f>H9-J9</f>
        <v/>
      </c>
      <c r="L9" s="29">
        <f>I9-J9</f>
        <v/>
      </c>
      <c r="M9" s="30">
        <f>IF(H9=0,0,I9/H9)</f>
        <v/>
      </c>
      <c r="N9" s="30">
        <f>IF(H9=0,0,J9/H9)</f>
        <v/>
      </c>
      <c r="O9" s="30">
        <f>N9-M9</f>
        <v/>
      </c>
      <c r="P9" s="28">
        <f>IF(J9&gt;=H9,"完了",IF(L9&gt;0,"遅延","順調"))</f>
        <v/>
      </c>
    </row>
    <row r="10">
      <c r="A10" s="26" t="inlineStr">
        <is>
          <t>基盤</t>
        </is>
      </c>
      <c r="B10" s="27">
        <f>IFERROR(INDEX('進捗サマリー_基盤'!D6:D24,MATCH($B$2,'進捗サマリー_基盤'!A6:A24,0)),0)</f>
        <v/>
      </c>
      <c r="C10" s="28">
        <f>IFERROR(INDEX('進捗サマリー_基盤'!E6:E24,MATCH($B$2,'進捗サマリー_基盤'!A6:A24,0)),0)</f>
        <v/>
      </c>
      <c r="D10" s="27">
        <f>IF(OR($G$2="",$I$2=""),"-",SUMIFS('進捗サマリー_基盤'!D6:D24,'進捗サマリー_基盤'!A6:A24,"&gt;="&amp;$G$2,'進捗サマリー_基盤'!A6:A24,"&lt;="&amp;$I$2))</f>
        <v/>
      </c>
      <c r="E10" s="29">
        <f>IF(OR($G$2="",$I$2=""),"-",SUMIFS('進捗サマリー_基盤'!E6:E24,'進捗サマリー_基盤'!A6:A24,"&gt;="&amp;$G$2,'進捗サマリー_基盤'!A6:A24,"&lt;="&amp;$I$2))</f>
        <v/>
      </c>
      <c r="F10" s="29">
        <f>IF(OR($G$2="",$I$2=""),"-",D10-E10)</f>
        <v/>
      </c>
      <c r="G10" s="28">
        <f>IF(OR($G$2="",$I$2=""),"-",IF(F10&gt;0,F10,0))</f>
        <v/>
      </c>
      <c r="H10" s="27">
        <f>'進捗サマリー_基盤'!D5</f>
        <v/>
      </c>
      <c r="I10" s="29">
        <f>IFERROR(INDEX('進捗サマリー_基盤'!G6:G24,MATCH($B$2,'進捗サマリー_基盤'!A6:A24,0)),0)</f>
        <v/>
      </c>
      <c r="J10" s="29">
        <f>IFERROR(INDEX('進捗サマリー_基盤'!H6:H24,MATCH($B$2,'進捗サマリー_基盤'!A6:A24,0)),0)</f>
        <v/>
      </c>
      <c r="K10" s="29">
        <f>H10-J10</f>
        <v/>
      </c>
      <c r="L10" s="29">
        <f>I10-J10</f>
        <v/>
      </c>
      <c r="M10" s="30">
        <f>IF(H10=0,0,I10/H10)</f>
        <v/>
      </c>
      <c r="N10" s="30">
        <f>IF(H10=0,0,J10/H10)</f>
        <v/>
      </c>
      <c r="O10" s="30">
        <f>N10-M10</f>
        <v/>
      </c>
      <c r="P10" s="28">
        <f>IF(J10&gt;=H10,"完了",IF(L10&gt;0,"遅延","順調"))</f>
        <v/>
      </c>
    </row>
    <row r="11">
      <c r="A11" s="26" t="inlineStr">
        <is>
          <t>運用</t>
        </is>
      </c>
      <c r="B11" s="27">
        <f>IFERROR(INDEX('進捗サマリー_運用'!D6:D25,MATCH($B$2,'進捗サマリー_運用'!A6:A25,0)),0)</f>
        <v/>
      </c>
      <c r="C11" s="28">
        <f>IFERROR(INDEX('進捗サマリー_運用'!E6:E25,MATCH($B$2,'進捗サマリー_運用'!A6:A25,0)),0)</f>
        <v/>
      </c>
      <c r="D11" s="27">
        <f>IF(OR($G$2="",$I$2=""),"-",SUMIFS('進捗サマリー_運用'!D6:D25,'進捗サマリー_運用'!A6:A25,"&gt;="&amp;$G$2,'進捗サマリー_運用'!A6:A25,"&lt;="&amp;$I$2))</f>
        <v/>
      </c>
      <c r="E11" s="29">
        <f>IF(OR($G$2="",$I$2=""),"-",SUMIFS('進捗サマリー_運用'!E6:E25,'進捗サマリー_運用'!A6:A25,"&gt;="&amp;$G$2,'進捗サマリー_運用'!A6:A25,"&lt;="&amp;$I$2))</f>
        <v/>
      </c>
      <c r="F11" s="29">
        <f>IF(OR($G$2="",$I$2=""),"-",D11-E11)</f>
        <v/>
      </c>
      <c r="G11" s="28">
        <f>IF(OR($G$2="",$I$2=""),"-",IF(F11&gt;0,F11,0))</f>
        <v/>
      </c>
      <c r="H11" s="27">
        <f>'進捗サマリー_運用'!D5</f>
        <v/>
      </c>
      <c r="I11" s="29">
        <f>IFERROR(INDEX('進捗サマリー_運用'!G6:G25,MATCH($B$2,'進捗サマリー_運用'!A6:A25,0)),0)</f>
        <v/>
      </c>
      <c r="J11" s="29">
        <f>IFERROR(INDEX('進捗サマリー_運用'!H6:H25,MATCH($B$2,'進捗サマリー_運用'!A6:A25,0)),0)</f>
        <v/>
      </c>
      <c r="K11" s="29">
        <f>H11-J11</f>
        <v/>
      </c>
      <c r="L11" s="29">
        <f>I11-J11</f>
        <v/>
      </c>
      <c r="M11" s="30">
        <f>IF(H11=0,0,I11/H11)</f>
        <v/>
      </c>
      <c r="N11" s="30">
        <f>IF(H11=0,0,J11/H11)</f>
        <v/>
      </c>
      <c r="O11" s="30">
        <f>N11-M11</f>
        <v/>
      </c>
      <c r="P11" s="28">
        <f>IF(J11&gt;=H11,"完了",IF(L11&gt;0,"遅延","順調"))</f>
        <v/>
      </c>
    </row>
    <row r="13" ht="24" customHeight="1">
      <c r="A13" s="31" t="inlineStr">
        <is>
          <t>■ 検証進捗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20" customHeight="1">
      <c r="A14" s="8" t="inlineStr">
        <is>
          <t>チーム</t>
        </is>
      </c>
      <c r="B14" s="32" t="inlineStr">
        <is>
          <t>日次</t>
        </is>
      </c>
      <c r="C14" s="33" t="n"/>
      <c r="D14" s="34" t="inlineStr">
        <is>
          <t>週次</t>
        </is>
      </c>
      <c r="E14" s="12" t="n"/>
      <c r="F14" s="12" t="n"/>
      <c r="G14" s="13" t="n"/>
      <c r="H14" s="32" t="inlineStr">
        <is>
          <t>総計</t>
        </is>
      </c>
      <c r="I14" s="12" t="n"/>
      <c r="J14" s="12" t="n"/>
      <c r="K14" s="12" t="n"/>
      <c r="L14" s="12" t="n"/>
      <c r="M14" s="12" t="n"/>
      <c r="N14" s="12" t="n"/>
      <c r="O14" s="12" t="n"/>
      <c r="P14" s="13" t="n"/>
    </row>
    <row r="15" ht="22" customHeight="1">
      <c r="A15" s="14" t="n"/>
      <c r="B15" s="35" t="inlineStr">
        <is>
          <t>予定</t>
        </is>
      </c>
      <c r="C15" s="36" t="inlineStr">
        <is>
          <t>実績</t>
        </is>
      </c>
      <c r="D15" s="37" t="inlineStr">
        <is>
          <t>予定</t>
        </is>
      </c>
      <c r="E15" s="38" t="inlineStr">
        <is>
          <t>実績</t>
        </is>
      </c>
      <c r="F15" s="38" t="inlineStr">
        <is>
          <t>残数</t>
        </is>
      </c>
      <c r="G15" s="39" t="inlineStr">
        <is>
          <t>遅延</t>
        </is>
      </c>
      <c r="H15" s="35" t="inlineStr">
        <is>
          <t>総数</t>
        </is>
      </c>
      <c r="I15" s="40" t="inlineStr">
        <is>
          <t>予定累計</t>
        </is>
      </c>
      <c r="J15" s="40" t="inlineStr">
        <is>
          <t>実績累計</t>
        </is>
      </c>
      <c r="K15" s="40" t="inlineStr">
        <is>
          <t>残数</t>
        </is>
      </c>
      <c r="L15" s="40" t="inlineStr">
        <is>
          <t>遅延</t>
        </is>
      </c>
      <c r="M15" s="40" t="inlineStr">
        <is>
          <t>予定消化率</t>
        </is>
      </c>
      <c r="N15" s="40" t="inlineStr">
        <is>
          <t>実績消化率</t>
        </is>
      </c>
      <c r="O15" s="40" t="inlineStr">
        <is>
          <t>乖離</t>
        </is>
      </c>
      <c r="P15" s="36" t="inlineStr">
        <is>
          <t>状態</t>
        </is>
      </c>
    </row>
    <row r="16">
      <c r="A16" s="41" t="inlineStr">
        <is>
          <t>全体</t>
        </is>
      </c>
      <c r="B16" s="42">
        <f>IFERROR(INDEX('進捗サマリー_ALL'!K6:K30,MATCH($B$2,'進捗サマリー_ALL'!A6:A30,0)),0)</f>
        <v/>
      </c>
      <c r="C16" s="43">
        <f>IFERROR(INDEX('進捗サマリー_ALL'!L6:L30,MATCH($B$2,'進捗サマリー_ALL'!A6:A30,0)),0)</f>
        <v/>
      </c>
      <c r="D16" s="42">
        <f>IF(OR($G$2="",$I$2=""),"-",SUMIFS('進捗サマリー_ALL'!K6:K30,'進捗サマリー_ALL'!A6:A30,"&gt;="&amp;$G$2,'進捗サマリー_ALL'!A6:A30,"&lt;="&amp;$I$2))</f>
        <v/>
      </c>
      <c r="E16" s="44">
        <f>IF(OR($G$2="",$I$2=""),"-",SUMIFS('進捗サマリー_ALL'!L6:L30,'進捗サマリー_ALL'!A6:A30,"&gt;="&amp;$G$2,'進捗サマリー_ALL'!A6:A30,"&lt;="&amp;$I$2))</f>
        <v/>
      </c>
      <c r="F16" s="44">
        <f>IF(OR($G$2="",$I$2=""),"-",D16-E16)</f>
        <v/>
      </c>
      <c r="G16" s="43">
        <f>IF(OR($G$2="",$I$2=""),"-",IF(F16&gt;0,F16,0))</f>
        <v/>
      </c>
      <c r="H16" s="42">
        <f>'進捗サマリー_ALL'!K5</f>
        <v/>
      </c>
      <c r="I16" s="44">
        <f>IFERROR(INDEX('進捗サマリー_ALL'!N6:N30,MATCH($B$2,'進捗サマリー_ALL'!A6:A30,0)),0)</f>
        <v/>
      </c>
      <c r="J16" s="44">
        <f>IFERROR(INDEX('進捗サマリー_ALL'!O6:O30,MATCH($B$2,'進捗サマリー_ALL'!A6:A30,0)),0)</f>
        <v/>
      </c>
      <c r="K16" s="44">
        <f>H16-J16</f>
        <v/>
      </c>
      <c r="L16" s="44">
        <f>I16-J16</f>
        <v/>
      </c>
      <c r="M16" s="45">
        <f>IF(H16=0,0,I16/H16)</f>
        <v/>
      </c>
      <c r="N16" s="45">
        <f>IF(H16=0,0,J16/H16)</f>
        <v/>
      </c>
      <c r="O16" s="45">
        <f>N16-M16</f>
        <v/>
      </c>
      <c r="P16" s="43">
        <f>IF(J16&gt;=H16,"完了",IF(L16&gt;0,"遅延","順調"))</f>
        <v/>
      </c>
    </row>
    <row r="17">
      <c r="A17" s="26" t="inlineStr">
        <is>
          <t>オンライン</t>
        </is>
      </c>
      <c r="B17" s="27">
        <f>IFERROR(INDEX('進捗サマリー_オンライン'!K6:K23,MATCH($B$2,'進捗サマリー_オンライン'!A6:A23,0)),0)</f>
        <v/>
      </c>
      <c r="C17" s="28">
        <f>IFERROR(INDEX('進捗サマリー_オンライン'!L6:L23,MATCH($B$2,'進捗サマリー_オンライン'!A6:A23,0)),0)</f>
        <v/>
      </c>
      <c r="D17" s="27">
        <f>IF(OR($G$2="",$I$2=""),"-",SUMIFS('進捗サマリー_オンライン'!K6:K23,'進捗サマリー_オンライン'!A6:A23,"&gt;="&amp;$G$2,'進捗サマリー_オンライン'!A6:A23,"&lt;="&amp;$I$2))</f>
        <v/>
      </c>
      <c r="E17" s="29">
        <f>IF(OR($G$2="",$I$2=""),"-",SUMIFS('進捗サマリー_オンライン'!L6:L23,'進捗サマリー_オンライン'!A6:A23,"&gt;="&amp;$G$2,'進捗サマリー_オンライン'!A6:A23,"&lt;="&amp;$I$2))</f>
        <v/>
      </c>
      <c r="F17" s="29">
        <f>IF(OR($G$2="",$I$2=""),"-",D17-E17)</f>
        <v/>
      </c>
      <c r="G17" s="28">
        <f>IF(OR($G$2="",$I$2=""),"-",IF(F17&gt;0,F17,0))</f>
        <v/>
      </c>
      <c r="H17" s="27">
        <f>'進捗サマリー_オンライン'!K5</f>
        <v/>
      </c>
      <c r="I17" s="29">
        <f>IFERROR(INDEX('進捗サマリー_オンライン'!N6:N23,MATCH($B$2,'進捗サマリー_オンライン'!A6:A23,0)),0)</f>
        <v/>
      </c>
      <c r="J17" s="29">
        <f>IFERROR(INDEX('進捗サマリー_オンライン'!O6:O23,MATCH($B$2,'進捗サマリー_オンライン'!A6:A23,0)),0)</f>
        <v/>
      </c>
      <c r="K17" s="29">
        <f>H17-J17</f>
        <v/>
      </c>
      <c r="L17" s="29">
        <f>I17-J17</f>
        <v/>
      </c>
      <c r="M17" s="30">
        <f>IF(H17=0,0,I17/H17)</f>
        <v/>
      </c>
      <c r="N17" s="30">
        <f>IF(H17=0,0,J17/H17)</f>
        <v/>
      </c>
      <c r="O17" s="30">
        <f>N17-M17</f>
        <v/>
      </c>
      <c r="P17" s="28">
        <f>IF(J17&gt;=H17,"完了",IF(L17&gt;0,"遅延","順調"))</f>
        <v/>
      </c>
    </row>
    <row r="18">
      <c r="A18" s="26" t="inlineStr">
        <is>
          <t>バッチ</t>
        </is>
      </c>
      <c r="B18" s="27">
        <f>IFERROR(INDEX('進捗サマリー_バッチ'!K6:K30,MATCH($B$2,'進捗サマリー_バッチ'!A6:A30,0)),0)</f>
        <v/>
      </c>
      <c r="C18" s="28">
        <f>IFERROR(INDEX('進捗サマリー_バッチ'!L6:L30,MATCH($B$2,'進捗サマリー_バッチ'!A6:A30,0)),0)</f>
        <v/>
      </c>
      <c r="D18" s="27">
        <f>IF(OR($G$2="",$I$2=""),"-",SUMIFS('進捗サマリー_バッチ'!K6:K30,'進捗サマリー_バッチ'!A6:A30,"&gt;="&amp;$G$2,'進捗サマリー_バッチ'!A6:A30,"&lt;="&amp;$I$2))</f>
        <v/>
      </c>
      <c r="E18" s="29">
        <f>IF(OR($G$2="",$I$2=""),"-",SUMIFS('進捗サマリー_バッチ'!L6:L30,'進捗サマリー_バッチ'!A6:A30,"&gt;="&amp;$G$2,'進捗サマリー_バッチ'!A6:A30,"&lt;="&amp;$I$2))</f>
        <v/>
      </c>
      <c r="F18" s="29">
        <f>IF(OR($G$2="",$I$2=""),"-",D18-E18)</f>
        <v/>
      </c>
      <c r="G18" s="28">
        <f>IF(OR($G$2="",$I$2=""),"-",IF(F18&gt;0,F18,0))</f>
        <v/>
      </c>
      <c r="H18" s="27">
        <f>'進捗サマリー_バッチ'!K5</f>
        <v/>
      </c>
      <c r="I18" s="29">
        <f>IFERROR(INDEX('進捗サマリー_バッチ'!N6:N30,MATCH($B$2,'進捗サマリー_バッチ'!A6:A30,0)),0)</f>
        <v/>
      </c>
      <c r="J18" s="29">
        <f>IFERROR(INDEX('進捗サマリー_バッチ'!O6:O30,MATCH($B$2,'進捗サマリー_バッチ'!A6:A30,0)),0)</f>
        <v/>
      </c>
      <c r="K18" s="29">
        <f>H18-J18</f>
        <v/>
      </c>
      <c r="L18" s="29">
        <f>I18-J18</f>
        <v/>
      </c>
      <c r="M18" s="30">
        <f>IF(H18=0,0,I18/H18)</f>
        <v/>
      </c>
      <c r="N18" s="30">
        <f>IF(H18=0,0,J18/H18)</f>
        <v/>
      </c>
      <c r="O18" s="30">
        <f>N18-M18</f>
        <v/>
      </c>
      <c r="P18" s="28">
        <f>IF(J18&gt;=H18,"完了",IF(L18&gt;0,"遅延","順調"))</f>
        <v/>
      </c>
    </row>
    <row r="19">
      <c r="A19" s="26" t="inlineStr">
        <is>
          <t>基盤</t>
        </is>
      </c>
      <c r="B19" s="27">
        <f>IFERROR(INDEX('進捗サマリー_基盤'!K6:K24,MATCH($B$2,'進捗サマリー_基盤'!A6:A24,0)),0)</f>
        <v/>
      </c>
      <c r="C19" s="28">
        <f>IFERROR(INDEX('進捗サマリー_基盤'!L6:L24,MATCH($B$2,'進捗サマリー_基盤'!A6:A24,0)),0)</f>
        <v/>
      </c>
      <c r="D19" s="27">
        <f>IF(OR($G$2="",$I$2=""),"-",SUMIFS('進捗サマリー_基盤'!K6:K24,'進捗サマリー_基盤'!A6:A24,"&gt;="&amp;$G$2,'進捗サマリー_基盤'!A6:A24,"&lt;="&amp;$I$2))</f>
        <v/>
      </c>
      <c r="E19" s="29">
        <f>IF(OR($G$2="",$I$2=""),"-",SUMIFS('進捗サマリー_基盤'!L6:L24,'進捗サマリー_基盤'!A6:A24,"&gt;="&amp;$G$2,'進捗サマリー_基盤'!A6:A24,"&lt;="&amp;$I$2))</f>
        <v/>
      </c>
      <c r="F19" s="29">
        <f>IF(OR($G$2="",$I$2=""),"-",D19-E19)</f>
        <v/>
      </c>
      <c r="G19" s="28">
        <f>IF(OR($G$2="",$I$2=""),"-",IF(F19&gt;0,F19,0))</f>
        <v/>
      </c>
      <c r="H19" s="27">
        <f>'進捗サマリー_基盤'!K5</f>
        <v/>
      </c>
      <c r="I19" s="29">
        <f>IFERROR(INDEX('進捗サマリー_基盤'!N6:N24,MATCH($B$2,'進捗サマリー_基盤'!A6:A24,0)),0)</f>
        <v/>
      </c>
      <c r="J19" s="29">
        <f>IFERROR(INDEX('進捗サマリー_基盤'!O6:O24,MATCH($B$2,'進捗サマリー_基盤'!A6:A24,0)),0)</f>
        <v/>
      </c>
      <c r="K19" s="29">
        <f>H19-J19</f>
        <v/>
      </c>
      <c r="L19" s="29">
        <f>I19-J19</f>
        <v/>
      </c>
      <c r="M19" s="30">
        <f>IF(H19=0,0,I19/H19)</f>
        <v/>
      </c>
      <c r="N19" s="30">
        <f>IF(H19=0,0,J19/H19)</f>
        <v/>
      </c>
      <c r="O19" s="30">
        <f>N19-M19</f>
        <v/>
      </c>
      <c r="P19" s="28">
        <f>IF(J19&gt;=H19,"完了",IF(L19&gt;0,"遅延","順調"))</f>
        <v/>
      </c>
    </row>
    <row r="20">
      <c r="A20" s="26" t="inlineStr">
        <is>
          <t>運用</t>
        </is>
      </c>
      <c r="B20" s="27">
        <f>IFERROR(INDEX('進捗サマリー_運用'!K6:K25,MATCH($B$2,'進捗サマリー_運用'!A6:A25,0)),0)</f>
        <v/>
      </c>
      <c r="C20" s="28">
        <f>IFERROR(INDEX('進捗サマリー_運用'!L6:L25,MATCH($B$2,'進捗サマリー_運用'!A6:A25,0)),0)</f>
        <v/>
      </c>
      <c r="D20" s="27">
        <f>IF(OR($G$2="",$I$2=""),"-",SUMIFS('進捗サマリー_運用'!K6:K25,'進捗サマリー_運用'!A6:A25,"&gt;="&amp;$G$2,'進捗サマリー_運用'!A6:A25,"&lt;="&amp;$I$2))</f>
        <v/>
      </c>
      <c r="E20" s="29">
        <f>IF(OR($G$2="",$I$2=""),"-",SUMIFS('進捗サマリー_運用'!L6:L25,'進捗サマリー_運用'!A6:A25,"&gt;="&amp;$G$2,'進捗サマリー_運用'!A6:A25,"&lt;="&amp;$I$2))</f>
        <v/>
      </c>
      <c r="F20" s="29">
        <f>IF(OR($G$2="",$I$2=""),"-",D20-E20)</f>
        <v/>
      </c>
      <c r="G20" s="28">
        <f>IF(OR($G$2="",$I$2=""),"-",IF(F20&gt;0,F20,0))</f>
        <v/>
      </c>
      <c r="H20" s="27">
        <f>'進捗サマリー_運用'!K5</f>
        <v/>
      </c>
      <c r="I20" s="29">
        <f>IFERROR(INDEX('進捗サマリー_運用'!N6:N25,MATCH($B$2,'進捗サマリー_運用'!A6:A25,0)),0)</f>
        <v/>
      </c>
      <c r="J20" s="29">
        <f>IFERROR(INDEX('進捗サマリー_運用'!O6:O25,MATCH($B$2,'進捗サマリー_運用'!A6:A25,0)),0)</f>
        <v/>
      </c>
      <c r="K20" s="29">
        <f>H20-J20</f>
        <v/>
      </c>
      <c r="L20" s="29">
        <f>I20-J20</f>
        <v/>
      </c>
      <c r="M20" s="30">
        <f>IF(H20=0,0,I20/H20)</f>
        <v/>
      </c>
      <c r="N20" s="30">
        <f>IF(H20=0,0,J20/H20)</f>
        <v/>
      </c>
      <c r="O20" s="30">
        <f>N20-M20</f>
        <v/>
      </c>
      <c r="P20" s="28">
        <f>IF(J20&gt;=H20,"完了",IF(L20&gt;0,"遅延","順調"))</f>
        <v/>
      </c>
    </row>
    <row r="22" ht="24" customHeight="1">
      <c r="A22" s="46" t="inlineStr">
        <is>
          <t>■ 進捗推移チャート（左: 実施 / 右: 検証）　※実施予定=青、検証予定=緑、実績=オレンジ</t>
        </is>
      </c>
    </row>
  </sheetData>
  <mergeCells count="13">
    <mergeCell ref="A5:A6"/>
    <mergeCell ref="A13:P13"/>
    <mergeCell ref="B5:C5"/>
    <mergeCell ref="A14:A15"/>
    <mergeCell ref="H5:P5"/>
    <mergeCell ref="H14:P14"/>
    <mergeCell ref="A22:P22"/>
    <mergeCell ref="B14:C14"/>
    <mergeCell ref="A4:P4"/>
    <mergeCell ref="A1:R1"/>
    <mergeCell ref="D5:G5"/>
    <mergeCell ref="B2:D2"/>
    <mergeCell ref="D14:G14"/>
  </mergeCells>
  <conditionalFormatting sqref="L7:L11">
    <cfRule type="expression" priority="1" dxfId="0">
      <formula>L7&gt;0</formula>
    </cfRule>
  </conditionalFormatting>
  <conditionalFormatting sqref="O7:O11">
    <cfRule type="expression" priority="2" dxfId="0">
      <formula>O7&lt;0</formula>
    </cfRule>
  </conditionalFormatting>
  <conditionalFormatting sqref="P7:P11">
    <cfRule type="expression" priority="3" dxfId="1">
      <formula>P7="完了"</formula>
    </cfRule>
    <cfRule type="expression" priority="4" dxfId="0">
      <formula>P7="遅延"</formula>
    </cfRule>
    <cfRule type="expression" priority="5" dxfId="2">
      <formula>P7="順調"</formula>
    </cfRule>
  </conditionalFormatting>
  <conditionalFormatting sqref="G7:G11">
    <cfRule type="expression" priority="6" dxfId="0">
      <formula>AND(ISNUMBER(G7),G7&gt;0)</formula>
    </cfRule>
  </conditionalFormatting>
  <conditionalFormatting sqref="L16:L20">
    <cfRule type="expression" priority="7" dxfId="0">
      <formula>L16&gt;0</formula>
    </cfRule>
  </conditionalFormatting>
  <conditionalFormatting sqref="O16:O20">
    <cfRule type="expression" priority="8" dxfId="0">
      <formula>O16&lt;0</formula>
    </cfRule>
  </conditionalFormatting>
  <conditionalFormatting sqref="P16:P20">
    <cfRule type="expression" priority="9" dxfId="1">
      <formula>P16="完了"</formula>
    </cfRule>
    <cfRule type="expression" priority="10" dxfId="0">
      <formula>P16="遅延"</formula>
    </cfRule>
    <cfRule type="expression" priority="11" dxfId="2">
      <formula>P16="順調"</formula>
    </cfRule>
  </conditionalFormatting>
  <conditionalFormatting sqref="G16:G20">
    <cfRule type="expression" priority="12" dxfId="0">
      <formula>AND(ISNUMBER(G16),G16&gt;0)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47" t="inlineStr">
        <is>
          <t>要対応一覧（12件）</t>
        </is>
      </c>
    </row>
    <row r="2">
      <c r="A2" s="48" t="inlineStr">
        <is>
          <t>基準日: 2026/03/05</t>
        </is>
      </c>
    </row>
    <row r="4">
      <c r="A4" s="49" t="inlineStr">
        <is>
          <t>■ 遅延サマリー</t>
        </is>
      </c>
    </row>
    <row r="5">
      <c r="A5" s="50" t="inlineStr">
        <is>
          <t>項目</t>
        </is>
      </c>
      <c r="B5" s="50" t="inlineStr">
        <is>
          <t>遅延件数</t>
        </is>
      </c>
    </row>
    <row r="6">
      <c r="A6" s="29" t="inlineStr">
        <is>
          <t>実施者_遅延</t>
        </is>
      </c>
      <c r="B6" s="29">
        <f>COUNTIF(明細!$H$5:$H$76,"遅延")</f>
        <v/>
      </c>
    </row>
    <row r="7">
      <c r="A7" s="29" t="inlineStr">
        <is>
          <t>検証者_遅延</t>
        </is>
      </c>
      <c r="B7" s="29">
        <f>COUNTIF(明細!$K$5:$K$76,"遅延")</f>
        <v/>
      </c>
    </row>
    <row r="9">
      <c r="A9" s="49" t="inlineStr">
        <is>
          <t>■ 遅延一覧</t>
        </is>
      </c>
    </row>
    <row r="10">
      <c r="A10" s="51" t="inlineStr">
        <is>
          <t>No.</t>
        </is>
      </c>
      <c r="B10" s="51" t="inlineStr">
        <is>
          <t>チーム名</t>
        </is>
      </c>
      <c r="C10" s="51" t="inlineStr">
        <is>
          <t>シート名</t>
        </is>
      </c>
      <c r="D10" s="51" t="inlineStr">
        <is>
          <t>テストID</t>
        </is>
      </c>
      <c r="E10" s="51" t="inlineStr">
        <is>
          <t>実施予定</t>
        </is>
      </c>
      <c r="F10" s="51" t="inlineStr">
        <is>
          <t>実施実績</t>
        </is>
      </c>
      <c r="G10" s="51" t="inlineStr">
        <is>
          <t>検証予定</t>
        </is>
      </c>
      <c r="H10" s="51" t="inlineStr">
        <is>
          <t>検証実績</t>
        </is>
      </c>
    </row>
    <row r="11">
      <c r="A11" s="52" t="n">
        <v>1</v>
      </c>
      <c r="B11" s="52" t="inlineStr">
        <is>
          <t>バッチ</t>
        </is>
      </c>
      <c r="C11" s="52" t="inlineStr">
        <is>
          <t>ITB-EV003-SC001-B-001</t>
        </is>
      </c>
      <c r="D11" s="52" t="inlineStr">
        <is>
          <t>ITB-EV003-SC001-B-001-004</t>
        </is>
      </c>
      <c r="E11" s="52" t="inlineStr">
        <is>
          <t>2026/03/02</t>
        </is>
      </c>
      <c r="F11" s="53" t="inlineStr">
        <is>
          <t>未完了</t>
        </is>
      </c>
      <c r="G11" s="52" t="inlineStr">
        <is>
          <t>2026/03/05</t>
        </is>
      </c>
      <c r="H11" s="53" t="inlineStr">
        <is>
          <t>未完了</t>
        </is>
      </c>
    </row>
    <row r="12">
      <c r="A12" s="52" t="n">
        <v>2</v>
      </c>
      <c r="B12" s="52" t="inlineStr">
        <is>
          <t>バッチ</t>
        </is>
      </c>
      <c r="C12" s="52" t="inlineStr">
        <is>
          <t>ITB-EV003-SC001-B-001</t>
        </is>
      </c>
      <c r="D12" s="52" t="inlineStr">
        <is>
          <t>ITB-EV003-SC001-B-001-006</t>
        </is>
      </c>
      <c r="E12" s="52" t="inlineStr">
        <is>
          <t>2026/02/24</t>
        </is>
      </c>
      <c r="F12" s="53" t="inlineStr">
        <is>
          <t>未完了</t>
        </is>
      </c>
      <c r="G12" s="52" t="inlineStr">
        <is>
          <t>2026/02/26</t>
        </is>
      </c>
      <c r="H12" s="53" t="inlineStr">
        <is>
          <t>未完了</t>
        </is>
      </c>
    </row>
    <row r="13">
      <c r="A13" s="52" t="n">
        <v>3</v>
      </c>
      <c r="B13" s="52" t="inlineStr">
        <is>
          <t>バッチ</t>
        </is>
      </c>
      <c r="C13" s="52" t="inlineStr">
        <is>
          <t>ITB-EV003-SC001-B-001</t>
        </is>
      </c>
      <c r="D13" s="52" t="inlineStr">
        <is>
          <t>ITB-EV003-SC001-B-001-008</t>
        </is>
      </c>
      <c r="E13" s="52" t="inlineStr">
        <is>
          <t>2026/03/05</t>
        </is>
      </c>
      <c r="F13" s="53" t="inlineStr">
        <is>
          <t>未完了</t>
        </is>
      </c>
      <c r="G13" s="52" t="inlineStr">
        <is>
          <t>2026/03/08</t>
        </is>
      </c>
      <c r="H13" s="52" t="inlineStr">
        <is>
          <t>未完了</t>
        </is>
      </c>
    </row>
    <row r="14">
      <c r="A14" s="52" t="n">
        <v>4</v>
      </c>
      <c r="B14" s="52" t="inlineStr">
        <is>
          <t>バッチ</t>
        </is>
      </c>
      <c r="C14" s="52" t="inlineStr">
        <is>
          <t>ITB-EV003-SC002-B-001</t>
        </is>
      </c>
      <c r="D14" s="52" t="inlineStr">
        <is>
          <t>ITB-EV003-SC002-B-001-002</t>
        </is>
      </c>
      <c r="E14" s="52" t="inlineStr">
        <is>
          <t>2026/02/26</t>
        </is>
      </c>
      <c r="F14" s="53" t="inlineStr">
        <is>
          <t>未完了</t>
        </is>
      </c>
      <c r="G14" s="52" t="inlineStr">
        <is>
          <t>2026/02/28</t>
        </is>
      </c>
      <c r="H14" s="53" t="inlineStr">
        <is>
          <t>未完了</t>
        </is>
      </c>
    </row>
    <row r="15">
      <c r="A15" s="52" t="n">
        <v>5</v>
      </c>
      <c r="B15" s="52" t="inlineStr">
        <is>
          <t>バッチ</t>
        </is>
      </c>
      <c r="C15" s="52" t="inlineStr">
        <is>
          <t>ITB-EV004-SC001-B-001</t>
        </is>
      </c>
      <c r="D15" s="52" t="inlineStr">
        <is>
          <t>ITB-EV004-SC001-B-001-002</t>
        </is>
      </c>
      <c r="E15" s="52" t="inlineStr">
        <is>
          <t>2026/02/23</t>
        </is>
      </c>
      <c r="F15" s="52" t="inlineStr">
        <is>
          <t>2026/02/25</t>
        </is>
      </c>
      <c r="G15" s="52" t="inlineStr">
        <is>
          <t>2026/02/25</t>
        </is>
      </c>
      <c r="H15" s="53" t="inlineStr">
        <is>
          <t>未完了</t>
        </is>
      </c>
    </row>
    <row r="16">
      <c r="A16" s="52" t="n">
        <v>6</v>
      </c>
      <c r="B16" s="52" t="inlineStr">
        <is>
          <t>バッチ</t>
        </is>
      </c>
      <c r="C16" s="52" t="inlineStr">
        <is>
          <t>ITB-EV004-SC001-B-001</t>
        </is>
      </c>
      <c r="D16" s="52" t="inlineStr">
        <is>
          <t>ITB-EV004-SC001-B-001-006</t>
        </is>
      </c>
      <c r="E16" s="52" t="inlineStr">
        <is>
          <t>2026/02/28</t>
        </is>
      </c>
      <c r="F16" s="53" t="inlineStr">
        <is>
          <t>未完了</t>
        </is>
      </c>
      <c r="G16" s="52" t="inlineStr">
        <is>
          <t>2026/03/04</t>
        </is>
      </c>
      <c r="H16" s="53" t="inlineStr">
        <is>
          <t>未完了</t>
        </is>
      </c>
    </row>
    <row r="17">
      <c r="A17" s="52" t="n">
        <v>7</v>
      </c>
      <c r="B17" s="52" t="inlineStr">
        <is>
          <t>基盤</t>
        </is>
      </c>
      <c r="C17" s="52" t="inlineStr">
        <is>
          <t>ITB-EV005-SC001-I-001</t>
        </is>
      </c>
      <c r="D17" s="52" t="inlineStr">
        <is>
          <t>ITB-EV005-SC001-I-001-004</t>
        </is>
      </c>
      <c r="E17" s="52" t="inlineStr">
        <is>
          <t>2026/03/02</t>
        </is>
      </c>
      <c r="F17" s="53" t="inlineStr">
        <is>
          <t>未完了</t>
        </is>
      </c>
      <c r="G17" s="52" t="inlineStr">
        <is>
          <t>2026/03/05</t>
        </is>
      </c>
      <c r="H17" s="53" t="inlineStr">
        <is>
          <t>未完了</t>
        </is>
      </c>
    </row>
    <row r="18">
      <c r="A18" s="52" t="n">
        <v>8</v>
      </c>
      <c r="B18" s="52" t="inlineStr">
        <is>
          <t>基盤</t>
        </is>
      </c>
      <c r="C18" s="52" t="inlineStr">
        <is>
          <t>ITB-EV005-SC001-I-001</t>
        </is>
      </c>
      <c r="D18" s="52" t="inlineStr">
        <is>
          <t>ITB-EV005-SC001-I-001-006</t>
        </is>
      </c>
      <c r="E18" s="52" t="inlineStr">
        <is>
          <t>2026/02/25</t>
        </is>
      </c>
      <c r="F18" s="52" t="inlineStr">
        <is>
          <t>2026/02/26</t>
        </is>
      </c>
      <c r="G18" s="52" t="inlineStr">
        <is>
          <t>2026/02/28</t>
        </is>
      </c>
      <c r="H18" s="53" t="inlineStr">
        <is>
          <t>未完了</t>
        </is>
      </c>
    </row>
    <row r="19">
      <c r="A19" s="52" t="n">
        <v>9</v>
      </c>
      <c r="B19" s="52" t="inlineStr">
        <is>
          <t>基盤</t>
        </is>
      </c>
      <c r="C19" s="52" t="inlineStr">
        <is>
          <t>ITB-EV005-SC002-I-001</t>
        </is>
      </c>
      <c r="D19" s="52" t="inlineStr">
        <is>
          <t>ITB-EV005-SC002-I-001-005</t>
        </is>
      </c>
      <c r="E19" s="52" t="inlineStr">
        <is>
          <t>2026/02/26</t>
        </is>
      </c>
      <c r="F19" s="53" t="inlineStr">
        <is>
          <t>未完了</t>
        </is>
      </c>
      <c r="G19" s="52" t="inlineStr">
        <is>
          <t>2026/03/01</t>
        </is>
      </c>
      <c r="H19" s="53" t="inlineStr">
        <is>
          <t>未完了</t>
        </is>
      </c>
    </row>
    <row r="20">
      <c r="A20" s="52" t="n">
        <v>10</v>
      </c>
      <c r="B20" s="52" t="inlineStr">
        <is>
          <t>運用</t>
        </is>
      </c>
      <c r="C20" s="52" t="inlineStr">
        <is>
          <t>ITB-EV006-SC001-U-001</t>
        </is>
      </c>
      <c r="D20" s="52" t="inlineStr">
        <is>
          <t>ITB-EV006-SC001-U-001-004</t>
        </is>
      </c>
      <c r="E20" s="52" t="inlineStr">
        <is>
          <t>2026/02/26</t>
        </is>
      </c>
      <c r="F20" s="53" t="inlineStr">
        <is>
          <t>未完了</t>
        </is>
      </c>
      <c r="G20" s="52" t="inlineStr">
        <is>
          <t>2026/03/02</t>
        </is>
      </c>
      <c r="H20" s="53" t="inlineStr">
        <is>
          <t>未完了</t>
        </is>
      </c>
    </row>
    <row r="21">
      <c r="A21" s="52" t="n">
        <v>11</v>
      </c>
      <c r="B21" s="52" t="inlineStr">
        <is>
          <t>運用</t>
        </is>
      </c>
      <c r="C21" s="52" t="inlineStr">
        <is>
          <t>ITB-EV006-SC001-U-001</t>
        </is>
      </c>
      <c r="D21" s="52" t="inlineStr">
        <is>
          <t>ITB-EV006-SC001-U-001-006</t>
        </is>
      </c>
      <c r="E21" s="52" t="inlineStr">
        <is>
          <t>2026/03/01</t>
        </is>
      </c>
      <c r="F21" s="52" t="inlineStr">
        <is>
          <t>2026/02/28</t>
        </is>
      </c>
      <c r="G21" s="52" t="inlineStr">
        <is>
          <t>2026/03/03</t>
        </is>
      </c>
      <c r="H21" s="53" t="inlineStr">
        <is>
          <t>未完了</t>
        </is>
      </c>
    </row>
    <row r="22">
      <c r="A22" s="52" t="n">
        <v>12</v>
      </c>
      <c r="B22" s="52" t="inlineStr">
        <is>
          <t>運用</t>
        </is>
      </c>
      <c r="C22" s="52" t="inlineStr">
        <is>
          <t>ITB-EV006-SC002-U-001</t>
        </is>
      </c>
      <c r="D22" s="52" t="inlineStr">
        <is>
          <t>ITB-EV006-SC002-U-001-003</t>
        </is>
      </c>
      <c r="E22" s="52" t="inlineStr">
        <is>
          <t>2026/03/01</t>
        </is>
      </c>
      <c r="F22" s="52" t="inlineStr">
        <is>
          <t>2026/02/28</t>
        </is>
      </c>
      <c r="G22" s="52" t="inlineStr">
        <is>
          <t>2026/03/05</t>
        </is>
      </c>
      <c r="H22" s="53" t="inlineStr">
        <is>
          <t>未完了</t>
        </is>
      </c>
    </row>
  </sheetData>
  <mergeCells count="3">
    <mergeCell ref="A9:H9"/>
    <mergeCell ref="A4:H4"/>
    <mergeCell ref="A1:H1"/>
  </mergeCells>
  <conditionalFormatting sqref="B6">
    <cfRule type="expression" priority="1" dxfId="0">
      <formula>B6&gt;0</formula>
    </cfRule>
  </conditionalFormatting>
  <conditionalFormatting sqref="B7">
    <cfRule type="expression" priority="2" dxfId="0">
      <formula>B7&gt;0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54" t="inlineStr">
        <is>
          <t>テスト進捗サマリー（全体）</t>
        </is>
      </c>
    </row>
    <row r="2" ht="22" customHeight="1">
      <c r="A2" s="55" t="inlineStr">
        <is>
          <t>集計期間: 2026/02/22 ～ 2026/03/18 (25日間)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7" t="inlineStr">
        <is>
          <t>基準日:</t>
        </is>
      </c>
      <c r="S2" s="58">
        <f>ダッシュボード!$B$2</f>
        <v/>
      </c>
    </row>
    <row r="3" ht="24" customHeight="1">
      <c r="A3" s="59" t="inlineStr">
        <is>
          <t>共通</t>
        </is>
      </c>
      <c r="D3" s="60" t="inlineStr">
        <is>
          <t>実施</t>
        </is>
      </c>
      <c r="K3" s="61" t="inlineStr">
        <is>
          <t>検証</t>
        </is>
      </c>
      <c r="R3" s="62" t="inlineStr">
        <is>
          <t>合計</t>
        </is>
      </c>
    </row>
    <row r="4" ht="22" customHeight="1">
      <c r="A4" s="63" t="inlineStr">
        <is>
          <t>日付</t>
        </is>
      </c>
      <c r="B4" s="64" t="inlineStr">
        <is>
          <t>曜</t>
        </is>
      </c>
      <c r="C4" s="65" t="inlineStr">
        <is>
          <t>営業日</t>
        </is>
      </c>
      <c r="D4" s="66" t="inlineStr">
        <is>
          <t>予定</t>
        </is>
      </c>
      <c r="E4" s="67" t="inlineStr">
        <is>
          <t>実績</t>
        </is>
      </c>
      <c r="F4" s="67" t="inlineStr">
        <is>
          <t>消化率</t>
        </is>
      </c>
      <c r="G4" s="67" t="inlineStr">
        <is>
          <t>予定累計</t>
        </is>
      </c>
      <c r="H4" s="67" t="inlineStr">
        <is>
          <t>実績累計</t>
        </is>
      </c>
      <c r="I4" s="67" t="inlineStr">
        <is>
          <t>累計消化率</t>
        </is>
      </c>
      <c r="J4" s="68" t="inlineStr">
        <is>
          <t>判定</t>
        </is>
      </c>
      <c r="K4" s="69" t="inlineStr">
        <is>
          <t>予定</t>
        </is>
      </c>
      <c r="L4" s="70" t="inlineStr">
        <is>
          <t>実績</t>
        </is>
      </c>
      <c r="M4" s="70" t="inlineStr">
        <is>
          <t>消化率</t>
        </is>
      </c>
      <c r="N4" s="70" t="inlineStr">
        <is>
          <t>予定累計</t>
        </is>
      </c>
      <c r="O4" s="70" t="inlineStr">
        <is>
          <t>実績累計</t>
        </is>
      </c>
      <c r="P4" s="70" t="inlineStr">
        <is>
          <t>累計消化率</t>
        </is>
      </c>
      <c r="Q4" s="71" t="inlineStr">
        <is>
          <t>判定</t>
        </is>
      </c>
      <c r="R4" s="72" t="inlineStr">
        <is>
          <t>予定</t>
        </is>
      </c>
      <c r="S4" s="73" t="inlineStr">
        <is>
          <t>実績</t>
        </is>
      </c>
    </row>
    <row r="5" ht="24" customHeight="1">
      <c r="A5" s="74" t="inlineStr">
        <is>
          <t>合計</t>
        </is>
      </c>
      <c r="B5" s="75" t="n"/>
      <c r="C5" s="76" t="n"/>
      <c r="D5" s="77">
        <f>SUM(D6:D30)</f>
        <v/>
      </c>
      <c r="E5" s="78">
        <f>SUM(E6:E30)</f>
        <v/>
      </c>
      <c r="F5" s="79">
        <f>IF(D5=0,0,E5/D5)</f>
        <v/>
      </c>
      <c r="G5" s="78">
        <f>D5</f>
        <v/>
      </c>
      <c r="H5" s="78">
        <f>E5</f>
        <v/>
      </c>
      <c r="I5" s="79">
        <f>IF(G5=0,"",H5/G5)</f>
        <v/>
      </c>
      <c r="J5" s="76">
        <f>IF(I5&gt;=1,"完了",IF(H5&gt;=G5,"順調","遅延"))</f>
        <v/>
      </c>
      <c r="K5" s="77">
        <f>SUM(K6:K30)</f>
        <v/>
      </c>
      <c r="L5" s="78">
        <f>SUM(L6:L30)</f>
        <v/>
      </c>
      <c r="M5" s="79">
        <f>IF(K5=0,0,L5/K5)</f>
        <v/>
      </c>
      <c r="N5" s="78">
        <f>K5</f>
        <v/>
      </c>
      <c r="O5" s="78">
        <f>L5</f>
        <v/>
      </c>
      <c r="P5" s="79">
        <f>IF(N5=0,"",O5/N5)</f>
        <v/>
      </c>
      <c r="Q5" s="76">
        <f>IF(P5&gt;=1,"完了",IF(O5&gt;=N5,"順調","遅延"))</f>
        <v/>
      </c>
      <c r="R5" s="77">
        <f>D5+K5</f>
        <v/>
      </c>
      <c r="S5" s="80">
        <f>E5+L5</f>
        <v/>
      </c>
    </row>
    <row r="6">
      <c r="A6" s="81" t="n">
        <v>46075</v>
      </c>
      <c r="B6" s="82">
        <f>CHOOSE(WEEKDAY(A6,2),"月","火","水","木","金","土","日")</f>
        <v/>
      </c>
      <c r="C6" s="83">
        <f>IF(OR(WEEKDAY(A6,2)&gt;=6,COUNTIF(祝日マスタ!$A:$A,A6)&gt;0),"非営業日","営業日")</f>
        <v/>
      </c>
      <c r="D6" s="84">
        <f>COUNTIFS(明細!$F$5:$F$76,A6)</f>
        <v/>
      </c>
      <c r="E6" s="85">
        <f>COUNTIFS(明細!$G$5:$G$76,A6)</f>
        <v/>
      </c>
      <c r="F6" s="86">
        <f>IF(D6=0,0,E6/D6)</f>
        <v/>
      </c>
      <c r="G6" s="87">
        <f>SUM($D$6:D6)</f>
        <v/>
      </c>
      <c r="H6" s="85">
        <f>SUM($E$6:E6)</f>
        <v/>
      </c>
      <c r="I6" s="86">
        <f>IF(G6=0,"",H6/G6)</f>
        <v/>
      </c>
      <c r="J6" s="88">
        <f>IF(A6&gt;$S$2,"予定",IF(G6=0,"－",IF(I6&gt;=1,"完了",IF(H6&gt;=G6,"順調","遅延"))))</f>
        <v/>
      </c>
      <c r="K6" s="84">
        <f>COUNTIFS(明細!$I$5:$I$76,A6)</f>
        <v/>
      </c>
      <c r="L6" s="85">
        <f>COUNTIFS(明細!$J$5:$J$76,A6)</f>
        <v/>
      </c>
      <c r="M6" s="86">
        <f>IF(K6=0,0,L6/K6)</f>
        <v/>
      </c>
      <c r="N6" s="87">
        <f>SUM($K$6:K6)</f>
        <v/>
      </c>
      <c r="O6" s="85">
        <f>SUM($L$6:L6)</f>
        <v/>
      </c>
      <c r="P6" s="86">
        <f>IF(N6=0,"",O6/N6)</f>
        <v/>
      </c>
      <c r="Q6" s="88">
        <f>IF(A6&gt;$S$2,"予定",IF(N6=0,"－",IF(P6&gt;=1,"完了",IF(O6&gt;=N6,"順調","遅延"))))</f>
        <v/>
      </c>
      <c r="R6" s="84">
        <f>D6+K6</f>
        <v/>
      </c>
      <c r="S6" s="89">
        <f>E6+L6</f>
        <v/>
      </c>
    </row>
    <row r="7">
      <c r="A7" s="81" t="n">
        <v>46076</v>
      </c>
      <c r="B7" s="82">
        <f>CHOOSE(WEEKDAY(A7,2),"月","火","水","木","金","土","日")</f>
        <v/>
      </c>
      <c r="C7" s="83">
        <f>IF(OR(WEEKDAY(A7,2)&gt;=6,COUNTIF(祝日マスタ!$A:$A,A7)&gt;0),"非営業日","営業日")</f>
        <v/>
      </c>
      <c r="D7" s="84">
        <f>COUNTIFS(明細!$F$5:$F$76,A7)</f>
        <v/>
      </c>
      <c r="E7" s="85">
        <f>COUNTIFS(明細!$G$5:$G$76,A7)</f>
        <v/>
      </c>
      <c r="F7" s="86">
        <f>IF(D7=0,0,E7/D7)</f>
        <v/>
      </c>
      <c r="G7" s="87">
        <f>SUM($D$6:D7)</f>
        <v/>
      </c>
      <c r="H7" s="85">
        <f>SUM($E$6:E7)</f>
        <v/>
      </c>
      <c r="I7" s="86">
        <f>IF(G7=0,"",H7/G7)</f>
        <v/>
      </c>
      <c r="J7" s="88">
        <f>IF(A7&gt;$S$2,"予定",IF(G7=0,"－",IF(I7&gt;=1,"完了",IF(H7&gt;=G7,"順調","遅延"))))</f>
        <v/>
      </c>
      <c r="K7" s="84">
        <f>COUNTIFS(明細!$I$5:$I$76,A7)</f>
        <v/>
      </c>
      <c r="L7" s="85">
        <f>COUNTIFS(明細!$J$5:$J$76,A7)</f>
        <v/>
      </c>
      <c r="M7" s="86">
        <f>IF(K7=0,0,L7/K7)</f>
        <v/>
      </c>
      <c r="N7" s="87">
        <f>SUM($K$6:K7)</f>
        <v/>
      </c>
      <c r="O7" s="85">
        <f>SUM($L$6:L7)</f>
        <v/>
      </c>
      <c r="P7" s="86">
        <f>IF(N7=0,"",O7/N7)</f>
        <v/>
      </c>
      <c r="Q7" s="88">
        <f>IF(A7&gt;$S$2,"予定",IF(N7=0,"－",IF(P7&gt;=1,"完了",IF(O7&gt;=N7,"順調","遅延"))))</f>
        <v/>
      </c>
      <c r="R7" s="84">
        <f>D7+K7</f>
        <v/>
      </c>
      <c r="S7" s="89">
        <f>E7+L7</f>
        <v/>
      </c>
    </row>
    <row r="8">
      <c r="A8" s="81" t="n">
        <v>46077</v>
      </c>
      <c r="B8" s="82">
        <f>CHOOSE(WEEKDAY(A8,2),"月","火","水","木","金","土","日")</f>
        <v/>
      </c>
      <c r="C8" s="83">
        <f>IF(OR(WEEKDAY(A8,2)&gt;=6,COUNTIF(祝日マスタ!$A:$A,A8)&gt;0),"非営業日","営業日")</f>
        <v/>
      </c>
      <c r="D8" s="84">
        <f>COUNTIFS(明細!$F$5:$F$76,A8)</f>
        <v/>
      </c>
      <c r="E8" s="85">
        <f>COUNTIFS(明細!$G$5:$G$76,A8)</f>
        <v/>
      </c>
      <c r="F8" s="86">
        <f>IF(D8=0,0,E8/D8)</f>
        <v/>
      </c>
      <c r="G8" s="87">
        <f>SUM($D$6:D8)</f>
        <v/>
      </c>
      <c r="H8" s="85">
        <f>SUM($E$6:E8)</f>
        <v/>
      </c>
      <c r="I8" s="86">
        <f>IF(G8=0,"",H8/G8)</f>
        <v/>
      </c>
      <c r="J8" s="88">
        <f>IF(A8&gt;$S$2,"予定",IF(G8=0,"－",IF(I8&gt;=1,"完了",IF(H8&gt;=G8,"順調","遅延"))))</f>
        <v/>
      </c>
      <c r="K8" s="84">
        <f>COUNTIFS(明細!$I$5:$I$76,A8)</f>
        <v/>
      </c>
      <c r="L8" s="85">
        <f>COUNTIFS(明細!$J$5:$J$76,A8)</f>
        <v/>
      </c>
      <c r="M8" s="86">
        <f>IF(K8=0,0,L8/K8)</f>
        <v/>
      </c>
      <c r="N8" s="87">
        <f>SUM($K$6:K8)</f>
        <v/>
      </c>
      <c r="O8" s="85">
        <f>SUM($L$6:L8)</f>
        <v/>
      </c>
      <c r="P8" s="86">
        <f>IF(N8=0,"",O8/N8)</f>
        <v/>
      </c>
      <c r="Q8" s="88">
        <f>IF(A8&gt;$S$2,"予定",IF(N8=0,"－",IF(P8&gt;=1,"完了",IF(O8&gt;=N8,"順調","遅延"))))</f>
        <v/>
      </c>
      <c r="R8" s="84">
        <f>D8+K8</f>
        <v/>
      </c>
      <c r="S8" s="89">
        <f>E8+L8</f>
        <v/>
      </c>
    </row>
    <row r="9">
      <c r="A9" s="81" t="n">
        <v>46078</v>
      </c>
      <c r="B9" s="82">
        <f>CHOOSE(WEEKDAY(A9,2),"月","火","水","木","金","土","日")</f>
        <v/>
      </c>
      <c r="C9" s="83">
        <f>IF(OR(WEEKDAY(A9,2)&gt;=6,COUNTIF(祝日マスタ!$A:$A,A9)&gt;0),"非営業日","営業日")</f>
        <v/>
      </c>
      <c r="D9" s="84">
        <f>COUNTIFS(明細!$F$5:$F$76,A9)</f>
        <v/>
      </c>
      <c r="E9" s="85">
        <f>COUNTIFS(明細!$G$5:$G$76,A9)</f>
        <v/>
      </c>
      <c r="F9" s="86">
        <f>IF(D9=0,0,E9/D9)</f>
        <v/>
      </c>
      <c r="G9" s="87">
        <f>SUM($D$6:D9)</f>
        <v/>
      </c>
      <c r="H9" s="85">
        <f>SUM($E$6:E9)</f>
        <v/>
      </c>
      <c r="I9" s="86">
        <f>IF(G9=0,"",H9/G9)</f>
        <v/>
      </c>
      <c r="J9" s="88">
        <f>IF(A9&gt;$S$2,"予定",IF(G9=0,"－",IF(I9&gt;=1,"完了",IF(H9&gt;=G9,"順調","遅延"))))</f>
        <v/>
      </c>
      <c r="K9" s="84">
        <f>COUNTIFS(明細!$I$5:$I$76,A9)</f>
        <v/>
      </c>
      <c r="L9" s="85">
        <f>COUNTIFS(明細!$J$5:$J$76,A9)</f>
        <v/>
      </c>
      <c r="M9" s="86">
        <f>IF(K9=0,0,L9/K9)</f>
        <v/>
      </c>
      <c r="N9" s="87">
        <f>SUM($K$6:K9)</f>
        <v/>
      </c>
      <c r="O9" s="85">
        <f>SUM($L$6:L9)</f>
        <v/>
      </c>
      <c r="P9" s="86">
        <f>IF(N9=0,"",O9/N9)</f>
        <v/>
      </c>
      <c r="Q9" s="88">
        <f>IF(A9&gt;$S$2,"予定",IF(N9=0,"－",IF(P9&gt;=1,"完了",IF(O9&gt;=N9,"順調","遅延"))))</f>
        <v/>
      </c>
      <c r="R9" s="84">
        <f>D9+K9</f>
        <v/>
      </c>
      <c r="S9" s="89">
        <f>E9+L9</f>
        <v/>
      </c>
    </row>
    <row r="10">
      <c r="A10" s="81" t="n">
        <v>46079</v>
      </c>
      <c r="B10" s="82">
        <f>CHOOSE(WEEKDAY(A10,2),"月","火","水","木","金","土","日")</f>
        <v/>
      </c>
      <c r="C10" s="83">
        <f>IF(OR(WEEKDAY(A10,2)&gt;=6,COUNTIF(祝日マスタ!$A:$A,A10)&gt;0),"非営業日","営業日")</f>
        <v/>
      </c>
      <c r="D10" s="84">
        <f>COUNTIFS(明細!$F$5:$F$76,A10)</f>
        <v/>
      </c>
      <c r="E10" s="85">
        <f>COUNTIFS(明細!$G$5:$G$76,A10)</f>
        <v/>
      </c>
      <c r="F10" s="86">
        <f>IF(D10=0,0,E10/D10)</f>
        <v/>
      </c>
      <c r="G10" s="87">
        <f>SUM($D$6:D10)</f>
        <v/>
      </c>
      <c r="H10" s="85">
        <f>SUM($E$6:E10)</f>
        <v/>
      </c>
      <c r="I10" s="86">
        <f>IF(G10=0,"",H10/G10)</f>
        <v/>
      </c>
      <c r="J10" s="88">
        <f>IF(A10&gt;$S$2,"予定",IF(G10=0,"－",IF(I10&gt;=1,"完了",IF(H10&gt;=G10,"順調","遅延"))))</f>
        <v/>
      </c>
      <c r="K10" s="84">
        <f>COUNTIFS(明細!$I$5:$I$76,A10)</f>
        <v/>
      </c>
      <c r="L10" s="85">
        <f>COUNTIFS(明細!$J$5:$J$76,A10)</f>
        <v/>
      </c>
      <c r="M10" s="86">
        <f>IF(K10=0,0,L10/K10)</f>
        <v/>
      </c>
      <c r="N10" s="87">
        <f>SUM($K$6:K10)</f>
        <v/>
      </c>
      <c r="O10" s="85">
        <f>SUM($L$6:L10)</f>
        <v/>
      </c>
      <c r="P10" s="86">
        <f>IF(N10=0,"",O10/N10)</f>
        <v/>
      </c>
      <c r="Q10" s="88">
        <f>IF(A10&gt;$S$2,"予定",IF(N10=0,"－",IF(P10&gt;=1,"完了",IF(O10&gt;=N10,"順調","遅延"))))</f>
        <v/>
      </c>
      <c r="R10" s="84">
        <f>D10+K10</f>
        <v/>
      </c>
      <c r="S10" s="89">
        <f>E10+L10</f>
        <v/>
      </c>
    </row>
    <row r="11">
      <c r="A11" s="81" t="n">
        <v>46080</v>
      </c>
      <c r="B11" s="82">
        <f>CHOOSE(WEEKDAY(A11,2),"月","火","水","木","金","土","日")</f>
        <v/>
      </c>
      <c r="C11" s="83">
        <f>IF(OR(WEEKDAY(A11,2)&gt;=6,COUNTIF(祝日マスタ!$A:$A,A11)&gt;0),"非営業日","営業日")</f>
        <v/>
      </c>
      <c r="D11" s="84">
        <f>COUNTIFS(明細!$F$5:$F$76,A11)</f>
        <v/>
      </c>
      <c r="E11" s="85">
        <f>COUNTIFS(明細!$G$5:$G$76,A11)</f>
        <v/>
      </c>
      <c r="F11" s="86">
        <f>IF(D11=0,0,E11/D11)</f>
        <v/>
      </c>
      <c r="G11" s="87">
        <f>SUM($D$6:D11)</f>
        <v/>
      </c>
      <c r="H11" s="85">
        <f>SUM($E$6:E11)</f>
        <v/>
      </c>
      <c r="I11" s="86">
        <f>IF(G11=0,"",H11/G11)</f>
        <v/>
      </c>
      <c r="J11" s="88">
        <f>IF(A11&gt;$S$2,"予定",IF(G11=0,"－",IF(I11&gt;=1,"完了",IF(H11&gt;=G11,"順調","遅延"))))</f>
        <v/>
      </c>
      <c r="K11" s="84">
        <f>COUNTIFS(明細!$I$5:$I$76,A11)</f>
        <v/>
      </c>
      <c r="L11" s="85">
        <f>COUNTIFS(明細!$J$5:$J$76,A11)</f>
        <v/>
      </c>
      <c r="M11" s="86">
        <f>IF(K11=0,0,L11/K11)</f>
        <v/>
      </c>
      <c r="N11" s="87">
        <f>SUM($K$6:K11)</f>
        <v/>
      </c>
      <c r="O11" s="85">
        <f>SUM($L$6:L11)</f>
        <v/>
      </c>
      <c r="P11" s="86">
        <f>IF(N11=0,"",O11/N11)</f>
        <v/>
      </c>
      <c r="Q11" s="88">
        <f>IF(A11&gt;$S$2,"予定",IF(N11=0,"－",IF(P11&gt;=1,"完了",IF(O11&gt;=N11,"順調","遅延"))))</f>
        <v/>
      </c>
      <c r="R11" s="84">
        <f>D11+K11</f>
        <v/>
      </c>
      <c r="S11" s="89">
        <f>E11+L11</f>
        <v/>
      </c>
    </row>
    <row r="12">
      <c r="A12" s="81" t="n">
        <v>46081</v>
      </c>
      <c r="B12" s="82">
        <f>CHOOSE(WEEKDAY(A12,2),"月","火","水","木","金","土","日")</f>
        <v/>
      </c>
      <c r="C12" s="83">
        <f>IF(OR(WEEKDAY(A12,2)&gt;=6,COUNTIF(祝日マスタ!$A:$A,A12)&gt;0),"非営業日","営業日")</f>
        <v/>
      </c>
      <c r="D12" s="84">
        <f>COUNTIFS(明細!$F$5:$F$76,A12)</f>
        <v/>
      </c>
      <c r="E12" s="85">
        <f>COUNTIFS(明細!$G$5:$G$76,A12)</f>
        <v/>
      </c>
      <c r="F12" s="86">
        <f>IF(D12=0,0,E12/D12)</f>
        <v/>
      </c>
      <c r="G12" s="87">
        <f>SUM($D$6:D12)</f>
        <v/>
      </c>
      <c r="H12" s="85">
        <f>SUM($E$6:E12)</f>
        <v/>
      </c>
      <c r="I12" s="86">
        <f>IF(G12=0,"",H12/G12)</f>
        <v/>
      </c>
      <c r="J12" s="88">
        <f>IF(A12&gt;$S$2,"予定",IF(G12=0,"－",IF(I12&gt;=1,"完了",IF(H12&gt;=G12,"順調","遅延"))))</f>
        <v/>
      </c>
      <c r="K12" s="84">
        <f>COUNTIFS(明細!$I$5:$I$76,A12)</f>
        <v/>
      </c>
      <c r="L12" s="85">
        <f>COUNTIFS(明細!$J$5:$J$76,A12)</f>
        <v/>
      </c>
      <c r="M12" s="86">
        <f>IF(K12=0,0,L12/K12)</f>
        <v/>
      </c>
      <c r="N12" s="87">
        <f>SUM($K$6:K12)</f>
        <v/>
      </c>
      <c r="O12" s="85">
        <f>SUM($L$6:L12)</f>
        <v/>
      </c>
      <c r="P12" s="86">
        <f>IF(N12=0,"",O12/N12)</f>
        <v/>
      </c>
      <c r="Q12" s="88">
        <f>IF(A12&gt;$S$2,"予定",IF(N12=0,"－",IF(P12&gt;=1,"完了",IF(O12&gt;=N12,"順調","遅延"))))</f>
        <v/>
      </c>
      <c r="R12" s="84">
        <f>D12+K12</f>
        <v/>
      </c>
      <c r="S12" s="89">
        <f>E12+L12</f>
        <v/>
      </c>
    </row>
    <row r="13">
      <c r="A13" s="81" t="n">
        <v>46082</v>
      </c>
      <c r="B13" s="82">
        <f>CHOOSE(WEEKDAY(A13,2),"月","火","水","木","金","土","日")</f>
        <v/>
      </c>
      <c r="C13" s="83">
        <f>IF(OR(WEEKDAY(A13,2)&gt;=6,COUNTIF(祝日マスタ!$A:$A,A13)&gt;0),"非営業日","営業日")</f>
        <v/>
      </c>
      <c r="D13" s="84">
        <f>COUNTIFS(明細!$F$5:$F$76,A13)</f>
        <v/>
      </c>
      <c r="E13" s="85">
        <f>COUNTIFS(明細!$G$5:$G$76,A13)</f>
        <v/>
      </c>
      <c r="F13" s="86">
        <f>IF(D13=0,0,E13/D13)</f>
        <v/>
      </c>
      <c r="G13" s="87">
        <f>SUM($D$6:D13)</f>
        <v/>
      </c>
      <c r="H13" s="85">
        <f>SUM($E$6:E13)</f>
        <v/>
      </c>
      <c r="I13" s="86">
        <f>IF(G13=0,"",H13/G13)</f>
        <v/>
      </c>
      <c r="J13" s="88">
        <f>IF(A13&gt;$S$2,"予定",IF(G13=0,"－",IF(I13&gt;=1,"完了",IF(H13&gt;=G13,"順調","遅延"))))</f>
        <v/>
      </c>
      <c r="K13" s="84">
        <f>COUNTIFS(明細!$I$5:$I$76,A13)</f>
        <v/>
      </c>
      <c r="L13" s="85">
        <f>COUNTIFS(明細!$J$5:$J$76,A13)</f>
        <v/>
      </c>
      <c r="M13" s="86">
        <f>IF(K13=0,0,L13/K13)</f>
        <v/>
      </c>
      <c r="N13" s="87">
        <f>SUM($K$6:K13)</f>
        <v/>
      </c>
      <c r="O13" s="85">
        <f>SUM($L$6:L13)</f>
        <v/>
      </c>
      <c r="P13" s="86">
        <f>IF(N13=0,"",O13/N13)</f>
        <v/>
      </c>
      <c r="Q13" s="88">
        <f>IF(A13&gt;$S$2,"予定",IF(N13=0,"－",IF(P13&gt;=1,"完了",IF(O13&gt;=N13,"順調","遅延"))))</f>
        <v/>
      </c>
      <c r="R13" s="84">
        <f>D13+K13</f>
        <v/>
      </c>
      <c r="S13" s="89">
        <f>E13+L13</f>
        <v/>
      </c>
    </row>
    <row r="14">
      <c r="A14" s="81" t="n">
        <v>46083</v>
      </c>
      <c r="B14" s="82">
        <f>CHOOSE(WEEKDAY(A14,2),"月","火","水","木","金","土","日")</f>
        <v/>
      </c>
      <c r="C14" s="83">
        <f>IF(OR(WEEKDAY(A14,2)&gt;=6,COUNTIF(祝日マスタ!$A:$A,A14)&gt;0),"非営業日","営業日")</f>
        <v/>
      </c>
      <c r="D14" s="84">
        <f>COUNTIFS(明細!$F$5:$F$76,A14)</f>
        <v/>
      </c>
      <c r="E14" s="85">
        <f>COUNTIFS(明細!$G$5:$G$76,A14)</f>
        <v/>
      </c>
      <c r="F14" s="86">
        <f>IF(D14=0,0,E14/D14)</f>
        <v/>
      </c>
      <c r="G14" s="87">
        <f>SUM($D$6:D14)</f>
        <v/>
      </c>
      <c r="H14" s="85">
        <f>SUM($E$6:E14)</f>
        <v/>
      </c>
      <c r="I14" s="86">
        <f>IF(G14=0,"",H14/G14)</f>
        <v/>
      </c>
      <c r="J14" s="88">
        <f>IF(A14&gt;$S$2,"予定",IF(G14=0,"－",IF(I14&gt;=1,"完了",IF(H14&gt;=G14,"順調","遅延"))))</f>
        <v/>
      </c>
      <c r="K14" s="84">
        <f>COUNTIFS(明細!$I$5:$I$76,A14)</f>
        <v/>
      </c>
      <c r="L14" s="85">
        <f>COUNTIFS(明細!$J$5:$J$76,A14)</f>
        <v/>
      </c>
      <c r="M14" s="86">
        <f>IF(K14=0,0,L14/K14)</f>
        <v/>
      </c>
      <c r="N14" s="87">
        <f>SUM($K$6:K14)</f>
        <v/>
      </c>
      <c r="O14" s="85">
        <f>SUM($L$6:L14)</f>
        <v/>
      </c>
      <c r="P14" s="86">
        <f>IF(N14=0,"",O14/N14)</f>
        <v/>
      </c>
      <c r="Q14" s="88">
        <f>IF(A14&gt;$S$2,"予定",IF(N14=0,"－",IF(P14&gt;=1,"完了",IF(O14&gt;=N14,"順調","遅延"))))</f>
        <v/>
      </c>
      <c r="R14" s="84">
        <f>D14+K14</f>
        <v/>
      </c>
      <c r="S14" s="89">
        <f>E14+L14</f>
        <v/>
      </c>
    </row>
    <row r="15">
      <c r="A15" s="81" t="n">
        <v>46084</v>
      </c>
      <c r="B15" s="82">
        <f>CHOOSE(WEEKDAY(A15,2),"月","火","水","木","金","土","日")</f>
        <v/>
      </c>
      <c r="C15" s="83">
        <f>IF(OR(WEEKDAY(A15,2)&gt;=6,COUNTIF(祝日マスタ!$A:$A,A15)&gt;0),"非営業日","営業日")</f>
        <v/>
      </c>
      <c r="D15" s="84">
        <f>COUNTIFS(明細!$F$5:$F$76,A15)</f>
        <v/>
      </c>
      <c r="E15" s="85">
        <f>COUNTIFS(明細!$G$5:$G$76,A15)</f>
        <v/>
      </c>
      <c r="F15" s="86">
        <f>IF(D15=0,0,E15/D15)</f>
        <v/>
      </c>
      <c r="G15" s="87">
        <f>SUM($D$6:D15)</f>
        <v/>
      </c>
      <c r="H15" s="85">
        <f>SUM($E$6:E15)</f>
        <v/>
      </c>
      <c r="I15" s="86">
        <f>IF(G15=0,"",H15/G15)</f>
        <v/>
      </c>
      <c r="J15" s="88">
        <f>IF(A15&gt;$S$2,"予定",IF(G15=0,"－",IF(I15&gt;=1,"完了",IF(H15&gt;=G15,"順調","遅延"))))</f>
        <v/>
      </c>
      <c r="K15" s="84">
        <f>COUNTIFS(明細!$I$5:$I$76,A15)</f>
        <v/>
      </c>
      <c r="L15" s="85">
        <f>COUNTIFS(明細!$J$5:$J$76,A15)</f>
        <v/>
      </c>
      <c r="M15" s="86">
        <f>IF(K15=0,0,L15/K15)</f>
        <v/>
      </c>
      <c r="N15" s="87">
        <f>SUM($K$6:K15)</f>
        <v/>
      </c>
      <c r="O15" s="85">
        <f>SUM($L$6:L15)</f>
        <v/>
      </c>
      <c r="P15" s="86">
        <f>IF(N15=0,"",O15/N15)</f>
        <v/>
      </c>
      <c r="Q15" s="88">
        <f>IF(A15&gt;$S$2,"予定",IF(N15=0,"－",IF(P15&gt;=1,"完了",IF(O15&gt;=N15,"順調","遅延"))))</f>
        <v/>
      </c>
      <c r="R15" s="84">
        <f>D15+K15</f>
        <v/>
      </c>
      <c r="S15" s="89">
        <f>E15+L15</f>
        <v/>
      </c>
    </row>
    <row r="16">
      <c r="A16" s="81" t="n">
        <v>46085</v>
      </c>
      <c r="B16" s="82">
        <f>CHOOSE(WEEKDAY(A16,2),"月","火","水","木","金","土","日")</f>
        <v/>
      </c>
      <c r="C16" s="83">
        <f>IF(OR(WEEKDAY(A16,2)&gt;=6,COUNTIF(祝日マスタ!$A:$A,A16)&gt;0),"非営業日","営業日")</f>
        <v/>
      </c>
      <c r="D16" s="84">
        <f>COUNTIFS(明細!$F$5:$F$76,A16)</f>
        <v/>
      </c>
      <c r="E16" s="85">
        <f>COUNTIFS(明細!$G$5:$G$76,A16)</f>
        <v/>
      </c>
      <c r="F16" s="86">
        <f>IF(D16=0,0,E16/D16)</f>
        <v/>
      </c>
      <c r="G16" s="87">
        <f>SUM($D$6:D16)</f>
        <v/>
      </c>
      <c r="H16" s="85">
        <f>SUM($E$6:E16)</f>
        <v/>
      </c>
      <c r="I16" s="86">
        <f>IF(G16=0,"",H16/G16)</f>
        <v/>
      </c>
      <c r="J16" s="88">
        <f>IF(A16&gt;$S$2,"予定",IF(G16=0,"－",IF(I16&gt;=1,"完了",IF(H16&gt;=G16,"順調","遅延"))))</f>
        <v/>
      </c>
      <c r="K16" s="84">
        <f>COUNTIFS(明細!$I$5:$I$76,A16)</f>
        <v/>
      </c>
      <c r="L16" s="85">
        <f>COUNTIFS(明細!$J$5:$J$76,A16)</f>
        <v/>
      </c>
      <c r="M16" s="86">
        <f>IF(K16=0,0,L16/K16)</f>
        <v/>
      </c>
      <c r="N16" s="87">
        <f>SUM($K$6:K16)</f>
        <v/>
      </c>
      <c r="O16" s="85">
        <f>SUM($L$6:L16)</f>
        <v/>
      </c>
      <c r="P16" s="86">
        <f>IF(N16=0,"",O16/N16)</f>
        <v/>
      </c>
      <c r="Q16" s="88">
        <f>IF(A16&gt;$S$2,"予定",IF(N16=0,"－",IF(P16&gt;=1,"完了",IF(O16&gt;=N16,"順調","遅延"))))</f>
        <v/>
      </c>
      <c r="R16" s="84">
        <f>D16+K16</f>
        <v/>
      </c>
      <c r="S16" s="89">
        <f>E16+L16</f>
        <v/>
      </c>
    </row>
    <row r="17">
      <c r="A17" s="81" t="n">
        <v>46086</v>
      </c>
      <c r="B17" s="82">
        <f>CHOOSE(WEEKDAY(A17,2),"月","火","水","木","金","土","日")</f>
        <v/>
      </c>
      <c r="C17" s="83">
        <f>IF(OR(WEEKDAY(A17,2)&gt;=6,COUNTIF(祝日マスタ!$A:$A,A17)&gt;0),"非営業日","営業日")</f>
        <v/>
      </c>
      <c r="D17" s="84">
        <f>COUNTIFS(明細!$F$5:$F$76,A17)</f>
        <v/>
      </c>
      <c r="E17" s="85">
        <f>COUNTIFS(明細!$G$5:$G$76,A17)</f>
        <v/>
      </c>
      <c r="F17" s="86">
        <f>IF(D17=0,0,E17/D17)</f>
        <v/>
      </c>
      <c r="G17" s="87">
        <f>SUM($D$6:D17)</f>
        <v/>
      </c>
      <c r="H17" s="85">
        <f>SUM($E$6:E17)</f>
        <v/>
      </c>
      <c r="I17" s="86">
        <f>IF(G17=0,"",H17/G17)</f>
        <v/>
      </c>
      <c r="J17" s="88">
        <f>IF(A17&gt;$S$2,"予定",IF(G17=0,"－",IF(I17&gt;=1,"完了",IF(H17&gt;=G17,"順調","遅延"))))</f>
        <v/>
      </c>
      <c r="K17" s="84">
        <f>COUNTIFS(明細!$I$5:$I$76,A17)</f>
        <v/>
      </c>
      <c r="L17" s="85">
        <f>COUNTIFS(明細!$J$5:$J$76,A17)</f>
        <v/>
      </c>
      <c r="M17" s="86">
        <f>IF(K17=0,0,L17/K17)</f>
        <v/>
      </c>
      <c r="N17" s="87">
        <f>SUM($K$6:K17)</f>
        <v/>
      </c>
      <c r="O17" s="85">
        <f>SUM($L$6:L17)</f>
        <v/>
      </c>
      <c r="P17" s="86">
        <f>IF(N17=0,"",O17/N17)</f>
        <v/>
      </c>
      <c r="Q17" s="88">
        <f>IF(A17&gt;$S$2,"予定",IF(N17=0,"－",IF(P17&gt;=1,"完了",IF(O17&gt;=N17,"順調","遅延"))))</f>
        <v/>
      </c>
      <c r="R17" s="84">
        <f>D17+K17</f>
        <v/>
      </c>
      <c r="S17" s="89">
        <f>E17+L17</f>
        <v/>
      </c>
    </row>
    <row r="18">
      <c r="A18" s="81" t="n">
        <v>46087</v>
      </c>
      <c r="B18" s="82">
        <f>CHOOSE(WEEKDAY(A18,2),"月","火","水","木","金","土","日")</f>
        <v/>
      </c>
      <c r="C18" s="83">
        <f>IF(OR(WEEKDAY(A18,2)&gt;=6,COUNTIF(祝日マスタ!$A:$A,A18)&gt;0),"非営業日","営業日")</f>
        <v/>
      </c>
      <c r="D18" s="84">
        <f>COUNTIFS(明細!$F$5:$F$76,A18)</f>
        <v/>
      </c>
      <c r="E18" s="85">
        <f>COUNTIFS(明細!$G$5:$G$76,A18)</f>
        <v/>
      </c>
      <c r="F18" s="86">
        <f>IF(D18=0,0,E18/D18)</f>
        <v/>
      </c>
      <c r="G18" s="87">
        <f>SUM($D$6:D18)</f>
        <v/>
      </c>
      <c r="H18" s="85">
        <f>SUM($E$6:E18)</f>
        <v/>
      </c>
      <c r="I18" s="86">
        <f>IF(G18=0,"",H18/G18)</f>
        <v/>
      </c>
      <c r="J18" s="88">
        <f>IF(A18&gt;$S$2,"予定",IF(G18=0,"－",IF(I18&gt;=1,"完了",IF(H18&gt;=G18,"順調","遅延"))))</f>
        <v/>
      </c>
      <c r="K18" s="84">
        <f>COUNTIFS(明細!$I$5:$I$76,A18)</f>
        <v/>
      </c>
      <c r="L18" s="85">
        <f>COUNTIFS(明細!$J$5:$J$76,A18)</f>
        <v/>
      </c>
      <c r="M18" s="86">
        <f>IF(K18=0,0,L18/K18)</f>
        <v/>
      </c>
      <c r="N18" s="87">
        <f>SUM($K$6:K18)</f>
        <v/>
      </c>
      <c r="O18" s="85">
        <f>SUM($L$6:L18)</f>
        <v/>
      </c>
      <c r="P18" s="86">
        <f>IF(N18=0,"",O18/N18)</f>
        <v/>
      </c>
      <c r="Q18" s="88">
        <f>IF(A18&gt;$S$2,"予定",IF(N18=0,"－",IF(P18&gt;=1,"完了",IF(O18&gt;=N18,"順調","遅延"))))</f>
        <v/>
      </c>
      <c r="R18" s="84">
        <f>D18+K18</f>
        <v/>
      </c>
      <c r="S18" s="89">
        <f>E18+L18</f>
        <v/>
      </c>
    </row>
    <row r="19">
      <c r="A19" s="81" t="n">
        <v>46088</v>
      </c>
      <c r="B19" s="82">
        <f>CHOOSE(WEEKDAY(A19,2),"月","火","水","木","金","土","日")</f>
        <v/>
      </c>
      <c r="C19" s="83">
        <f>IF(OR(WEEKDAY(A19,2)&gt;=6,COUNTIF(祝日マスタ!$A:$A,A19)&gt;0),"非営業日","営業日")</f>
        <v/>
      </c>
      <c r="D19" s="84">
        <f>COUNTIFS(明細!$F$5:$F$76,A19)</f>
        <v/>
      </c>
      <c r="E19" s="85">
        <f>COUNTIFS(明細!$G$5:$G$76,A19)</f>
        <v/>
      </c>
      <c r="F19" s="86">
        <f>IF(D19=0,0,E19/D19)</f>
        <v/>
      </c>
      <c r="G19" s="87">
        <f>SUM($D$6:D19)</f>
        <v/>
      </c>
      <c r="H19" s="85">
        <f>SUM($E$6:E19)</f>
        <v/>
      </c>
      <c r="I19" s="86">
        <f>IF(G19=0,"",H19/G19)</f>
        <v/>
      </c>
      <c r="J19" s="88">
        <f>IF(A19&gt;$S$2,"予定",IF(G19=0,"－",IF(I19&gt;=1,"完了",IF(H19&gt;=G19,"順調","遅延"))))</f>
        <v/>
      </c>
      <c r="K19" s="84">
        <f>COUNTIFS(明細!$I$5:$I$76,A19)</f>
        <v/>
      </c>
      <c r="L19" s="85">
        <f>COUNTIFS(明細!$J$5:$J$76,A19)</f>
        <v/>
      </c>
      <c r="M19" s="86">
        <f>IF(K19=0,0,L19/K19)</f>
        <v/>
      </c>
      <c r="N19" s="87">
        <f>SUM($K$6:K19)</f>
        <v/>
      </c>
      <c r="O19" s="85">
        <f>SUM($L$6:L19)</f>
        <v/>
      </c>
      <c r="P19" s="86">
        <f>IF(N19=0,"",O19/N19)</f>
        <v/>
      </c>
      <c r="Q19" s="88">
        <f>IF(A19&gt;$S$2,"予定",IF(N19=0,"－",IF(P19&gt;=1,"完了",IF(O19&gt;=N19,"順調","遅延"))))</f>
        <v/>
      </c>
      <c r="R19" s="84">
        <f>D19+K19</f>
        <v/>
      </c>
      <c r="S19" s="89">
        <f>E19+L19</f>
        <v/>
      </c>
    </row>
    <row r="20">
      <c r="A20" s="81" t="n">
        <v>46089</v>
      </c>
      <c r="B20" s="82">
        <f>CHOOSE(WEEKDAY(A20,2),"月","火","水","木","金","土","日")</f>
        <v/>
      </c>
      <c r="C20" s="83">
        <f>IF(OR(WEEKDAY(A20,2)&gt;=6,COUNTIF(祝日マスタ!$A:$A,A20)&gt;0),"非営業日","営業日")</f>
        <v/>
      </c>
      <c r="D20" s="84">
        <f>COUNTIFS(明細!$F$5:$F$76,A20)</f>
        <v/>
      </c>
      <c r="E20" s="85">
        <f>COUNTIFS(明細!$G$5:$G$76,A20)</f>
        <v/>
      </c>
      <c r="F20" s="86">
        <f>IF(D20=0,0,E20/D20)</f>
        <v/>
      </c>
      <c r="G20" s="87">
        <f>SUM($D$6:D20)</f>
        <v/>
      </c>
      <c r="H20" s="85">
        <f>SUM($E$6:E20)</f>
        <v/>
      </c>
      <c r="I20" s="86">
        <f>IF(G20=0,"",H20/G20)</f>
        <v/>
      </c>
      <c r="J20" s="88">
        <f>IF(A20&gt;$S$2,"予定",IF(G20=0,"－",IF(I20&gt;=1,"完了",IF(H20&gt;=G20,"順調","遅延"))))</f>
        <v/>
      </c>
      <c r="K20" s="84">
        <f>COUNTIFS(明細!$I$5:$I$76,A20)</f>
        <v/>
      </c>
      <c r="L20" s="85">
        <f>COUNTIFS(明細!$J$5:$J$76,A20)</f>
        <v/>
      </c>
      <c r="M20" s="86">
        <f>IF(K20=0,0,L20/K20)</f>
        <v/>
      </c>
      <c r="N20" s="87">
        <f>SUM($K$6:K20)</f>
        <v/>
      </c>
      <c r="O20" s="85">
        <f>SUM($L$6:L20)</f>
        <v/>
      </c>
      <c r="P20" s="86">
        <f>IF(N20=0,"",O20/N20)</f>
        <v/>
      </c>
      <c r="Q20" s="88">
        <f>IF(A20&gt;$S$2,"予定",IF(N20=0,"－",IF(P20&gt;=1,"完了",IF(O20&gt;=N20,"順調","遅延"))))</f>
        <v/>
      </c>
      <c r="R20" s="84">
        <f>D20+K20</f>
        <v/>
      </c>
      <c r="S20" s="89">
        <f>E20+L20</f>
        <v/>
      </c>
    </row>
    <row r="21">
      <c r="A21" s="81" t="n">
        <v>46090</v>
      </c>
      <c r="B21" s="82">
        <f>CHOOSE(WEEKDAY(A21,2),"月","火","水","木","金","土","日")</f>
        <v/>
      </c>
      <c r="C21" s="83">
        <f>IF(OR(WEEKDAY(A21,2)&gt;=6,COUNTIF(祝日マスタ!$A:$A,A21)&gt;0),"非営業日","営業日")</f>
        <v/>
      </c>
      <c r="D21" s="84">
        <f>COUNTIFS(明細!$F$5:$F$76,A21)</f>
        <v/>
      </c>
      <c r="E21" s="85">
        <f>COUNTIFS(明細!$G$5:$G$76,A21)</f>
        <v/>
      </c>
      <c r="F21" s="86">
        <f>IF(D21=0,0,E21/D21)</f>
        <v/>
      </c>
      <c r="G21" s="87">
        <f>SUM($D$6:D21)</f>
        <v/>
      </c>
      <c r="H21" s="85">
        <f>SUM($E$6:E21)</f>
        <v/>
      </c>
      <c r="I21" s="86">
        <f>IF(G21=0,"",H21/G21)</f>
        <v/>
      </c>
      <c r="J21" s="88">
        <f>IF(A21&gt;$S$2,"予定",IF(G21=0,"－",IF(I21&gt;=1,"完了",IF(H21&gt;=G21,"順調","遅延"))))</f>
        <v/>
      </c>
      <c r="K21" s="84">
        <f>COUNTIFS(明細!$I$5:$I$76,A21)</f>
        <v/>
      </c>
      <c r="L21" s="85">
        <f>COUNTIFS(明細!$J$5:$J$76,A21)</f>
        <v/>
      </c>
      <c r="M21" s="86">
        <f>IF(K21=0,0,L21/K21)</f>
        <v/>
      </c>
      <c r="N21" s="87">
        <f>SUM($K$6:K21)</f>
        <v/>
      </c>
      <c r="O21" s="85">
        <f>SUM($L$6:L21)</f>
        <v/>
      </c>
      <c r="P21" s="86">
        <f>IF(N21=0,"",O21/N21)</f>
        <v/>
      </c>
      <c r="Q21" s="88">
        <f>IF(A21&gt;$S$2,"予定",IF(N21=0,"－",IF(P21&gt;=1,"完了",IF(O21&gt;=N21,"順調","遅延"))))</f>
        <v/>
      </c>
      <c r="R21" s="84">
        <f>D21+K21</f>
        <v/>
      </c>
      <c r="S21" s="89">
        <f>E21+L21</f>
        <v/>
      </c>
    </row>
    <row r="22">
      <c r="A22" s="81" t="n">
        <v>46091</v>
      </c>
      <c r="B22" s="82">
        <f>CHOOSE(WEEKDAY(A22,2),"月","火","水","木","金","土","日")</f>
        <v/>
      </c>
      <c r="C22" s="83">
        <f>IF(OR(WEEKDAY(A22,2)&gt;=6,COUNTIF(祝日マスタ!$A:$A,A22)&gt;0),"非営業日","営業日")</f>
        <v/>
      </c>
      <c r="D22" s="84">
        <f>COUNTIFS(明細!$F$5:$F$76,A22)</f>
        <v/>
      </c>
      <c r="E22" s="85">
        <f>COUNTIFS(明細!$G$5:$G$76,A22)</f>
        <v/>
      </c>
      <c r="F22" s="86">
        <f>IF(D22=0,0,E22/D22)</f>
        <v/>
      </c>
      <c r="G22" s="87">
        <f>SUM($D$6:D22)</f>
        <v/>
      </c>
      <c r="H22" s="85">
        <f>SUM($E$6:E22)</f>
        <v/>
      </c>
      <c r="I22" s="86">
        <f>IF(G22=0,"",H22/G22)</f>
        <v/>
      </c>
      <c r="J22" s="88">
        <f>IF(A22&gt;$S$2,"予定",IF(G22=0,"－",IF(I22&gt;=1,"完了",IF(H22&gt;=G22,"順調","遅延"))))</f>
        <v/>
      </c>
      <c r="K22" s="84">
        <f>COUNTIFS(明細!$I$5:$I$76,A22)</f>
        <v/>
      </c>
      <c r="L22" s="85">
        <f>COUNTIFS(明細!$J$5:$J$76,A22)</f>
        <v/>
      </c>
      <c r="M22" s="86">
        <f>IF(K22=0,0,L22/K22)</f>
        <v/>
      </c>
      <c r="N22" s="87">
        <f>SUM($K$6:K22)</f>
        <v/>
      </c>
      <c r="O22" s="85">
        <f>SUM($L$6:L22)</f>
        <v/>
      </c>
      <c r="P22" s="86">
        <f>IF(N22=0,"",O22/N22)</f>
        <v/>
      </c>
      <c r="Q22" s="88">
        <f>IF(A22&gt;$S$2,"予定",IF(N22=0,"－",IF(P22&gt;=1,"完了",IF(O22&gt;=N22,"順調","遅延"))))</f>
        <v/>
      </c>
      <c r="R22" s="84">
        <f>D22+K22</f>
        <v/>
      </c>
      <c r="S22" s="89">
        <f>E22+L22</f>
        <v/>
      </c>
    </row>
    <row r="23">
      <c r="A23" s="81" t="n">
        <v>46092</v>
      </c>
      <c r="B23" s="82">
        <f>CHOOSE(WEEKDAY(A23,2),"月","火","水","木","金","土","日")</f>
        <v/>
      </c>
      <c r="C23" s="83">
        <f>IF(OR(WEEKDAY(A23,2)&gt;=6,COUNTIF(祝日マスタ!$A:$A,A23)&gt;0),"非営業日","営業日")</f>
        <v/>
      </c>
      <c r="D23" s="84">
        <f>COUNTIFS(明細!$F$5:$F$76,A23)</f>
        <v/>
      </c>
      <c r="E23" s="85">
        <f>COUNTIFS(明細!$G$5:$G$76,A23)</f>
        <v/>
      </c>
      <c r="F23" s="86">
        <f>IF(D23=0,0,E23/D23)</f>
        <v/>
      </c>
      <c r="G23" s="87">
        <f>SUM($D$6:D23)</f>
        <v/>
      </c>
      <c r="H23" s="85">
        <f>SUM($E$6:E23)</f>
        <v/>
      </c>
      <c r="I23" s="86">
        <f>IF(G23=0,"",H23/G23)</f>
        <v/>
      </c>
      <c r="J23" s="88">
        <f>IF(A23&gt;$S$2,"予定",IF(G23=0,"－",IF(I23&gt;=1,"完了",IF(H23&gt;=G23,"順調","遅延"))))</f>
        <v/>
      </c>
      <c r="K23" s="84">
        <f>COUNTIFS(明細!$I$5:$I$76,A23)</f>
        <v/>
      </c>
      <c r="L23" s="85">
        <f>COUNTIFS(明細!$J$5:$J$76,A23)</f>
        <v/>
      </c>
      <c r="M23" s="86">
        <f>IF(K23=0,0,L23/K23)</f>
        <v/>
      </c>
      <c r="N23" s="87">
        <f>SUM($K$6:K23)</f>
        <v/>
      </c>
      <c r="O23" s="85">
        <f>SUM($L$6:L23)</f>
        <v/>
      </c>
      <c r="P23" s="86">
        <f>IF(N23=0,"",O23/N23)</f>
        <v/>
      </c>
      <c r="Q23" s="88">
        <f>IF(A23&gt;$S$2,"予定",IF(N23=0,"－",IF(P23&gt;=1,"完了",IF(O23&gt;=N23,"順調","遅延"))))</f>
        <v/>
      </c>
      <c r="R23" s="84">
        <f>D23+K23</f>
        <v/>
      </c>
      <c r="S23" s="89">
        <f>E23+L23</f>
        <v/>
      </c>
    </row>
    <row r="24">
      <c r="A24" s="81" t="n">
        <v>46093</v>
      </c>
      <c r="B24" s="82">
        <f>CHOOSE(WEEKDAY(A24,2),"月","火","水","木","金","土","日")</f>
        <v/>
      </c>
      <c r="C24" s="83">
        <f>IF(OR(WEEKDAY(A24,2)&gt;=6,COUNTIF(祝日マスタ!$A:$A,A24)&gt;0),"非営業日","営業日")</f>
        <v/>
      </c>
      <c r="D24" s="84">
        <f>COUNTIFS(明細!$F$5:$F$76,A24)</f>
        <v/>
      </c>
      <c r="E24" s="85">
        <f>COUNTIFS(明細!$G$5:$G$76,A24)</f>
        <v/>
      </c>
      <c r="F24" s="86">
        <f>IF(D24=0,0,E24/D24)</f>
        <v/>
      </c>
      <c r="G24" s="87">
        <f>SUM($D$6:D24)</f>
        <v/>
      </c>
      <c r="H24" s="85">
        <f>SUM($E$6:E24)</f>
        <v/>
      </c>
      <c r="I24" s="86">
        <f>IF(G24=0,"",H24/G24)</f>
        <v/>
      </c>
      <c r="J24" s="88">
        <f>IF(A24&gt;$S$2,"予定",IF(G24=0,"－",IF(I24&gt;=1,"完了",IF(H24&gt;=G24,"順調","遅延"))))</f>
        <v/>
      </c>
      <c r="K24" s="84">
        <f>COUNTIFS(明細!$I$5:$I$76,A24)</f>
        <v/>
      </c>
      <c r="L24" s="85">
        <f>COUNTIFS(明細!$J$5:$J$76,A24)</f>
        <v/>
      </c>
      <c r="M24" s="86">
        <f>IF(K24=0,0,L24/K24)</f>
        <v/>
      </c>
      <c r="N24" s="87">
        <f>SUM($K$6:K24)</f>
        <v/>
      </c>
      <c r="O24" s="85">
        <f>SUM($L$6:L24)</f>
        <v/>
      </c>
      <c r="P24" s="86">
        <f>IF(N24=0,"",O24/N24)</f>
        <v/>
      </c>
      <c r="Q24" s="88">
        <f>IF(A24&gt;$S$2,"予定",IF(N24=0,"－",IF(P24&gt;=1,"完了",IF(O24&gt;=N24,"順調","遅延"))))</f>
        <v/>
      </c>
      <c r="R24" s="84">
        <f>D24+K24</f>
        <v/>
      </c>
      <c r="S24" s="89">
        <f>E24+L24</f>
        <v/>
      </c>
    </row>
    <row r="25">
      <c r="A25" s="81" t="n">
        <v>46094</v>
      </c>
      <c r="B25" s="82">
        <f>CHOOSE(WEEKDAY(A25,2),"月","火","水","木","金","土","日")</f>
        <v/>
      </c>
      <c r="C25" s="83">
        <f>IF(OR(WEEKDAY(A25,2)&gt;=6,COUNTIF(祝日マスタ!$A:$A,A25)&gt;0),"非営業日","営業日")</f>
        <v/>
      </c>
      <c r="D25" s="84">
        <f>COUNTIFS(明細!$F$5:$F$76,A25)</f>
        <v/>
      </c>
      <c r="E25" s="85">
        <f>COUNTIFS(明細!$G$5:$G$76,A25)</f>
        <v/>
      </c>
      <c r="F25" s="86">
        <f>IF(D25=0,0,E25/D25)</f>
        <v/>
      </c>
      <c r="G25" s="87">
        <f>SUM($D$6:D25)</f>
        <v/>
      </c>
      <c r="H25" s="85">
        <f>SUM($E$6:E25)</f>
        <v/>
      </c>
      <c r="I25" s="86">
        <f>IF(G25=0,"",H25/G25)</f>
        <v/>
      </c>
      <c r="J25" s="88">
        <f>IF(A25&gt;$S$2,"予定",IF(G25=0,"－",IF(I25&gt;=1,"完了",IF(H25&gt;=G25,"順調","遅延"))))</f>
        <v/>
      </c>
      <c r="K25" s="84">
        <f>COUNTIFS(明細!$I$5:$I$76,A25)</f>
        <v/>
      </c>
      <c r="L25" s="85">
        <f>COUNTIFS(明細!$J$5:$J$76,A25)</f>
        <v/>
      </c>
      <c r="M25" s="86">
        <f>IF(K25=0,0,L25/K25)</f>
        <v/>
      </c>
      <c r="N25" s="87">
        <f>SUM($K$6:K25)</f>
        <v/>
      </c>
      <c r="O25" s="85">
        <f>SUM($L$6:L25)</f>
        <v/>
      </c>
      <c r="P25" s="86">
        <f>IF(N25=0,"",O25/N25)</f>
        <v/>
      </c>
      <c r="Q25" s="88">
        <f>IF(A25&gt;$S$2,"予定",IF(N25=0,"－",IF(P25&gt;=1,"完了",IF(O25&gt;=N25,"順調","遅延"))))</f>
        <v/>
      </c>
      <c r="R25" s="84">
        <f>D25+K25</f>
        <v/>
      </c>
      <c r="S25" s="89">
        <f>E25+L25</f>
        <v/>
      </c>
    </row>
    <row r="26">
      <c r="A26" s="81" t="n">
        <v>46095</v>
      </c>
      <c r="B26" s="82">
        <f>CHOOSE(WEEKDAY(A26,2),"月","火","水","木","金","土","日")</f>
        <v/>
      </c>
      <c r="C26" s="83">
        <f>IF(OR(WEEKDAY(A26,2)&gt;=6,COUNTIF(祝日マスタ!$A:$A,A26)&gt;0),"非営業日","営業日")</f>
        <v/>
      </c>
      <c r="D26" s="84">
        <f>COUNTIFS(明細!$F$5:$F$76,A26)</f>
        <v/>
      </c>
      <c r="E26" s="85">
        <f>COUNTIFS(明細!$G$5:$G$76,A26)</f>
        <v/>
      </c>
      <c r="F26" s="86">
        <f>IF(D26=0,0,E26/D26)</f>
        <v/>
      </c>
      <c r="G26" s="87">
        <f>SUM($D$6:D26)</f>
        <v/>
      </c>
      <c r="H26" s="85">
        <f>SUM($E$6:E26)</f>
        <v/>
      </c>
      <c r="I26" s="86">
        <f>IF(G26=0,"",H26/G26)</f>
        <v/>
      </c>
      <c r="J26" s="88">
        <f>IF(A26&gt;$S$2,"予定",IF(G26=0,"－",IF(I26&gt;=1,"完了",IF(H26&gt;=G26,"順調","遅延"))))</f>
        <v/>
      </c>
      <c r="K26" s="84">
        <f>COUNTIFS(明細!$I$5:$I$76,A26)</f>
        <v/>
      </c>
      <c r="L26" s="85">
        <f>COUNTIFS(明細!$J$5:$J$76,A26)</f>
        <v/>
      </c>
      <c r="M26" s="86">
        <f>IF(K26=0,0,L26/K26)</f>
        <v/>
      </c>
      <c r="N26" s="87">
        <f>SUM($K$6:K26)</f>
        <v/>
      </c>
      <c r="O26" s="85">
        <f>SUM($L$6:L26)</f>
        <v/>
      </c>
      <c r="P26" s="86">
        <f>IF(N26=0,"",O26/N26)</f>
        <v/>
      </c>
      <c r="Q26" s="88">
        <f>IF(A26&gt;$S$2,"予定",IF(N26=0,"－",IF(P26&gt;=1,"完了",IF(O26&gt;=N26,"順調","遅延"))))</f>
        <v/>
      </c>
      <c r="R26" s="84">
        <f>D26+K26</f>
        <v/>
      </c>
      <c r="S26" s="89">
        <f>E26+L26</f>
        <v/>
      </c>
    </row>
    <row r="27">
      <c r="A27" s="81" t="n">
        <v>46096</v>
      </c>
      <c r="B27" s="82">
        <f>CHOOSE(WEEKDAY(A27,2),"月","火","水","木","金","土","日")</f>
        <v/>
      </c>
      <c r="C27" s="83">
        <f>IF(OR(WEEKDAY(A27,2)&gt;=6,COUNTIF(祝日マスタ!$A:$A,A27)&gt;0),"非営業日","営業日")</f>
        <v/>
      </c>
      <c r="D27" s="84">
        <f>COUNTIFS(明細!$F$5:$F$76,A27)</f>
        <v/>
      </c>
      <c r="E27" s="85">
        <f>COUNTIFS(明細!$G$5:$G$76,A27)</f>
        <v/>
      </c>
      <c r="F27" s="86">
        <f>IF(D27=0,0,E27/D27)</f>
        <v/>
      </c>
      <c r="G27" s="87">
        <f>SUM($D$6:D27)</f>
        <v/>
      </c>
      <c r="H27" s="85">
        <f>SUM($E$6:E27)</f>
        <v/>
      </c>
      <c r="I27" s="86">
        <f>IF(G27=0,"",H27/G27)</f>
        <v/>
      </c>
      <c r="J27" s="88">
        <f>IF(A27&gt;$S$2,"予定",IF(G27=0,"－",IF(I27&gt;=1,"完了",IF(H27&gt;=G27,"順調","遅延"))))</f>
        <v/>
      </c>
      <c r="K27" s="84">
        <f>COUNTIFS(明細!$I$5:$I$76,A27)</f>
        <v/>
      </c>
      <c r="L27" s="85">
        <f>COUNTIFS(明細!$J$5:$J$76,A27)</f>
        <v/>
      </c>
      <c r="M27" s="86">
        <f>IF(K27=0,0,L27/K27)</f>
        <v/>
      </c>
      <c r="N27" s="87">
        <f>SUM($K$6:K27)</f>
        <v/>
      </c>
      <c r="O27" s="85">
        <f>SUM($L$6:L27)</f>
        <v/>
      </c>
      <c r="P27" s="86">
        <f>IF(N27=0,"",O27/N27)</f>
        <v/>
      </c>
      <c r="Q27" s="88">
        <f>IF(A27&gt;$S$2,"予定",IF(N27=0,"－",IF(P27&gt;=1,"完了",IF(O27&gt;=N27,"順調","遅延"))))</f>
        <v/>
      </c>
      <c r="R27" s="84">
        <f>D27+K27</f>
        <v/>
      </c>
      <c r="S27" s="89">
        <f>E27+L27</f>
        <v/>
      </c>
    </row>
    <row r="28">
      <c r="A28" s="81" t="n">
        <v>46097</v>
      </c>
      <c r="B28" s="82">
        <f>CHOOSE(WEEKDAY(A28,2),"月","火","水","木","金","土","日")</f>
        <v/>
      </c>
      <c r="C28" s="83">
        <f>IF(OR(WEEKDAY(A28,2)&gt;=6,COUNTIF(祝日マスタ!$A:$A,A28)&gt;0),"非営業日","営業日")</f>
        <v/>
      </c>
      <c r="D28" s="84">
        <f>COUNTIFS(明細!$F$5:$F$76,A28)</f>
        <v/>
      </c>
      <c r="E28" s="85">
        <f>COUNTIFS(明細!$G$5:$G$76,A28)</f>
        <v/>
      </c>
      <c r="F28" s="86">
        <f>IF(D28=0,0,E28/D28)</f>
        <v/>
      </c>
      <c r="G28" s="87">
        <f>SUM($D$6:D28)</f>
        <v/>
      </c>
      <c r="H28" s="85">
        <f>SUM($E$6:E28)</f>
        <v/>
      </c>
      <c r="I28" s="86">
        <f>IF(G28=0,"",H28/G28)</f>
        <v/>
      </c>
      <c r="J28" s="88">
        <f>IF(A28&gt;$S$2,"予定",IF(G28=0,"－",IF(I28&gt;=1,"完了",IF(H28&gt;=G28,"順調","遅延"))))</f>
        <v/>
      </c>
      <c r="K28" s="84">
        <f>COUNTIFS(明細!$I$5:$I$76,A28)</f>
        <v/>
      </c>
      <c r="L28" s="85">
        <f>COUNTIFS(明細!$J$5:$J$76,A28)</f>
        <v/>
      </c>
      <c r="M28" s="86">
        <f>IF(K28=0,0,L28/K28)</f>
        <v/>
      </c>
      <c r="N28" s="87">
        <f>SUM($K$6:K28)</f>
        <v/>
      </c>
      <c r="O28" s="85">
        <f>SUM($L$6:L28)</f>
        <v/>
      </c>
      <c r="P28" s="86">
        <f>IF(N28=0,"",O28/N28)</f>
        <v/>
      </c>
      <c r="Q28" s="88">
        <f>IF(A28&gt;$S$2,"予定",IF(N28=0,"－",IF(P28&gt;=1,"完了",IF(O28&gt;=N28,"順調","遅延"))))</f>
        <v/>
      </c>
      <c r="R28" s="84">
        <f>D28+K28</f>
        <v/>
      </c>
      <c r="S28" s="89">
        <f>E28+L28</f>
        <v/>
      </c>
    </row>
    <row r="29">
      <c r="A29" s="81" t="n">
        <v>46098</v>
      </c>
      <c r="B29" s="82">
        <f>CHOOSE(WEEKDAY(A29,2),"月","火","水","木","金","土","日")</f>
        <v/>
      </c>
      <c r="C29" s="83">
        <f>IF(OR(WEEKDAY(A29,2)&gt;=6,COUNTIF(祝日マスタ!$A:$A,A29)&gt;0),"非営業日","営業日")</f>
        <v/>
      </c>
      <c r="D29" s="84">
        <f>COUNTIFS(明細!$F$5:$F$76,A29)</f>
        <v/>
      </c>
      <c r="E29" s="85">
        <f>COUNTIFS(明細!$G$5:$G$76,A29)</f>
        <v/>
      </c>
      <c r="F29" s="86">
        <f>IF(D29=0,0,E29/D29)</f>
        <v/>
      </c>
      <c r="G29" s="87">
        <f>SUM($D$6:D29)</f>
        <v/>
      </c>
      <c r="H29" s="85">
        <f>SUM($E$6:E29)</f>
        <v/>
      </c>
      <c r="I29" s="86">
        <f>IF(G29=0,"",H29/G29)</f>
        <v/>
      </c>
      <c r="J29" s="88">
        <f>IF(A29&gt;$S$2,"予定",IF(G29=0,"－",IF(I29&gt;=1,"完了",IF(H29&gt;=G29,"順調","遅延"))))</f>
        <v/>
      </c>
      <c r="K29" s="84">
        <f>COUNTIFS(明細!$I$5:$I$76,A29)</f>
        <v/>
      </c>
      <c r="L29" s="85">
        <f>COUNTIFS(明細!$J$5:$J$76,A29)</f>
        <v/>
      </c>
      <c r="M29" s="86">
        <f>IF(K29=0,0,L29/K29)</f>
        <v/>
      </c>
      <c r="N29" s="87">
        <f>SUM($K$6:K29)</f>
        <v/>
      </c>
      <c r="O29" s="85">
        <f>SUM($L$6:L29)</f>
        <v/>
      </c>
      <c r="P29" s="86">
        <f>IF(N29=0,"",O29/N29)</f>
        <v/>
      </c>
      <c r="Q29" s="88">
        <f>IF(A29&gt;$S$2,"予定",IF(N29=0,"－",IF(P29&gt;=1,"完了",IF(O29&gt;=N29,"順調","遅延"))))</f>
        <v/>
      </c>
      <c r="R29" s="84">
        <f>D29+K29</f>
        <v/>
      </c>
      <c r="S29" s="89">
        <f>E29+L29</f>
        <v/>
      </c>
    </row>
    <row r="30">
      <c r="A30" s="81" t="n">
        <v>46099</v>
      </c>
      <c r="B30" s="82">
        <f>CHOOSE(WEEKDAY(A30,2),"月","火","水","木","金","土","日")</f>
        <v/>
      </c>
      <c r="C30" s="83">
        <f>IF(OR(WEEKDAY(A30,2)&gt;=6,COUNTIF(祝日マスタ!$A:$A,A30)&gt;0),"非営業日","営業日")</f>
        <v/>
      </c>
      <c r="D30" s="84">
        <f>COUNTIFS(明細!$F$5:$F$76,A30)</f>
        <v/>
      </c>
      <c r="E30" s="85">
        <f>COUNTIFS(明細!$G$5:$G$76,A30)</f>
        <v/>
      </c>
      <c r="F30" s="86">
        <f>IF(D30=0,0,E30/D30)</f>
        <v/>
      </c>
      <c r="G30" s="87">
        <f>SUM($D$6:D30)</f>
        <v/>
      </c>
      <c r="H30" s="85">
        <f>SUM($E$6:E30)</f>
        <v/>
      </c>
      <c r="I30" s="86">
        <f>IF(G30=0,"",H30/G30)</f>
        <v/>
      </c>
      <c r="J30" s="88">
        <f>IF(A30&gt;$S$2,"予定",IF(G30=0,"－",IF(I30&gt;=1,"完了",IF(H30&gt;=G30,"順調","遅延"))))</f>
        <v/>
      </c>
      <c r="K30" s="84">
        <f>COUNTIFS(明細!$I$5:$I$76,A30)</f>
        <v/>
      </c>
      <c r="L30" s="85">
        <f>COUNTIFS(明細!$J$5:$J$76,A30)</f>
        <v/>
      </c>
      <c r="M30" s="86">
        <f>IF(K30=0,0,L30/K30)</f>
        <v/>
      </c>
      <c r="N30" s="87">
        <f>SUM($K$6:K30)</f>
        <v/>
      </c>
      <c r="O30" s="85">
        <f>SUM($L$6:L30)</f>
        <v/>
      </c>
      <c r="P30" s="86">
        <f>IF(N30=0,"",O30/N30)</f>
        <v/>
      </c>
      <c r="Q30" s="88">
        <f>IF(A30&gt;$S$2,"予定",IF(N30=0,"－",IF(P30&gt;=1,"完了",IF(O30&gt;=N30,"順調","遅延"))))</f>
        <v/>
      </c>
      <c r="R30" s="84">
        <f>D30+K30</f>
        <v/>
      </c>
      <c r="S30" s="89">
        <f>E30+L30</f>
        <v/>
      </c>
    </row>
  </sheetData>
  <mergeCells count="5">
    <mergeCell ref="D3:J3"/>
    <mergeCell ref="K3:Q3"/>
    <mergeCell ref="A1:S1"/>
    <mergeCell ref="A3:C3"/>
    <mergeCell ref="R3:S3"/>
  </mergeCells>
  <conditionalFormatting sqref="J5:J30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30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30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30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30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54" t="inlineStr">
        <is>
          <t>テスト進捗サマリー（オンライン）</t>
        </is>
      </c>
    </row>
    <row r="2" ht="22" customHeight="1">
      <c r="A2" s="55" t="inlineStr">
        <is>
          <t>集計期間: 2026/02/27 ～ 2026/03/16 (18日間)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7" t="inlineStr">
        <is>
          <t>基準日:</t>
        </is>
      </c>
      <c r="S2" s="58">
        <f>ダッシュボード!$B$2</f>
        <v/>
      </c>
    </row>
    <row r="3" ht="24" customHeight="1">
      <c r="A3" s="59" t="inlineStr">
        <is>
          <t>共通</t>
        </is>
      </c>
      <c r="D3" s="60" t="inlineStr">
        <is>
          <t>実施</t>
        </is>
      </c>
      <c r="K3" s="61" t="inlineStr">
        <is>
          <t>検証</t>
        </is>
      </c>
      <c r="R3" s="62" t="inlineStr">
        <is>
          <t>合計</t>
        </is>
      </c>
    </row>
    <row r="4" ht="22" customHeight="1">
      <c r="A4" s="63" t="inlineStr">
        <is>
          <t>日付</t>
        </is>
      </c>
      <c r="B4" s="64" t="inlineStr">
        <is>
          <t>曜</t>
        </is>
      </c>
      <c r="C4" s="65" t="inlineStr">
        <is>
          <t>営業日</t>
        </is>
      </c>
      <c r="D4" s="66" t="inlineStr">
        <is>
          <t>予定</t>
        </is>
      </c>
      <c r="E4" s="67" t="inlineStr">
        <is>
          <t>実績</t>
        </is>
      </c>
      <c r="F4" s="67" t="inlineStr">
        <is>
          <t>消化率</t>
        </is>
      </c>
      <c r="G4" s="67" t="inlineStr">
        <is>
          <t>予定累計</t>
        </is>
      </c>
      <c r="H4" s="67" t="inlineStr">
        <is>
          <t>実績累計</t>
        </is>
      </c>
      <c r="I4" s="67" t="inlineStr">
        <is>
          <t>累計消化率</t>
        </is>
      </c>
      <c r="J4" s="68" t="inlineStr">
        <is>
          <t>判定</t>
        </is>
      </c>
      <c r="K4" s="69" t="inlineStr">
        <is>
          <t>予定</t>
        </is>
      </c>
      <c r="L4" s="70" t="inlineStr">
        <is>
          <t>実績</t>
        </is>
      </c>
      <c r="M4" s="70" t="inlineStr">
        <is>
          <t>消化率</t>
        </is>
      </c>
      <c r="N4" s="70" t="inlineStr">
        <is>
          <t>予定累計</t>
        </is>
      </c>
      <c r="O4" s="70" t="inlineStr">
        <is>
          <t>実績累計</t>
        </is>
      </c>
      <c r="P4" s="70" t="inlineStr">
        <is>
          <t>累計消化率</t>
        </is>
      </c>
      <c r="Q4" s="71" t="inlineStr">
        <is>
          <t>判定</t>
        </is>
      </c>
      <c r="R4" s="72" t="inlineStr">
        <is>
          <t>予定</t>
        </is>
      </c>
      <c r="S4" s="73" t="inlineStr">
        <is>
          <t>実績</t>
        </is>
      </c>
    </row>
    <row r="5" ht="24" customHeight="1">
      <c r="A5" s="74" t="inlineStr">
        <is>
          <t>合計</t>
        </is>
      </c>
      <c r="B5" s="75" t="n"/>
      <c r="C5" s="76" t="n"/>
      <c r="D5" s="77">
        <f>SUM(D6:D23)</f>
        <v/>
      </c>
      <c r="E5" s="78">
        <f>SUM(E6:E23)</f>
        <v/>
      </c>
      <c r="F5" s="79">
        <f>IF(D5=0,0,E5/D5)</f>
        <v/>
      </c>
      <c r="G5" s="78">
        <f>D5</f>
        <v/>
      </c>
      <c r="H5" s="78">
        <f>E5</f>
        <v/>
      </c>
      <c r="I5" s="79">
        <f>IF(G5=0,"",H5/G5)</f>
        <v/>
      </c>
      <c r="J5" s="76">
        <f>IF(I5&gt;=1,"完了",IF(H5&gt;=G5,"順調","遅延"))</f>
        <v/>
      </c>
      <c r="K5" s="77">
        <f>SUM(K6:K23)</f>
        <v/>
      </c>
      <c r="L5" s="78">
        <f>SUM(L6:L23)</f>
        <v/>
      </c>
      <c r="M5" s="79">
        <f>IF(K5=0,0,L5/K5)</f>
        <v/>
      </c>
      <c r="N5" s="78">
        <f>K5</f>
        <v/>
      </c>
      <c r="O5" s="78">
        <f>L5</f>
        <v/>
      </c>
      <c r="P5" s="79">
        <f>IF(N5=0,"",O5/N5)</f>
        <v/>
      </c>
      <c r="Q5" s="76">
        <f>IF(P5&gt;=1,"完了",IF(O5&gt;=N5,"順調","遅延"))</f>
        <v/>
      </c>
      <c r="R5" s="77">
        <f>D5+K5</f>
        <v/>
      </c>
      <c r="S5" s="80">
        <f>E5+L5</f>
        <v/>
      </c>
    </row>
    <row r="6">
      <c r="A6" s="81" t="n">
        <v>46080</v>
      </c>
      <c r="B6" s="82">
        <f>CHOOSE(WEEKDAY(A6,2),"月","火","水","木","金","土","日")</f>
        <v/>
      </c>
      <c r="C6" s="83">
        <f>IF(OR(WEEKDAY(A6,2)&gt;=6,COUNTIF(祝日マスタ!$A:$A,A6)&gt;0),"非営業日","営業日")</f>
        <v/>
      </c>
      <c r="D6" s="84">
        <f>COUNTIFS(明細!$F$5:$F$76,A6,明細!$D$5:$D$76,"オンライン")</f>
        <v/>
      </c>
      <c r="E6" s="85">
        <f>COUNTIFS(明細!$G$5:$G$76,A6,明細!$D$5:$D$76,"オンライン")</f>
        <v/>
      </c>
      <c r="F6" s="86">
        <f>IF(D6=0,0,E6/D6)</f>
        <v/>
      </c>
      <c r="G6" s="87">
        <f>SUM($D$6:D6)</f>
        <v/>
      </c>
      <c r="H6" s="85">
        <f>SUM($E$6:E6)</f>
        <v/>
      </c>
      <c r="I6" s="86">
        <f>IF(G6=0,"",H6/G6)</f>
        <v/>
      </c>
      <c r="J6" s="88">
        <f>IF(A6&gt;$S$2,"予定",IF(G6=0,"－",IF(I6&gt;=1,"完了",IF(H6&gt;=G6,"順調","遅延"))))</f>
        <v/>
      </c>
      <c r="K6" s="84">
        <f>COUNTIFS(明細!$I$5:$I$76,A6,明細!$D$5:$D$76,"オンライン")</f>
        <v/>
      </c>
      <c r="L6" s="85">
        <f>COUNTIFS(明細!$J$5:$J$76,A6,明細!$D$5:$D$76,"オンライン")</f>
        <v/>
      </c>
      <c r="M6" s="86">
        <f>IF(K6=0,0,L6/K6)</f>
        <v/>
      </c>
      <c r="N6" s="87">
        <f>SUM($K$6:K6)</f>
        <v/>
      </c>
      <c r="O6" s="85">
        <f>SUM($L$6:L6)</f>
        <v/>
      </c>
      <c r="P6" s="86">
        <f>IF(N6=0,"",O6/N6)</f>
        <v/>
      </c>
      <c r="Q6" s="88">
        <f>IF(A6&gt;$S$2,"予定",IF(N6=0,"－",IF(P6&gt;=1,"完了",IF(O6&gt;=N6,"順調","遅延"))))</f>
        <v/>
      </c>
      <c r="R6" s="84">
        <f>D6+K6</f>
        <v/>
      </c>
      <c r="S6" s="89">
        <f>E6+L6</f>
        <v/>
      </c>
    </row>
    <row r="7">
      <c r="A7" s="81" t="n">
        <v>46081</v>
      </c>
      <c r="B7" s="82">
        <f>CHOOSE(WEEKDAY(A7,2),"月","火","水","木","金","土","日")</f>
        <v/>
      </c>
      <c r="C7" s="83">
        <f>IF(OR(WEEKDAY(A7,2)&gt;=6,COUNTIF(祝日マスタ!$A:$A,A7)&gt;0),"非営業日","営業日")</f>
        <v/>
      </c>
      <c r="D7" s="84">
        <f>COUNTIFS(明細!$F$5:$F$76,A7,明細!$D$5:$D$76,"オンライン")</f>
        <v/>
      </c>
      <c r="E7" s="85">
        <f>COUNTIFS(明細!$G$5:$G$76,A7,明細!$D$5:$D$76,"オンライン")</f>
        <v/>
      </c>
      <c r="F7" s="86">
        <f>IF(D7=0,0,E7/D7)</f>
        <v/>
      </c>
      <c r="G7" s="87">
        <f>SUM($D$6:D7)</f>
        <v/>
      </c>
      <c r="H7" s="85">
        <f>SUM($E$6:E7)</f>
        <v/>
      </c>
      <c r="I7" s="86">
        <f>IF(G7=0,"",H7/G7)</f>
        <v/>
      </c>
      <c r="J7" s="88">
        <f>IF(A7&gt;$S$2,"予定",IF(G7=0,"－",IF(I7&gt;=1,"完了",IF(H7&gt;=G7,"順調","遅延"))))</f>
        <v/>
      </c>
      <c r="K7" s="84">
        <f>COUNTIFS(明細!$I$5:$I$76,A7,明細!$D$5:$D$76,"オンライン")</f>
        <v/>
      </c>
      <c r="L7" s="85">
        <f>COUNTIFS(明細!$J$5:$J$76,A7,明細!$D$5:$D$76,"オンライン")</f>
        <v/>
      </c>
      <c r="M7" s="86">
        <f>IF(K7=0,0,L7/K7)</f>
        <v/>
      </c>
      <c r="N7" s="87">
        <f>SUM($K$6:K7)</f>
        <v/>
      </c>
      <c r="O7" s="85">
        <f>SUM($L$6:L7)</f>
        <v/>
      </c>
      <c r="P7" s="86">
        <f>IF(N7=0,"",O7/N7)</f>
        <v/>
      </c>
      <c r="Q7" s="88">
        <f>IF(A7&gt;$S$2,"予定",IF(N7=0,"－",IF(P7&gt;=1,"完了",IF(O7&gt;=N7,"順調","遅延"))))</f>
        <v/>
      </c>
      <c r="R7" s="84">
        <f>D7+K7</f>
        <v/>
      </c>
      <c r="S7" s="89">
        <f>E7+L7</f>
        <v/>
      </c>
    </row>
    <row r="8">
      <c r="A8" s="81" t="n">
        <v>46082</v>
      </c>
      <c r="B8" s="82">
        <f>CHOOSE(WEEKDAY(A8,2),"月","火","水","木","金","土","日")</f>
        <v/>
      </c>
      <c r="C8" s="83">
        <f>IF(OR(WEEKDAY(A8,2)&gt;=6,COUNTIF(祝日マスタ!$A:$A,A8)&gt;0),"非営業日","営業日")</f>
        <v/>
      </c>
      <c r="D8" s="84">
        <f>COUNTIFS(明細!$F$5:$F$76,A8,明細!$D$5:$D$76,"オンライン")</f>
        <v/>
      </c>
      <c r="E8" s="85">
        <f>COUNTIFS(明細!$G$5:$G$76,A8,明細!$D$5:$D$76,"オンライン")</f>
        <v/>
      </c>
      <c r="F8" s="86">
        <f>IF(D8=0,0,E8/D8)</f>
        <v/>
      </c>
      <c r="G8" s="87">
        <f>SUM($D$6:D8)</f>
        <v/>
      </c>
      <c r="H8" s="85">
        <f>SUM($E$6:E8)</f>
        <v/>
      </c>
      <c r="I8" s="86">
        <f>IF(G8=0,"",H8/G8)</f>
        <v/>
      </c>
      <c r="J8" s="88">
        <f>IF(A8&gt;$S$2,"予定",IF(G8=0,"－",IF(I8&gt;=1,"完了",IF(H8&gt;=G8,"順調","遅延"))))</f>
        <v/>
      </c>
      <c r="K8" s="84">
        <f>COUNTIFS(明細!$I$5:$I$76,A8,明細!$D$5:$D$76,"オンライン")</f>
        <v/>
      </c>
      <c r="L8" s="85">
        <f>COUNTIFS(明細!$J$5:$J$76,A8,明細!$D$5:$D$76,"オンライン")</f>
        <v/>
      </c>
      <c r="M8" s="86">
        <f>IF(K8=0,0,L8/K8)</f>
        <v/>
      </c>
      <c r="N8" s="87">
        <f>SUM($K$6:K8)</f>
        <v/>
      </c>
      <c r="O8" s="85">
        <f>SUM($L$6:L8)</f>
        <v/>
      </c>
      <c r="P8" s="86">
        <f>IF(N8=0,"",O8/N8)</f>
        <v/>
      </c>
      <c r="Q8" s="88">
        <f>IF(A8&gt;$S$2,"予定",IF(N8=0,"－",IF(P8&gt;=1,"完了",IF(O8&gt;=N8,"順調","遅延"))))</f>
        <v/>
      </c>
      <c r="R8" s="84">
        <f>D8+K8</f>
        <v/>
      </c>
      <c r="S8" s="89">
        <f>E8+L8</f>
        <v/>
      </c>
    </row>
    <row r="9">
      <c r="A9" s="81" t="n">
        <v>46083</v>
      </c>
      <c r="B9" s="82">
        <f>CHOOSE(WEEKDAY(A9,2),"月","火","水","木","金","土","日")</f>
        <v/>
      </c>
      <c r="C9" s="83">
        <f>IF(OR(WEEKDAY(A9,2)&gt;=6,COUNTIF(祝日マスタ!$A:$A,A9)&gt;0),"非営業日","営業日")</f>
        <v/>
      </c>
      <c r="D9" s="84">
        <f>COUNTIFS(明細!$F$5:$F$76,A9,明細!$D$5:$D$76,"オンライン")</f>
        <v/>
      </c>
      <c r="E9" s="85">
        <f>COUNTIFS(明細!$G$5:$G$76,A9,明細!$D$5:$D$76,"オンライン")</f>
        <v/>
      </c>
      <c r="F9" s="86">
        <f>IF(D9=0,0,E9/D9)</f>
        <v/>
      </c>
      <c r="G9" s="87">
        <f>SUM($D$6:D9)</f>
        <v/>
      </c>
      <c r="H9" s="85">
        <f>SUM($E$6:E9)</f>
        <v/>
      </c>
      <c r="I9" s="86">
        <f>IF(G9=0,"",H9/G9)</f>
        <v/>
      </c>
      <c r="J9" s="88">
        <f>IF(A9&gt;$S$2,"予定",IF(G9=0,"－",IF(I9&gt;=1,"完了",IF(H9&gt;=G9,"順調","遅延"))))</f>
        <v/>
      </c>
      <c r="K9" s="84">
        <f>COUNTIFS(明細!$I$5:$I$76,A9,明細!$D$5:$D$76,"オンライン")</f>
        <v/>
      </c>
      <c r="L9" s="85">
        <f>COUNTIFS(明細!$J$5:$J$76,A9,明細!$D$5:$D$76,"オンライン")</f>
        <v/>
      </c>
      <c r="M9" s="86">
        <f>IF(K9=0,0,L9/K9)</f>
        <v/>
      </c>
      <c r="N9" s="87">
        <f>SUM($K$6:K9)</f>
        <v/>
      </c>
      <c r="O9" s="85">
        <f>SUM($L$6:L9)</f>
        <v/>
      </c>
      <c r="P9" s="86">
        <f>IF(N9=0,"",O9/N9)</f>
        <v/>
      </c>
      <c r="Q9" s="88">
        <f>IF(A9&gt;$S$2,"予定",IF(N9=0,"－",IF(P9&gt;=1,"完了",IF(O9&gt;=N9,"順調","遅延"))))</f>
        <v/>
      </c>
      <c r="R9" s="84">
        <f>D9+K9</f>
        <v/>
      </c>
      <c r="S9" s="89">
        <f>E9+L9</f>
        <v/>
      </c>
    </row>
    <row r="10">
      <c r="A10" s="81" t="n">
        <v>46084</v>
      </c>
      <c r="B10" s="82">
        <f>CHOOSE(WEEKDAY(A10,2),"月","火","水","木","金","土","日")</f>
        <v/>
      </c>
      <c r="C10" s="83">
        <f>IF(OR(WEEKDAY(A10,2)&gt;=6,COUNTIF(祝日マスタ!$A:$A,A10)&gt;0),"非営業日","営業日")</f>
        <v/>
      </c>
      <c r="D10" s="84">
        <f>COUNTIFS(明細!$F$5:$F$76,A10,明細!$D$5:$D$76,"オンライン")</f>
        <v/>
      </c>
      <c r="E10" s="85">
        <f>COUNTIFS(明細!$G$5:$G$76,A10,明細!$D$5:$D$76,"オンライン")</f>
        <v/>
      </c>
      <c r="F10" s="86">
        <f>IF(D10=0,0,E10/D10)</f>
        <v/>
      </c>
      <c r="G10" s="87">
        <f>SUM($D$6:D10)</f>
        <v/>
      </c>
      <c r="H10" s="85">
        <f>SUM($E$6:E10)</f>
        <v/>
      </c>
      <c r="I10" s="86">
        <f>IF(G10=0,"",H10/G10)</f>
        <v/>
      </c>
      <c r="J10" s="88">
        <f>IF(A10&gt;$S$2,"予定",IF(G10=0,"－",IF(I10&gt;=1,"完了",IF(H10&gt;=G10,"順調","遅延"))))</f>
        <v/>
      </c>
      <c r="K10" s="84">
        <f>COUNTIFS(明細!$I$5:$I$76,A10,明細!$D$5:$D$76,"オンライン")</f>
        <v/>
      </c>
      <c r="L10" s="85">
        <f>COUNTIFS(明細!$J$5:$J$76,A10,明細!$D$5:$D$76,"オンライン")</f>
        <v/>
      </c>
      <c r="M10" s="86">
        <f>IF(K10=0,0,L10/K10)</f>
        <v/>
      </c>
      <c r="N10" s="87">
        <f>SUM($K$6:K10)</f>
        <v/>
      </c>
      <c r="O10" s="85">
        <f>SUM($L$6:L10)</f>
        <v/>
      </c>
      <c r="P10" s="86">
        <f>IF(N10=0,"",O10/N10)</f>
        <v/>
      </c>
      <c r="Q10" s="88">
        <f>IF(A10&gt;$S$2,"予定",IF(N10=0,"－",IF(P10&gt;=1,"完了",IF(O10&gt;=N10,"順調","遅延"))))</f>
        <v/>
      </c>
      <c r="R10" s="84">
        <f>D10+K10</f>
        <v/>
      </c>
      <c r="S10" s="89">
        <f>E10+L10</f>
        <v/>
      </c>
    </row>
    <row r="11">
      <c r="A11" s="81" t="n">
        <v>46085</v>
      </c>
      <c r="B11" s="82">
        <f>CHOOSE(WEEKDAY(A11,2),"月","火","水","木","金","土","日")</f>
        <v/>
      </c>
      <c r="C11" s="83">
        <f>IF(OR(WEEKDAY(A11,2)&gt;=6,COUNTIF(祝日マスタ!$A:$A,A11)&gt;0),"非営業日","営業日")</f>
        <v/>
      </c>
      <c r="D11" s="84">
        <f>COUNTIFS(明細!$F$5:$F$76,A11,明細!$D$5:$D$76,"オンライン")</f>
        <v/>
      </c>
      <c r="E11" s="85">
        <f>COUNTIFS(明細!$G$5:$G$76,A11,明細!$D$5:$D$76,"オンライン")</f>
        <v/>
      </c>
      <c r="F11" s="86">
        <f>IF(D11=0,0,E11/D11)</f>
        <v/>
      </c>
      <c r="G11" s="87">
        <f>SUM($D$6:D11)</f>
        <v/>
      </c>
      <c r="H11" s="85">
        <f>SUM($E$6:E11)</f>
        <v/>
      </c>
      <c r="I11" s="86">
        <f>IF(G11=0,"",H11/G11)</f>
        <v/>
      </c>
      <c r="J11" s="88">
        <f>IF(A11&gt;$S$2,"予定",IF(G11=0,"－",IF(I11&gt;=1,"完了",IF(H11&gt;=G11,"順調","遅延"))))</f>
        <v/>
      </c>
      <c r="K11" s="84">
        <f>COUNTIFS(明細!$I$5:$I$76,A11,明細!$D$5:$D$76,"オンライン")</f>
        <v/>
      </c>
      <c r="L11" s="85">
        <f>COUNTIFS(明細!$J$5:$J$76,A11,明細!$D$5:$D$76,"オンライン")</f>
        <v/>
      </c>
      <c r="M11" s="86">
        <f>IF(K11=0,0,L11/K11)</f>
        <v/>
      </c>
      <c r="N11" s="87">
        <f>SUM($K$6:K11)</f>
        <v/>
      </c>
      <c r="O11" s="85">
        <f>SUM($L$6:L11)</f>
        <v/>
      </c>
      <c r="P11" s="86">
        <f>IF(N11=0,"",O11/N11)</f>
        <v/>
      </c>
      <c r="Q11" s="88">
        <f>IF(A11&gt;$S$2,"予定",IF(N11=0,"－",IF(P11&gt;=1,"完了",IF(O11&gt;=N11,"順調","遅延"))))</f>
        <v/>
      </c>
      <c r="R11" s="84">
        <f>D11+K11</f>
        <v/>
      </c>
      <c r="S11" s="89">
        <f>E11+L11</f>
        <v/>
      </c>
    </row>
    <row r="12">
      <c r="A12" s="81" t="n">
        <v>46086</v>
      </c>
      <c r="B12" s="82">
        <f>CHOOSE(WEEKDAY(A12,2),"月","火","水","木","金","土","日")</f>
        <v/>
      </c>
      <c r="C12" s="83">
        <f>IF(OR(WEEKDAY(A12,2)&gt;=6,COUNTIF(祝日マスタ!$A:$A,A12)&gt;0),"非営業日","営業日")</f>
        <v/>
      </c>
      <c r="D12" s="84">
        <f>COUNTIFS(明細!$F$5:$F$76,A12,明細!$D$5:$D$76,"オンライン")</f>
        <v/>
      </c>
      <c r="E12" s="85">
        <f>COUNTIFS(明細!$G$5:$G$76,A12,明細!$D$5:$D$76,"オンライン")</f>
        <v/>
      </c>
      <c r="F12" s="86">
        <f>IF(D12=0,0,E12/D12)</f>
        <v/>
      </c>
      <c r="G12" s="87">
        <f>SUM($D$6:D12)</f>
        <v/>
      </c>
      <c r="H12" s="85">
        <f>SUM($E$6:E12)</f>
        <v/>
      </c>
      <c r="I12" s="86">
        <f>IF(G12=0,"",H12/G12)</f>
        <v/>
      </c>
      <c r="J12" s="88">
        <f>IF(A12&gt;$S$2,"予定",IF(G12=0,"－",IF(I12&gt;=1,"完了",IF(H12&gt;=G12,"順調","遅延"))))</f>
        <v/>
      </c>
      <c r="K12" s="84">
        <f>COUNTIFS(明細!$I$5:$I$76,A12,明細!$D$5:$D$76,"オンライン")</f>
        <v/>
      </c>
      <c r="L12" s="85">
        <f>COUNTIFS(明細!$J$5:$J$76,A12,明細!$D$5:$D$76,"オンライン")</f>
        <v/>
      </c>
      <c r="M12" s="86">
        <f>IF(K12=0,0,L12/K12)</f>
        <v/>
      </c>
      <c r="N12" s="87">
        <f>SUM($K$6:K12)</f>
        <v/>
      </c>
      <c r="O12" s="85">
        <f>SUM($L$6:L12)</f>
        <v/>
      </c>
      <c r="P12" s="86">
        <f>IF(N12=0,"",O12/N12)</f>
        <v/>
      </c>
      <c r="Q12" s="88">
        <f>IF(A12&gt;$S$2,"予定",IF(N12=0,"－",IF(P12&gt;=1,"完了",IF(O12&gt;=N12,"順調","遅延"))))</f>
        <v/>
      </c>
      <c r="R12" s="84">
        <f>D12+K12</f>
        <v/>
      </c>
      <c r="S12" s="89">
        <f>E12+L12</f>
        <v/>
      </c>
    </row>
    <row r="13">
      <c r="A13" s="81" t="n">
        <v>46087</v>
      </c>
      <c r="B13" s="82">
        <f>CHOOSE(WEEKDAY(A13,2),"月","火","水","木","金","土","日")</f>
        <v/>
      </c>
      <c r="C13" s="83">
        <f>IF(OR(WEEKDAY(A13,2)&gt;=6,COUNTIF(祝日マスタ!$A:$A,A13)&gt;0),"非営業日","営業日")</f>
        <v/>
      </c>
      <c r="D13" s="84">
        <f>COUNTIFS(明細!$F$5:$F$76,A13,明細!$D$5:$D$76,"オンライン")</f>
        <v/>
      </c>
      <c r="E13" s="85">
        <f>COUNTIFS(明細!$G$5:$G$76,A13,明細!$D$5:$D$76,"オンライン")</f>
        <v/>
      </c>
      <c r="F13" s="86">
        <f>IF(D13=0,0,E13/D13)</f>
        <v/>
      </c>
      <c r="G13" s="87">
        <f>SUM($D$6:D13)</f>
        <v/>
      </c>
      <c r="H13" s="85">
        <f>SUM($E$6:E13)</f>
        <v/>
      </c>
      <c r="I13" s="86">
        <f>IF(G13=0,"",H13/G13)</f>
        <v/>
      </c>
      <c r="J13" s="88">
        <f>IF(A13&gt;$S$2,"予定",IF(G13=0,"－",IF(I13&gt;=1,"完了",IF(H13&gt;=G13,"順調","遅延"))))</f>
        <v/>
      </c>
      <c r="K13" s="84">
        <f>COUNTIFS(明細!$I$5:$I$76,A13,明細!$D$5:$D$76,"オンライン")</f>
        <v/>
      </c>
      <c r="L13" s="85">
        <f>COUNTIFS(明細!$J$5:$J$76,A13,明細!$D$5:$D$76,"オンライン")</f>
        <v/>
      </c>
      <c r="M13" s="86">
        <f>IF(K13=0,0,L13/K13)</f>
        <v/>
      </c>
      <c r="N13" s="87">
        <f>SUM($K$6:K13)</f>
        <v/>
      </c>
      <c r="O13" s="85">
        <f>SUM($L$6:L13)</f>
        <v/>
      </c>
      <c r="P13" s="86">
        <f>IF(N13=0,"",O13/N13)</f>
        <v/>
      </c>
      <c r="Q13" s="88">
        <f>IF(A13&gt;$S$2,"予定",IF(N13=0,"－",IF(P13&gt;=1,"完了",IF(O13&gt;=N13,"順調","遅延"))))</f>
        <v/>
      </c>
      <c r="R13" s="84">
        <f>D13+K13</f>
        <v/>
      </c>
      <c r="S13" s="89">
        <f>E13+L13</f>
        <v/>
      </c>
    </row>
    <row r="14">
      <c r="A14" s="81" t="n">
        <v>46088</v>
      </c>
      <c r="B14" s="82">
        <f>CHOOSE(WEEKDAY(A14,2),"月","火","水","木","金","土","日")</f>
        <v/>
      </c>
      <c r="C14" s="83">
        <f>IF(OR(WEEKDAY(A14,2)&gt;=6,COUNTIF(祝日マスタ!$A:$A,A14)&gt;0),"非営業日","営業日")</f>
        <v/>
      </c>
      <c r="D14" s="84">
        <f>COUNTIFS(明細!$F$5:$F$76,A14,明細!$D$5:$D$76,"オンライン")</f>
        <v/>
      </c>
      <c r="E14" s="85">
        <f>COUNTIFS(明細!$G$5:$G$76,A14,明細!$D$5:$D$76,"オンライン")</f>
        <v/>
      </c>
      <c r="F14" s="86">
        <f>IF(D14=0,0,E14/D14)</f>
        <v/>
      </c>
      <c r="G14" s="87">
        <f>SUM($D$6:D14)</f>
        <v/>
      </c>
      <c r="H14" s="85">
        <f>SUM($E$6:E14)</f>
        <v/>
      </c>
      <c r="I14" s="86">
        <f>IF(G14=0,"",H14/G14)</f>
        <v/>
      </c>
      <c r="J14" s="88">
        <f>IF(A14&gt;$S$2,"予定",IF(G14=0,"－",IF(I14&gt;=1,"完了",IF(H14&gt;=G14,"順調","遅延"))))</f>
        <v/>
      </c>
      <c r="K14" s="84">
        <f>COUNTIFS(明細!$I$5:$I$76,A14,明細!$D$5:$D$76,"オンライン")</f>
        <v/>
      </c>
      <c r="L14" s="85">
        <f>COUNTIFS(明細!$J$5:$J$76,A14,明細!$D$5:$D$76,"オンライン")</f>
        <v/>
      </c>
      <c r="M14" s="86">
        <f>IF(K14=0,0,L14/K14)</f>
        <v/>
      </c>
      <c r="N14" s="87">
        <f>SUM($K$6:K14)</f>
        <v/>
      </c>
      <c r="O14" s="85">
        <f>SUM($L$6:L14)</f>
        <v/>
      </c>
      <c r="P14" s="86">
        <f>IF(N14=0,"",O14/N14)</f>
        <v/>
      </c>
      <c r="Q14" s="88">
        <f>IF(A14&gt;$S$2,"予定",IF(N14=0,"－",IF(P14&gt;=1,"完了",IF(O14&gt;=N14,"順調","遅延"))))</f>
        <v/>
      </c>
      <c r="R14" s="84">
        <f>D14+K14</f>
        <v/>
      </c>
      <c r="S14" s="89">
        <f>E14+L14</f>
        <v/>
      </c>
    </row>
    <row r="15">
      <c r="A15" s="81" t="n">
        <v>46089</v>
      </c>
      <c r="B15" s="82">
        <f>CHOOSE(WEEKDAY(A15,2),"月","火","水","木","金","土","日")</f>
        <v/>
      </c>
      <c r="C15" s="83">
        <f>IF(OR(WEEKDAY(A15,2)&gt;=6,COUNTIF(祝日マスタ!$A:$A,A15)&gt;0),"非営業日","営業日")</f>
        <v/>
      </c>
      <c r="D15" s="84">
        <f>COUNTIFS(明細!$F$5:$F$76,A15,明細!$D$5:$D$76,"オンライン")</f>
        <v/>
      </c>
      <c r="E15" s="85">
        <f>COUNTIFS(明細!$G$5:$G$76,A15,明細!$D$5:$D$76,"オンライン")</f>
        <v/>
      </c>
      <c r="F15" s="86">
        <f>IF(D15=0,0,E15/D15)</f>
        <v/>
      </c>
      <c r="G15" s="87">
        <f>SUM($D$6:D15)</f>
        <v/>
      </c>
      <c r="H15" s="85">
        <f>SUM($E$6:E15)</f>
        <v/>
      </c>
      <c r="I15" s="86">
        <f>IF(G15=0,"",H15/G15)</f>
        <v/>
      </c>
      <c r="J15" s="88">
        <f>IF(A15&gt;$S$2,"予定",IF(G15=0,"－",IF(I15&gt;=1,"完了",IF(H15&gt;=G15,"順調","遅延"))))</f>
        <v/>
      </c>
      <c r="K15" s="84">
        <f>COUNTIFS(明細!$I$5:$I$76,A15,明細!$D$5:$D$76,"オンライン")</f>
        <v/>
      </c>
      <c r="L15" s="85">
        <f>COUNTIFS(明細!$J$5:$J$76,A15,明細!$D$5:$D$76,"オンライン")</f>
        <v/>
      </c>
      <c r="M15" s="86">
        <f>IF(K15=0,0,L15/K15)</f>
        <v/>
      </c>
      <c r="N15" s="87">
        <f>SUM($K$6:K15)</f>
        <v/>
      </c>
      <c r="O15" s="85">
        <f>SUM($L$6:L15)</f>
        <v/>
      </c>
      <c r="P15" s="86">
        <f>IF(N15=0,"",O15/N15)</f>
        <v/>
      </c>
      <c r="Q15" s="88">
        <f>IF(A15&gt;$S$2,"予定",IF(N15=0,"－",IF(P15&gt;=1,"完了",IF(O15&gt;=N15,"順調","遅延"))))</f>
        <v/>
      </c>
      <c r="R15" s="84">
        <f>D15+K15</f>
        <v/>
      </c>
      <c r="S15" s="89">
        <f>E15+L15</f>
        <v/>
      </c>
    </row>
    <row r="16">
      <c r="A16" s="81" t="n">
        <v>46090</v>
      </c>
      <c r="B16" s="82">
        <f>CHOOSE(WEEKDAY(A16,2),"月","火","水","木","金","土","日")</f>
        <v/>
      </c>
      <c r="C16" s="83">
        <f>IF(OR(WEEKDAY(A16,2)&gt;=6,COUNTIF(祝日マスタ!$A:$A,A16)&gt;0),"非営業日","営業日")</f>
        <v/>
      </c>
      <c r="D16" s="84">
        <f>COUNTIFS(明細!$F$5:$F$76,A16,明細!$D$5:$D$76,"オンライン")</f>
        <v/>
      </c>
      <c r="E16" s="85">
        <f>COUNTIFS(明細!$G$5:$G$76,A16,明細!$D$5:$D$76,"オンライン")</f>
        <v/>
      </c>
      <c r="F16" s="86">
        <f>IF(D16=0,0,E16/D16)</f>
        <v/>
      </c>
      <c r="G16" s="87">
        <f>SUM($D$6:D16)</f>
        <v/>
      </c>
      <c r="H16" s="85">
        <f>SUM($E$6:E16)</f>
        <v/>
      </c>
      <c r="I16" s="86">
        <f>IF(G16=0,"",H16/G16)</f>
        <v/>
      </c>
      <c r="J16" s="88">
        <f>IF(A16&gt;$S$2,"予定",IF(G16=0,"－",IF(I16&gt;=1,"完了",IF(H16&gt;=G16,"順調","遅延"))))</f>
        <v/>
      </c>
      <c r="K16" s="84">
        <f>COUNTIFS(明細!$I$5:$I$76,A16,明細!$D$5:$D$76,"オンライン")</f>
        <v/>
      </c>
      <c r="L16" s="85">
        <f>COUNTIFS(明細!$J$5:$J$76,A16,明細!$D$5:$D$76,"オンライン")</f>
        <v/>
      </c>
      <c r="M16" s="86">
        <f>IF(K16=0,0,L16/K16)</f>
        <v/>
      </c>
      <c r="N16" s="87">
        <f>SUM($K$6:K16)</f>
        <v/>
      </c>
      <c r="O16" s="85">
        <f>SUM($L$6:L16)</f>
        <v/>
      </c>
      <c r="P16" s="86">
        <f>IF(N16=0,"",O16/N16)</f>
        <v/>
      </c>
      <c r="Q16" s="88">
        <f>IF(A16&gt;$S$2,"予定",IF(N16=0,"－",IF(P16&gt;=1,"完了",IF(O16&gt;=N16,"順調","遅延"))))</f>
        <v/>
      </c>
      <c r="R16" s="84">
        <f>D16+K16</f>
        <v/>
      </c>
      <c r="S16" s="89">
        <f>E16+L16</f>
        <v/>
      </c>
    </row>
    <row r="17">
      <c r="A17" s="81" t="n">
        <v>46091</v>
      </c>
      <c r="B17" s="82">
        <f>CHOOSE(WEEKDAY(A17,2),"月","火","水","木","金","土","日")</f>
        <v/>
      </c>
      <c r="C17" s="83">
        <f>IF(OR(WEEKDAY(A17,2)&gt;=6,COUNTIF(祝日マスタ!$A:$A,A17)&gt;0),"非営業日","営業日")</f>
        <v/>
      </c>
      <c r="D17" s="84">
        <f>COUNTIFS(明細!$F$5:$F$76,A17,明細!$D$5:$D$76,"オンライン")</f>
        <v/>
      </c>
      <c r="E17" s="85">
        <f>COUNTIFS(明細!$G$5:$G$76,A17,明細!$D$5:$D$76,"オンライン")</f>
        <v/>
      </c>
      <c r="F17" s="86">
        <f>IF(D17=0,0,E17/D17)</f>
        <v/>
      </c>
      <c r="G17" s="87">
        <f>SUM($D$6:D17)</f>
        <v/>
      </c>
      <c r="H17" s="85">
        <f>SUM($E$6:E17)</f>
        <v/>
      </c>
      <c r="I17" s="86">
        <f>IF(G17=0,"",H17/G17)</f>
        <v/>
      </c>
      <c r="J17" s="88">
        <f>IF(A17&gt;$S$2,"予定",IF(G17=0,"－",IF(I17&gt;=1,"完了",IF(H17&gt;=G17,"順調","遅延"))))</f>
        <v/>
      </c>
      <c r="K17" s="84">
        <f>COUNTIFS(明細!$I$5:$I$76,A17,明細!$D$5:$D$76,"オンライン")</f>
        <v/>
      </c>
      <c r="L17" s="85">
        <f>COUNTIFS(明細!$J$5:$J$76,A17,明細!$D$5:$D$76,"オンライン")</f>
        <v/>
      </c>
      <c r="M17" s="86">
        <f>IF(K17=0,0,L17/K17)</f>
        <v/>
      </c>
      <c r="N17" s="87">
        <f>SUM($K$6:K17)</f>
        <v/>
      </c>
      <c r="O17" s="85">
        <f>SUM($L$6:L17)</f>
        <v/>
      </c>
      <c r="P17" s="86">
        <f>IF(N17=0,"",O17/N17)</f>
        <v/>
      </c>
      <c r="Q17" s="88">
        <f>IF(A17&gt;$S$2,"予定",IF(N17=0,"－",IF(P17&gt;=1,"完了",IF(O17&gt;=N17,"順調","遅延"))))</f>
        <v/>
      </c>
      <c r="R17" s="84">
        <f>D17+K17</f>
        <v/>
      </c>
      <c r="S17" s="89">
        <f>E17+L17</f>
        <v/>
      </c>
    </row>
    <row r="18">
      <c r="A18" s="81" t="n">
        <v>46092</v>
      </c>
      <c r="B18" s="82">
        <f>CHOOSE(WEEKDAY(A18,2),"月","火","水","木","金","土","日")</f>
        <v/>
      </c>
      <c r="C18" s="83">
        <f>IF(OR(WEEKDAY(A18,2)&gt;=6,COUNTIF(祝日マスタ!$A:$A,A18)&gt;0),"非営業日","営業日")</f>
        <v/>
      </c>
      <c r="D18" s="84">
        <f>COUNTIFS(明細!$F$5:$F$76,A18,明細!$D$5:$D$76,"オンライン")</f>
        <v/>
      </c>
      <c r="E18" s="85">
        <f>COUNTIFS(明細!$G$5:$G$76,A18,明細!$D$5:$D$76,"オンライン")</f>
        <v/>
      </c>
      <c r="F18" s="86">
        <f>IF(D18=0,0,E18/D18)</f>
        <v/>
      </c>
      <c r="G18" s="87">
        <f>SUM($D$6:D18)</f>
        <v/>
      </c>
      <c r="H18" s="85">
        <f>SUM($E$6:E18)</f>
        <v/>
      </c>
      <c r="I18" s="86">
        <f>IF(G18=0,"",H18/G18)</f>
        <v/>
      </c>
      <c r="J18" s="88">
        <f>IF(A18&gt;$S$2,"予定",IF(G18=0,"－",IF(I18&gt;=1,"完了",IF(H18&gt;=G18,"順調","遅延"))))</f>
        <v/>
      </c>
      <c r="K18" s="84">
        <f>COUNTIFS(明細!$I$5:$I$76,A18,明細!$D$5:$D$76,"オンライン")</f>
        <v/>
      </c>
      <c r="L18" s="85">
        <f>COUNTIFS(明細!$J$5:$J$76,A18,明細!$D$5:$D$76,"オンライン")</f>
        <v/>
      </c>
      <c r="M18" s="86">
        <f>IF(K18=0,0,L18/K18)</f>
        <v/>
      </c>
      <c r="N18" s="87">
        <f>SUM($K$6:K18)</f>
        <v/>
      </c>
      <c r="O18" s="85">
        <f>SUM($L$6:L18)</f>
        <v/>
      </c>
      <c r="P18" s="86">
        <f>IF(N18=0,"",O18/N18)</f>
        <v/>
      </c>
      <c r="Q18" s="88">
        <f>IF(A18&gt;$S$2,"予定",IF(N18=0,"－",IF(P18&gt;=1,"完了",IF(O18&gt;=N18,"順調","遅延"))))</f>
        <v/>
      </c>
      <c r="R18" s="84">
        <f>D18+K18</f>
        <v/>
      </c>
      <c r="S18" s="89">
        <f>E18+L18</f>
        <v/>
      </c>
    </row>
    <row r="19">
      <c r="A19" s="81" t="n">
        <v>46093</v>
      </c>
      <c r="B19" s="82">
        <f>CHOOSE(WEEKDAY(A19,2),"月","火","水","木","金","土","日")</f>
        <v/>
      </c>
      <c r="C19" s="83">
        <f>IF(OR(WEEKDAY(A19,2)&gt;=6,COUNTIF(祝日マスタ!$A:$A,A19)&gt;0),"非営業日","営業日")</f>
        <v/>
      </c>
      <c r="D19" s="84">
        <f>COUNTIFS(明細!$F$5:$F$76,A19,明細!$D$5:$D$76,"オンライン")</f>
        <v/>
      </c>
      <c r="E19" s="85">
        <f>COUNTIFS(明細!$G$5:$G$76,A19,明細!$D$5:$D$76,"オンライン")</f>
        <v/>
      </c>
      <c r="F19" s="86">
        <f>IF(D19=0,0,E19/D19)</f>
        <v/>
      </c>
      <c r="G19" s="87">
        <f>SUM($D$6:D19)</f>
        <v/>
      </c>
      <c r="H19" s="85">
        <f>SUM($E$6:E19)</f>
        <v/>
      </c>
      <c r="I19" s="86">
        <f>IF(G19=0,"",H19/G19)</f>
        <v/>
      </c>
      <c r="J19" s="88">
        <f>IF(A19&gt;$S$2,"予定",IF(G19=0,"－",IF(I19&gt;=1,"完了",IF(H19&gt;=G19,"順調","遅延"))))</f>
        <v/>
      </c>
      <c r="K19" s="84">
        <f>COUNTIFS(明細!$I$5:$I$76,A19,明細!$D$5:$D$76,"オンライン")</f>
        <v/>
      </c>
      <c r="L19" s="85">
        <f>COUNTIFS(明細!$J$5:$J$76,A19,明細!$D$5:$D$76,"オンライン")</f>
        <v/>
      </c>
      <c r="M19" s="86">
        <f>IF(K19=0,0,L19/K19)</f>
        <v/>
      </c>
      <c r="N19" s="87">
        <f>SUM($K$6:K19)</f>
        <v/>
      </c>
      <c r="O19" s="85">
        <f>SUM($L$6:L19)</f>
        <v/>
      </c>
      <c r="P19" s="86">
        <f>IF(N19=0,"",O19/N19)</f>
        <v/>
      </c>
      <c r="Q19" s="88">
        <f>IF(A19&gt;$S$2,"予定",IF(N19=0,"－",IF(P19&gt;=1,"完了",IF(O19&gt;=N19,"順調","遅延"))))</f>
        <v/>
      </c>
      <c r="R19" s="84">
        <f>D19+K19</f>
        <v/>
      </c>
      <c r="S19" s="89">
        <f>E19+L19</f>
        <v/>
      </c>
    </row>
    <row r="20">
      <c r="A20" s="81" t="n">
        <v>46094</v>
      </c>
      <c r="B20" s="82">
        <f>CHOOSE(WEEKDAY(A20,2),"月","火","水","木","金","土","日")</f>
        <v/>
      </c>
      <c r="C20" s="83">
        <f>IF(OR(WEEKDAY(A20,2)&gt;=6,COUNTIF(祝日マスタ!$A:$A,A20)&gt;0),"非営業日","営業日")</f>
        <v/>
      </c>
      <c r="D20" s="84">
        <f>COUNTIFS(明細!$F$5:$F$76,A20,明細!$D$5:$D$76,"オンライン")</f>
        <v/>
      </c>
      <c r="E20" s="85">
        <f>COUNTIFS(明細!$G$5:$G$76,A20,明細!$D$5:$D$76,"オンライン")</f>
        <v/>
      </c>
      <c r="F20" s="86">
        <f>IF(D20=0,0,E20/D20)</f>
        <v/>
      </c>
      <c r="G20" s="87">
        <f>SUM($D$6:D20)</f>
        <v/>
      </c>
      <c r="H20" s="85">
        <f>SUM($E$6:E20)</f>
        <v/>
      </c>
      <c r="I20" s="86">
        <f>IF(G20=0,"",H20/G20)</f>
        <v/>
      </c>
      <c r="J20" s="88">
        <f>IF(A20&gt;$S$2,"予定",IF(G20=0,"－",IF(I20&gt;=1,"完了",IF(H20&gt;=G20,"順調","遅延"))))</f>
        <v/>
      </c>
      <c r="K20" s="84">
        <f>COUNTIFS(明細!$I$5:$I$76,A20,明細!$D$5:$D$76,"オンライン")</f>
        <v/>
      </c>
      <c r="L20" s="85">
        <f>COUNTIFS(明細!$J$5:$J$76,A20,明細!$D$5:$D$76,"オンライン")</f>
        <v/>
      </c>
      <c r="M20" s="86">
        <f>IF(K20=0,0,L20/K20)</f>
        <v/>
      </c>
      <c r="N20" s="87">
        <f>SUM($K$6:K20)</f>
        <v/>
      </c>
      <c r="O20" s="85">
        <f>SUM($L$6:L20)</f>
        <v/>
      </c>
      <c r="P20" s="86">
        <f>IF(N20=0,"",O20/N20)</f>
        <v/>
      </c>
      <c r="Q20" s="88">
        <f>IF(A20&gt;$S$2,"予定",IF(N20=0,"－",IF(P20&gt;=1,"完了",IF(O20&gt;=N20,"順調","遅延"))))</f>
        <v/>
      </c>
      <c r="R20" s="84">
        <f>D20+K20</f>
        <v/>
      </c>
      <c r="S20" s="89">
        <f>E20+L20</f>
        <v/>
      </c>
    </row>
    <row r="21">
      <c r="A21" s="81" t="n">
        <v>46095</v>
      </c>
      <c r="B21" s="82">
        <f>CHOOSE(WEEKDAY(A21,2),"月","火","水","木","金","土","日")</f>
        <v/>
      </c>
      <c r="C21" s="83">
        <f>IF(OR(WEEKDAY(A21,2)&gt;=6,COUNTIF(祝日マスタ!$A:$A,A21)&gt;0),"非営業日","営業日")</f>
        <v/>
      </c>
      <c r="D21" s="84">
        <f>COUNTIFS(明細!$F$5:$F$76,A21,明細!$D$5:$D$76,"オンライン")</f>
        <v/>
      </c>
      <c r="E21" s="85">
        <f>COUNTIFS(明細!$G$5:$G$76,A21,明細!$D$5:$D$76,"オンライン")</f>
        <v/>
      </c>
      <c r="F21" s="86">
        <f>IF(D21=0,0,E21/D21)</f>
        <v/>
      </c>
      <c r="G21" s="87">
        <f>SUM($D$6:D21)</f>
        <v/>
      </c>
      <c r="H21" s="85">
        <f>SUM($E$6:E21)</f>
        <v/>
      </c>
      <c r="I21" s="86">
        <f>IF(G21=0,"",H21/G21)</f>
        <v/>
      </c>
      <c r="J21" s="88">
        <f>IF(A21&gt;$S$2,"予定",IF(G21=0,"－",IF(I21&gt;=1,"完了",IF(H21&gt;=G21,"順調","遅延"))))</f>
        <v/>
      </c>
      <c r="K21" s="84">
        <f>COUNTIFS(明細!$I$5:$I$76,A21,明細!$D$5:$D$76,"オンライン")</f>
        <v/>
      </c>
      <c r="L21" s="85">
        <f>COUNTIFS(明細!$J$5:$J$76,A21,明細!$D$5:$D$76,"オンライン")</f>
        <v/>
      </c>
      <c r="M21" s="86">
        <f>IF(K21=0,0,L21/K21)</f>
        <v/>
      </c>
      <c r="N21" s="87">
        <f>SUM($K$6:K21)</f>
        <v/>
      </c>
      <c r="O21" s="85">
        <f>SUM($L$6:L21)</f>
        <v/>
      </c>
      <c r="P21" s="86">
        <f>IF(N21=0,"",O21/N21)</f>
        <v/>
      </c>
      <c r="Q21" s="88">
        <f>IF(A21&gt;$S$2,"予定",IF(N21=0,"－",IF(P21&gt;=1,"完了",IF(O21&gt;=N21,"順調","遅延"))))</f>
        <v/>
      </c>
      <c r="R21" s="84">
        <f>D21+K21</f>
        <v/>
      </c>
      <c r="S21" s="89">
        <f>E21+L21</f>
        <v/>
      </c>
    </row>
    <row r="22">
      <c r="A22" s="81" t="n">
        <v>46096</v>
      </c>
      <c r="B22" s="82">
        <f>CHOOSE(WEEKDAY(A22,2),"月","火","水","木","金","土","日")</f>
        <v/>
      </c>
      <c r="C22" s="83">
        <f>IF(OR(WEEKDAY(A22,2)&gt;=6,COUNTIF(祝日マスタ!$A:$A,A22)&gt;0),"非営業日","営業日")</f>
        <v/>
      </c>
      <c r="D22" s="84">
        <f>COUNTIFS(明細!$F$5:$F$76,A22,明細!$D$5:$D$76,"オンライン")</f>
        <v/>
      </c>
      <c r="E22" s="85">
        <f>COUNTIFS(明細!$G$5:$G$76,A22,明細!$D$5:$D$76,"オンライン")</f>
        <v/>
      </c>
      <c r="F22" s="86">
        <f>IF(D22=0,0,E22/D22)</f>
        <v/>
      </c>
      <c r="G22" s="87">
        <f>SUM($D$6:D22)</f>
        <v/>
      </c>
      <c r="H22" s="85">
        <f>SUM($E$6:E22)</f>
        <v/>
      </c>
      <c r="I22" s="86">
        <f>IF(G22=0,"",H22/G22)</f>
        <v/>
      </c>
      <c r="J22" s="88">
        <f>IF(A22&gt;$S$2,"予定",IF(G22=0,"－",IF(I22&gt;=1,"完了",IF(H22&gt;=G22,"順調","遅延"))))</f>
        <v/>
      </c>
      <c r="K22" s="84">
        <f>COUNTIFS(明細!$I$5:$I$76,A22,明細!$D$5:$D$76,"オンライン")</f>
        <v/>
      </c>
      <c r="L22" s="85">
        <f>COUNTIFS(明細!$J$5:$J$76,A22,明細!$D$5:$D$76,"オンライン")</f>
        <v/>
      </c>
      <c r="M22" s="86">
        <f>IF(K22=0,0,L22/K22)</f>
        <v/>
      </c>
      <c r="N22" s="87">
        <f>SUM($K$6:K22)</f>
        <v/>
      </c>
      <c r="O22" s="85">
        <f>SUM($L$6:L22)</f>
        <v/>
      </c>
      <c r="P22" s="86">
        <f>IF(N22=0,"",O22/N22)</f>
        <v/>
      </c>
      <c r="Q22" s="88">
        <f>IF(A22&gt;$S$2,"予定",IF(N22=0,"－",IF(P22&gt;=1,"完了",IF(O22&gt;=N22,"順調","遅延"))))</f>
        <v/>
      </c>
      <c r="R22" s="84">
        <f>D22+K22</f>
        <v/>
      </c>
      <c r="S22" s="89">
        <f>E22+L22</f>
        <v/>
      </c>
    </row>
    <row r="23">
      <c r="A23" s="81" t="n">
        <v>46097</v>
      </c>
      <c r="B23" s="82">
        <f>CHOOSE(WEEKDAY(A23,2),"月","火","水","木","金","土","日")</f>
        <v/>
      </c>
      <c r="C23" s="83">
        <f>IF(OR(WEEKDAY(A23,2)&gt;=6,COUNTIF(祝日マスタ!$A:$A,A23)&gt;0),"非営業日","営業日")</f>
        <v/>
      </c>
      <c r="D23" s="84">
        <f>COUNTIFS(明細!$F$5:$F$76,A23,明細!$D$5:$D$76,"オンライン")</f>
        <v/>
      </c>
      <c r="E23" s="85">
        <f>COUNTIFS(明細!$G$5:$G$76,A23,明細!$D$5:$D$76,"オンライン")</f>
        <v/>
      </c>
      <c r="F23" s="86">
        <f>IF(D23=0,0,E23/D23)</f>
        <v/>
      </c>
      <c r="G23" s="87">
        <f>SUM($D$6:D23)</f>
        <v/>
      </c>
      <c r="H23" s="85">
        <f>SUM($E$6:E23)</f>
        <v/>
      </c>
      <c r="I23" s="86">
        <f>IF(G23=0,"",H23/G23)</f>
        <v/>
      </c>
      <c r="J23" s="88">
        <f>IF(A23&gt;$S$2,"予定",IF(G23=0,"－",IF(I23&gt;=1,"完了",IF(H23&gt;=G23,"順調","遅延"))))</f>
        <v/>
      </c>
      <c r="K23" s="84">
        <f>COUNTIFS(明細!$I$5:$I$76,A23,明細!$D$5:$D$76,"オンライン")</f>
        <v/>
      </c>
      <c r="L23" s="85">
        <f>COUNTIFS(明細!$J$5:$J$76,A23,明細!$D$5:$D$76,"オンライン")</f>
        <v/>
      </c>
      <c r="M23" s="86">
        <f>IF(K23=0,0,L23/K23)</f>
        <v/>
      </c>
      <c r="N23" s="87">
        <f>SUM($K$6:K23)</f>
        <v/>
      </c>
      <c r="O23" s="85">
        <f>SUM($L$6:L23)</f>
        <v/>
      </c>
      <c r="P23" s="86">
        <f>IF(N23=0,"",O23/N23)</f>
        <v/>
      </c>
      <c r="Q23" s="88">
        <f>IF(A23&gt;$S$2,"予定",IF(N23=0,"－",IF(P23&gt;=1,"完了",IF(O23&gt;=N23,"順調","遅延"))))</f>
        <v/>
      </c>
      <c r="R23" s="84">
        <f>D23+K23</f>
        <v/>
      </c>
      <c r="S23" s="89">
        <f>E23+L23</f>
        <v/>
      </c>
    </row>
  </sheetData>
  <mergeCells count="5">
    <mergeCell ref="D3:J3"/>
    <mergeCell ref="K3:Q3"/>
    <mergeCell ref="A1:S1"/>
    <mergeCell ref="A3:C3"/>
    <mergeCell ref="R3:S3"/>
  </mergeCells>
  <conditionalFormatting sqref="J5:J23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23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23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23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23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54" t="inlineStr">
        <is>
          <t>テスト進捗サマリー（バッチ）</t>
        </is>
      </c>
    </row>
    <row r="2" ht="22" customHeight="1">
      <c r="A2" s="55" t="inlineStr">
        <is>
          <t>集計期間: 2026/02/22 ～ 2026/03/18 (25日間)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7" t="inlineStr">
        <is>
          <t>基準日:</t>
        </is>
      </c>
      <c r="S2" s="58">
        <f>ダッシュボード!$B$2</f>
        <v/>
      </c>
    </row>
    <row r="3" ht="24" customHeight="1">
      <c r="A3" s="59" t="inlineStr">
        <is>
          <t>共通</t>
        </is>
      </c>
      <c r="D3" s="60" t="inlineStr">
        <is>
          <t>実施</t>
        </is>
      </c>
      <c r="K3" s="61" t="inlineStr">
        <is>
          <t>検証</t>
        </is>
      </c>
      <c r="R3" s="62" t="inlineStr">
        <is>
          <t>合計</t>
        </is>
      </c>
    </row>
    <row r="4" ht="22" customHeight="1">
      <c r="A4" s="63" t="inlineStr">
        <is>
          <t>日付</t>
        </is>
      </c>
      <c r="B4" s="64" t="inlineStr">
        <is>
          <t>曜</t>
        </is>
      </c>
      <c r="C4" s="65" t="inlineStr">
        <is>
          <t>営業日</t>
        </is>
      </c>
      <c r="D4" s="66" t="inlineStr">
        <is>
          <t>予定</t>
        </is>
      </c>
      <c r="E4" s="67" t="inlineStr">
        <is>
          <t>実績</t>
        </is>
      </c>
      <c r="F4" s="67" t="inlineStr">
        <is>
          <t>消化率</t>
        </is>
      </c>
      <c r="G4" s="67" t="inlineStr">
        <is>
          <t>予定累計</t>
        </is>
      </c>
      <c r="H4" s="67" t="inlineStr">
        <is>
          <t>実績累計</t>
        </is>
      </c>
      <c r="I4" s="67" t="inlineStr">
        <is>
          <t>累計消化率</t>
        </is>
      </c>
      <c r="J4" s="68" t="inlineStr">
        <is>
          <t>判定</t>
        </is>
      </c>
      <c r="K4" s="69" t="inlineStr">
        <is>
          <t>予定</t>
        </is>
      </c>
      <c r="L4" s="70" t="inlineStr">
        <is>
          <t>実績</t>
        </is>
      </c>
      <c r="M4" s="70" t="inlineStr">
        <is>
          <t>消化率</t>
        </is>
      </c>
      <c r="N4" s="70" t="inlineStr">
        <is>
          <t>予定累計</t>
        </is>
      </c>
      <c r="O4" s="70" t="inlineStr">
        <is>
          <t>実績累計</t>
        </is>
      </c>
      <c r="P4" s="70" t="inlineStr">
        <is>
          <t>累計消化率</t>
        </is>
      </c>
      <c r="Q4" s="71" t="inlineStr">
        <is>
          <t>判定</t>
        </is>
      </c>
      <c r="R4" s="72" t="inlineStr">
        <is>
          <t>予定</t>
        </is>
      </c>
      <c r="S4" s="73" t="inlineStr">
        <is>
          <t>実績</t>
        </is>
      </c>
    </row>
    <row r="5" ht="24" customHeight="1">
      <c r="A5" s="74" t="inlineStr">
        <is>
          <t>合計</t>
        </is>
      </c>
      <c r="B5" s="75" t="n"/>
      <c r="C5" s="76" t="n"/>
      <c r="D5" s="77">
        <f>SUM(D6:D30)</f>
        <v/>
      </c>
      <c r="E5" s="78">
        <f>SUM(E6:E30)</f>
        <v/>
      </c>
      <c r="F5" s="79">
        <f>IF(D5=0,0,E5/D5)</f>
        <v/>
      </c>
      <c r="G5" s="78">
        <f>D5</f>
        <v/>
      </c>
      <c r="H5" s="78">
        <f>E5</f>
        <v/>
      </c>
      <c r="I5" s="79">
        <f>IF(G5=0,"",H5/G5)</f>
        <v/>
      </c>
      <c r="J5" s="76">
        <f>IF(I5&gt;=1,"完了",IF(H5&gt;=G5,"順調","遅延"))</f>
        <v/>
      </c>
      <c r="K5" s="77">
        <f>SUM(K6:K30)</f>
        <v/>
      </c>
      <c r="L5" s="78">
        <f>SUM(L6:L30)</f>
        <v/>
      </c>
      <c r="M5" s="79">
        <f>IF(K5=0,0,L5/K5)</f>
        <v/>
      </c>
      <c r="N5" s="78">
        <f>K5</f>
        <v/>
      </c>
      <c r="O5" s="78">
        <f>L5</f>
        <v/>
      </c>
      <c r="P5" s="79">
        <f>IF(N5=0,"",O5/N5)</f>
        <v/>
      </c>
      <c r="Q5" s="76">
        <f>IF(P5&gt;=1,"完了",IF(O5&gt;=N5,"順調","遅延"))</f>
        <v/>
      </c>
      <c r="R5" s="77">
        <f>D5+K5</f>
        <v/>
      </c>
      <c r="S5" s="80">
        <f>E5+L5</f>
        <v/>
      </c>
    </row>
    <row r="6">
      <c r="A6" s="81" t="n">
        <v>46075</v>
      </c>
      <c r="B6" s="82">
        <f>CHOOSE(WEEKDAY(A6,2),"月","火","水","木","金","土","日")</f>
        <v/>
      </c>
      <c r="C6" s="83">
        <f>IF(OR(WEEKDAY(A6,2)&gt;=6,COUNTIF(祝日マスタ!$A:$A,A6)&gt;0),"非営業日","営業日")</f>
        <v/>
      </c>
      <c r="D6" s="84">
        <f>COUNTIFS(明細!$F$5:$F$76,A6,明細!$D$5:$D$76,"バッチ")</f>
        <v/>
      </c>
      <c r="E6" s="85">
        <f>COUNTIFS(明細!$G$5:$G$76,A6,明細!$D$5:$D$76,"バッチ")</f>
        <v/>
      </c>
      <c r="F6" s="86">
        <f>IF(D6=0,0,E6/D6)</f>
        <v/>
      </c>
      <c r="G6" s="87">
        <f>SUM($D$6:D6)</f>
        <v/>
      </c>
      <c r="H6" s="85">
        <f>SUM($E$6:E6)</f>
        <v/>
      </c>
      <c r="I6" s="86">
        <f>IF(G6=0,"",H6/G6)</f>
        <v/>
      </c>
      <c r="J6" s="88">
        <f>IF(A6&gt;$S$2,"予定",IF(G6=0,"－",IF(I6&gt;=1,"完了",IF(H6&gt;=G6,"順調","遅延"))))</f>
        <v/>
      </c>
      <c r="K6" s="84">
        <f>COUNTIFS(明細!$I$5:$I$76,A6,明細!$D$5:$D$76,"バッチ")</f>
        <v/>
      </c>
      <c r="L6" s="85">
        <f>COUNTIFS(明細!$J$5:$J$76,A6,明細!$D$5:$D$76,"バッチ")</f>
        <v/>
      </c>
      <c r="M6" s="86">
        <f>IF(K6=0,0,L6/K6)</f>
        <v/>
      </c>
      <c r="N6" s="87">
        <f>SUM($K$6:K6)</f>
        <v/>
      </c>
      <c r="O6" s="85">
        <f>SUM($L$6:L6)</f>
        <v/>
      </c>
      <c r="P6" s="86">
        <f>IF(N6=0,"",O6/N6)</f>
        <v/>
      </c>
      <c r="Q6" s="88">
        <f>IF(A6&gt;$S$2,"予定",IF(N6=0,"－",IF(P6&gt;=1,"完了",IF(O6&gt;=N6,"順調","遅延"))))</f>
        <v/>
      </c>
      <c r="R6" s="84">
        <f>D6+K6</f>
        <v/>
      </c>
      <c r="S6" s="89">
        <f>E6+L6</f>
        <v/>
      </c>
    </row>
    <row r="7">
      <c r="A7" s="81" t="n">
        <v>46076</v>
      </c>
      <c r="B7" s="82">
        <f>CHOOSE(WEEKDAY(A7,2),"月","火","水","木","金","土","日")</f>
        <v/>
      </c>
      <c r="C7" s="83">
        <f>IF(OR(WEEKDAY(A7,2)&gt;=6,COUNTIF(祝日マスタ!$A:$A,A7)&gt;0),"非営業日","営業日")</f>
        <v/>
      </c>
      <c r="D7" s="84">
        <f>COUNTIFS(明細!$F$5:$F$76,A7,明細!$D$5:$D$76,"バッチ")</f>
        <v/>
      </c>
      <c r="E7" s="85">
        <f>COUNTIFS(明細!$G$5:$G$76,A7,明細!$D$5:$D$76,"バッチ")</f>
        <v/>
      </c>
      <c r="F7" s="86">
        <f>IF(D7=0,0,E7/D7)</f>
        <v/>
      </c>
      <c r="G7" s="87">
        <f>SUM($D$6:D7)</f>
        <v/>
      </c>
      <c r="H7" s="85">
        <f>SUM($E$6:E7)</f>
        <v/>
      </c>
      <c r="I7" s="86">
        <f>IF(G7=0,"",H7/G7)</f>
        <v/>
      </c>
      <c r="J7" s="88">
        <f>IF(A7&gt;$S$2,"予定",IF(G7=0,"－",IF(I7&gt;=1,"完了",IF(H7&gt;=G7,"順調","遅延"))))</f>
        <v/>
      </c>
      <c r="K7" s="84">
        <f>COUNTIFS(明細!$I$5:$I$76,A7,明細!$D$5:$D$76,"バッチ")</f>
        <v/>
      </c>
      <c r="L7" s="85">
        <f>COUNTIFS(明細!$J$5:$J$76,A7,明細!$D$5:$D$76,"バッチ")</f>
        <v/>
      </c>
      <c r="M7" s="86">
        <f>IF(K7=0,0,L7/K7)</f>
        <v/>
      </c>
      <c r="N7" s="87">
        <f>SUM($K$6:K7)</f>
        <v/>
      </c>
      <c r="O7" s="85">
        <f>SUM($L$6:L7)</f>
        <v/>
      </c>
      <c r="P7" s="86">
        <f>IF(N7=0,"",O7/N7)</f>
        <v/>
      </c>
      <c r="Q7" s="88">
        <f>IF(A7&gt;$S$2,"予定",IF(N7=0,"－",IF(P7&gt;=1,"完了",IF(O7&gt;=N7,"順調","遅延"))))</f>
        <v/>
      </c>
      <c r="R7" s="84">
        <f>D7+K7</f>
        <v/>
      </c>
      <c r="S7" s="89">
        <f>E7+L7</f>
        <v/>
      </c>
    </row>
    <row r="8">
      <c r="A8" s="81" t="n">
        <v>46077</v>
      </c>
      <c r="B8" s="82">
        <f>CHOOSE(WEEKDAY(A8,2),"月","火","水","木","金","土","日")</f>
        <v/>
      </c>
      <c r="C8" s="83">
        <f>IF(OR(WEEKDAY(A8,2)&gt;=6,COUNTIF(祝日マスタ!$A:$A,A8)&gt;0),"非営業日","営業日")</f>
        <v/>
      </c>
      <c r="D8" s="84">
        <f>COUNTIFS(明細!$F$5:$F$76,A8,明細!$D$5:$D$76,"バッチ")</f>
        <v/>
      </c>
      <c r="E8" s="85">
        <f>COUNTIFS(明細!$G$5:$G$76,A8,明細!$D$5:$D$76,"バッチ")</f>
        <v/>
      </c>
      <c r="F8" s="86">
        <f>IF(D8=0,0,E8/D8)</f>
        <v/>
      </c>
      <c r="G8" s="87">
        <f>SUM($D$6:D8)</f>
        <v/>
      </c>
      <c r="H8" s="85">
        <f>SUM($E$6:E8)</f>
        <v/>
      </c>
      <c r="I8" s="86">
        <f>IF(G8=0,"",H8/G8)</f>
        <v/>
      </c>
      <c r="J8" s="88">
        <f>IF(A8&gt;$S$2,"予定",IF(G8=0,"－",IF(I8&gt;=1,"完了",IF(H8&gt;=G8,"順調","遅延"))))</f>
        <v/>
      </c>
      <c r="K8" s="84">
        <f>COUNTIFS(明細!$I$5:$I$76,A8,明細!$D$5:$D$76,"バッチ")</f>
        <v/>
      </c>
      <c r="L8" s="85">
        <f>COUNTIFS(明細!$J$5:$J$76,A8,明細!$D$5:$D$76,"バッチ")</f>
        <v/>
      </c>
      <c r="M8" s="86">
        <f>IF(K8=0,0,L8/K8)</f>
        <v/>
      </c>
      <c r="N8" s="87">
        <f>SUM($K$6:K8)</f>
        <v/>
      </c>
      <c r="O8" s="85">
        <f>SUM($L$6:L8)</f>
        <v/>
      </c>
      <c r="P8" s="86">
        <f>IF(N8=0,"",O8/N8)</f>
        <v/>
      </c>
      <c r="Q8" s="88">
        <f>IF(A8&gt;$S$2,"予定",IF(N8=0,"－",IF(P8&gt;=1,"完了",IF(O8&gt;=N8,"順調","遅延"))))</f>
        <v/>
      </c>
      <c r="R8" s="84">
        <f>D8+K8</f>
        <v/>
      </c>
      <c r="S8" s="89">
        <f>E8+L8</f>
        <v/>
      </c>
    </row>
    <row r="9">
      <c r="A9" s="81" t="n">
        <v>46078</v>
      </c>
      <c r="B9" s="82">
        <f>CHOOSE(WEEKDAY(A9,2),"月","火","水","木","金","土","日")</f>
        <v/>
      </c>
      <c r="C9" s="83">
        <f>IF(OR(WEEKDAY(A9,2)&gt;=6,COUNTIF(祝日マスタ!$A:$A,A9)&gt;0),"非営業日","営業日")</f>
        <v/>
      </c>
      <c r="D9" s="84">
        <f>COUNTIFS(明細!$F$5:$F$76,A9,明細!$D$5:$D$76,"バッチ")</f>
        <v/>
      </c>
      <c r="E9" s="85">
        <f>COUNTIFS(明細!$G$5:$G$76,A9,明細!$D$5:$D$76,"バッチ")</f>
        <v/>
      </c>
      <c r="F9" s="86">
        <f>IF(D9=0,0,E9/D9)</f>
        <v/>
      </c>
      <c r="G9" s="87">
        <f>SUM($D$6:D9)</f>
        <v/>
      </c>
      <c r="H9" s="85">
        <f>SUM($E$6:E9)</f>
        <v/>
      </c>
      <c r="I9" s="86">
        <f>IF(G9=0,"",H9/G9)</f>
        <v/>
      </c>
      <c r="J9" s="88">
        <f>IF(A9&gt;$S$2,"予定",IF(G9=0,"－",IF(I9&gt;=1,"完了",IF(H9&gt;=G9,"順調","遅延"))))</f>
        <v/>
      </c>
      <c r="K9" s="84">
        <f>COUNTIFS(明細!$I$5:$I$76,A9,明細!$D$5:$D$76,"バッチ")</f>
        <v/>
      </c>
      <c r="L9" s="85">
        <f>COUNTIFS(明細!$J$5:$J$76,A9,明細!$D$5:$D$76,"バッチ")</f>
        <v/>
      </c>
      <c r="M9" s="86">
        <f>IF(K9=0,0,L9/K9)</f>
        <v/>
      </c>
      <c r="N9" s="87">
        <f>SUM($K$6:K9)</f>
        <v/>
      </c>
      <c r="O9" s="85">
        <f>SUM($L$6:L9)</f>
        <v/>
      </c>
      <c r="P9" s="86">
        <f>IF(N9=0,"",O9/N9)</f>
        <v/>
      </c>
      <c r="Q9" s="88">
        <f>IF(A9&gt;$S$2,"予定",IF(N9=0,"－",IF(P9&gt;=1,"完了",IF(O9&gt;=N9,"順調","遅延"))))</f>
        <v/>
      </c>
      <c r="R9" s="84">
        <f>D9+K9</f>
        <v/>
      </c>
      <c r="S9" s="89">
        <f>E9+L9</f>
        <v/>
      </c>
    </row>
    <row r="10">
      <c r="A10" s="81" t="n">
        <v>46079</v>
      </c>
      <c r="B10" s="82">
        <f>CHOOSE(WEEKDAY(A10,2),"月","火","水","木","金","土","日")</f>
        <v/>
      </c>
      <c r="C10" s="83">
        <f>IF(OR(WEEKDAY(A10,2)&gt;=6,COUNTIF(祝日マスタ!$A:$A,A10)&gt;0),"非営業日","営業日")</f>
        <v/>
      </c>
      <c r="D10" s="84">
        <f>COUNTIFS(明細!$F$5:$F$76,A10,明細!$D$5:$D$76,"バッチ")</f>
        <v/>
      </c>
      <c r="E10" s="85">
        <f>COUNTIFS(明細!$G$5:$G$76,A10,明細!$D$5:$D$76,"バッチ")</f>
        <v/>
      </c>
      <c r="F10" s="86">
        <f>IF(D10=0,0,E10/D10)</f>
        <v/>
      </c>
      <c r="G10" s="87">
        <f>SUM($D$6:D10)</f>
        <v/>
      </c>
      <c r="H10" s="85">
        <f>SUM($E$6:E10)</f>
        <v/>
      </c>
      <c r="I10" s="86">
        <f>IF(G10=0,"",H10/G10)</f>
        <v/>
      </c>
      <c r="J10" s="88">
        <f>IF(A10&gt;$S$2,"予定",IF(G10=0,"－",IF(I10&gt;=1,"完了",IF(H10&gt;=G10,"順調","遅延"))))</f>
        <v/>
      </c>
      <c r="K10" s="84">
        <f>COUNTIFS(明細!$I$5:$I$76,A10,明細!$D$5:$D$76,"バッチ")</f>
        <v/>
      </c>
      <c r="L10" s="85">
        <f>COUNTIFS(明細!$J$5:$J$76,A10,明細!$D$5:$D$76,"バッチ")</f>
        <v/>
      </c>
      <c r="M10" s="86">
        <f>IF(K10=0,0,L10/K10)</f>
        <v/>
      </c>
      <c r="N10" s="87">
        <f>SUM($K$6:K10)</f>
        <v/>
      </c>
      <c r="O10" s="85">
        <f>SUM($L$6:L10)</f>
        <v/>
      </c>
      <c r="P10" s="86">
        <f>IF(N10=0,"",O10/N10)</f>
        <v/>
      </c>
      <c r="Q10" s="88">
        <f>IF(A10&gt;$S$2,"予定",IF(N10=0,"－",IF(P10&gt;=1,"完了",IF(O10&gt;=N10,"順調","遅延"))))</f>
        <v/>
      </c>
      <c r="R10" s="84">
        <f>D10+K10</f>
        <v/>
      </c>
      <c r="S10" s="89">
        <f>E10+L10</f>
        <v/>
      </c>
    </row>
    <row r="11">
      <c r="A11" s="81" t="n">
        <v>46080</v>
      </c>
      <c r="B11" s="82">
        <f>CHOOSE(WEEKDAY(A11,2),"月","火","水","木","金","土","日")</f>
        <v/>
      </c>
      <c r="C11" s="83">
        <f>IF(OR(WEEKDAY(A11,2)&gt;=6,COUNTIF(祝日マスタ!$A:$A,A11)&gt;0),"非営業日","営業日")</f>
        <v/>
      </c>
      <c r="D11" s="84">
        <f>COUNTIFS(明細!$F$5:$F$76,A11,明細!$D$5:$D$76,"バッチ")</f>
        <v/>
      </c>
      <c r="E11" s="85">
        <f>COUNTIFS(明細!$G$5:$G$76,A11,明細!$D$5:$D$76,"バッチ")</f>
        <v/>
      </c>
      <c r="F11" s="86">
        <f>IF(D11=0,0,E11/D11)</f>
        <v/>
      </c>
      <c r="G11" s="87">
        <f>SUM($D$6:D11)</f>
        <v/>
      </c>
      <c r="H11" s="85">
        <f>SUM($E$6:E11)</f>
        <v/>
      </c>
      <c r="I11" s="86">
        <f>IF(G11=0,"",H11/G11)</f>
        <v/>
      </c>
      <c r="J11" s="88">
        <f>IF(A11&gt;$S$2,"予定",IF(G11=0,"－",IF(I11&gt;=1,"完了",IF(H11&gt;=G11,"順調","遅延"))))</f>
        <v/>
      </c>
      <c r="K11" s="84">
        <f>COUNTIFS(明細!$I$5:$I$76,A11,明細!$D$5:$D$76,"バッチ")</f>
        <v/>
      </c>
      <c r="L11" s="85">
        <f>COUNTIFS(明細!$J$5:$J$76,A11,明細!$D$5:$D$76,"バッチ")</f>
        <v/>
      </c>
      <c r="M11" s="86">
        <f>IF(K11=0,0,L11/K11)</f>
        <v/>
      </c>
      <c r="N11" s="87">
        <f>SUM($K$6:K11)</f>
        <v/>
      </c>
      <c r="O11" s="85">
        <f>SUM($L$6:L11)</f>
        <v/>
      </c>
      <c r="P11" s="86">
        <f>IF(N11=0,"",O11/N11)</f>
        <v/>
      </c>
      <c r="Q11" s="88">
        <f>IF(A11&gt;$S$2,"予定",IF(N11=0,"－",IF(P11&gt;=1,"完了",IF(O11&gt;=N11,"順調","遅延"))))</f>
        <v/>
      </c>
      <c r="R11" s="84">
        <f>D11+K11</f>
        <v/>
      </c>
      <c r="S11" s="89">
        <f>E11+L11</f>
        <v/>
      </c>
    </row>
    <row r="12">
      <c r="A12" s="81" t="n">
        <v>46081</v>
      </c>
      <c r="B12" s="82">
        <f>CHOOSE(WEEKDAY(A12,2),"月","火","水","木","金","土","日")</f>
        <v/>
      </c>
      <c r="C12" s="83">
        <f>IF(OR(WEEKDAY(A12,2)&gt;=6,COUNTIF(祝日マスタ!$A:$A,A12)&gt;0),"非営業日","営業日")</f>
        <v/>
      </c>
      <c r="D12" s="84">
        <f>COUNTIFS(明細!$F$5:$F$76,A12,明細!$D$5:$D$76,"バッチ")</f>
        <v/>
      </c>
      <c r="E12" s="85">
        <f>COUNTIFS(明細!$G$5:$G$76,A12,明細!$D$5:$D$76,"バッチ")</f>
        <v/>
      </c>
      <c r="F12" s="86">
        <f>IF(D12=0,0,E12/D12)</f>
        <v/>
      </c>
      <c r="G12" s="87">
        <f>SUM($D$6:D12)</f>
        <v/>
      </c>
      <c r="H12" s="85">
        <f>SUM($E$6:E12)</f>
        <v/>
      </c>
      <c r="I12" s="86">
        <f>IF(G12=0,"",H12/G12)</f>
        <v/>
      </c>
      <c r="J12" s="88">
        <f>IF(A12&gt;$S$2,"予定",IF(G12=0,"－",IF(I12&gt;=1,"完了",IF(H12&gt;=G12,"順調","遅延"))))</f>
        <v/>
      </c>
      <c r="K12" s="84">
        <f>COUNTIFS(明細!$I$5:$I$76,A12,明細!$D$5:$D$76,"バッチ")</f>
        <v/>
      </c>
      <c r="L12" s="85">
        <f>COUNTIFS(明細!$J$5:$J$76,A12,明細!$D$5:$D$76,"バッチ")</f>
        <v/>
      </c>
      <c r="M12" s="86">
        <f>IF(K12=0,0,L12/K12)</f>
        <v/>
      </c>
      <c r="N12" s="87">
        <f>SUM($K$6:K12)</f>
        <v/>
      </c>
      <c r="O12" s="85">
        <f>SUM($L$6:L12)</f>
        <v/>
      </c>
      <c r="P12" s="86">
        <f>IF(N12=0,"",O12/N12)</f>
        <v/>
      </c>
      <c r="Q12" s="88">
        <f>IF(A12&gt;$S$2,"予定",IF(N12=0,"－",IF(P12&gt;=1,"完了",IF(O12&gt;=N12,"順調","遅延"))))</f>
        <v/>
      </c>
      <c r="R12" s="84">
        <f>D12+K12</f>
        <v/>
      </c>
      <c r="S12" s="89">
        <f>E12+L12</f>
        <v/>
      </c>
    </row>
    <row r="13">
      <c r="A13" s="81" t="n">
        <v>46082</v>
      </c>
      <c r="B13" s="82">
        <f>CHOOSE(WEEKDAY(A13,2),"月","火","水","木","金","土","日")</f>
        <v/>
      </c>
      <c r="C13" s="83">
        <f>IF(OR(WEEKDAY(A13,2)&gt;=6,COUNTIF(祝日マスタ!$A:$A,A13)&gt;0),"非営業日","営業日")</f>
        <v/>
      </c>
      <c r="D13" s="84">
        <f>COUNTIFS(明細!$F$5:$F$76,A13,明細!$D$5:$D$76,"バッチ")</f>
        <v/>
      </c>
      <c r="E13" s="85">
        <f>COUNTIFS(明細!$G$5:$G$76,A13,明細!$D$5:$D$76,"バッチ")</f>
        <v/>
      </c>
      <c r="F13" s="86">
        <f>IF(D13=0,0,E13/D13)</f>
        <v/>
      </c>
      <c r="G13" s="87">
        <f>SUM($D$6:D13)</f>
        <v/>
      </c>
      <c r="H13" s="85">
        <f>SUM($E$6:E13)</f>
        <v/>
      </c>
      <c r="I13" s="86">
        <f>IF(G13=0,"",H13/G13)</f>
        <v/>
      </c>
      <c r="J13" s="88">
        <f>IF(A13&gt;$S$2,"予定",IF(G13=0,"－",IF(I13&gt;=1,"完了",IF(H13&gt;=G13,"順調","遅延"))))</f>
        <v/>
      </c>
      <c r="K13" s="84">
        <f>COUNTIFS(明細!$I$5:$I$76,A13,明細!$D$5:$D$76,"バッチ")</f>
        <v/>
      </c>
      <c r="L13" s="85">
        <f>COUNTIFS(明細!$J$5:$J$76,A13,明細!$D$5:$D$76,"バッチ")</f>
        <v/>
      </c>
      <c r="M13" s="86">
        <f>IF(K13=0,0,L13/K13)</f>
        <v/>
      </c>
      <c r="N13" s="87">
        <f>SUM($K$6:K13)</f>
        <v/>
      </c>
      <c r="O13" s="85">
        <f>SUM($L$6:L13)</f>
        <v/>
      </c>
      <c r="P13" s="86">
        <f>IF(N13=0,"",O13/N13)</f>
        <v/>
      </c>
      <c r="Q13" s="88">
        <f>IF(A13&gt;$S$2,"予定",IF(N13=0,"－",IF(P13&gt;=1,"完了",IF(O13&gt;=N13,"順調","遅延"))))</f>
        <v/>
      </c>
      <c r="R13" s="84">
        <f>D13+K13</f>
        <v/>
      </c>
      <c r="S13" s="89">
        <f>E13+L13</f>
        <v/>
      </c>
    </row>
    <row r="14">
      <c r="A14" s="81" t="n">
        <v>46083</v>
      </c>
      <c r="B14" s="82">
        <f>CHOOSE(WEEKDAY(A14,2),"月","火","水","木","金","土","日")</f>
        <v/>
      </c>
      <c r="C14" s="83">
        <f>IF(OR(WEEKDAY(A14,2)&gt;=6,COUNTIF(祝日マスタ!$A:$A,A14)&gt;0),"非営業日","営業日")</f>
        <v/>
      </c>
      <c r="D14" s="84">
        <f>COUNTIFS(明細!$F$5:$F$76,A14,明細!$D$5:$D$76,"バッチ")</f>
        <v/>
      </c>
      <c r="E14" s="85">
        <f>COUNTIFS(明細!$G$5:$G$76,A14,明細!$D$5:$D$76,"バッチ")</f>
        <v/>
      </c>
      <c r="F14" s="86">
        <f>IF(D14=0,0,E14/D14)</f>
        <v/>
      </c>
      <c r="G14" s="87">
        <f>SUM($D$6:D14)</f>
        <v/>
      </c>
      <c r="H14" s="85">
        <f>SUM($E$6:E14)</f>
        <v/>
      </c>
      <c r="I14" s="86">
        <f>IF(G14=0,"",H14/G14)</f>
        <v/>
      </c>
      <c r="J14" s="88">
        <f>IF(A14&gt;$S$2,"予定",IF(G14=0,"－",IF(I14&gt;=1,"完了",IF(H14&gt;=G14,"順調","遅延"))))</f>
        <v/>
      </c>
      <c r="K14" s="84">
        <f>COUNTIFS(明細!$I$5:$I$76,A14,明細!$D$5:$D$76,"バッチ")</f>
        <v/>
      </c>
      <c r="L14" s="85">
        <f>COUNTIFS(明細!$J$5:$J$76,A14,明細!$D$5:$D$76,"バッチ")</f>
        <v/>
      </c>
      <c r="M14" s="86">
        <f>IF(K14=0,0,L14/K14)</f>
        <v/>
      </c>
      <c r="N14" s="87">
        <f>SUM($K$6:K14)</f>
        <v/>
      </c>
      <c r="O14" s="85">
        <f>SUM($L$6:L14)</f>
        <v/>
      </c>
      <c r="P14" s="86">
        <f>IF(N14=0,"",O14/N14)</f>
        <v/>
      </c>
      <c r="Q14" s="88">
        <f>IF(A14&gt;$S$2,"予定",IF(N14=0,"－",IF(P14&gt;=1,"完了",IF(O14&gt;=N14,"順調","遅延"))))</f>
        <v/>
      </c>
      <c r="R14" s="84">
        <f>D14+K14</f>
        <v/>
      </c>
      <c r="S14" s="89">
        <f>E14+L14</f>
        <v/>
      </c>
    </row>
    <row r="15">
      <c r="A15" s="81" t="n">
        <v>46084</v>
      </c>
      <c r="B15" s="82">
        <f>CHOOSE(WEEKDAY(A15,2),"月","火","水","木","金","土","日")</f>
        <v/>
      </c>
      <c r="C15" s="83">
        <f>IF(OR(WEEKDAY(A15,2)&gt;=6,COUNTIF(祝日マスタ!$A:$A,A15)&gt;0),"非営業日","営業日")</f>
        <v/>
      </c>
      <c r="D15" s="84">
        <f>COUNTIFS(明細!$F$5:$F$76,A15,明細!$D$5:$D$76,"バッチ")</f>
        <v/>
      </c>
      <c r="E15" s="85">
        <f>COUNTIFS(明細!$G$5:$G$76,A15,明細!$D$5:$D$76,"バッチ")</f>
        <v/>
      </c>
      <c r="F15" s="86">
        <f>IF(D15=0,0,E15/D15)</f>
        <v/>
      </c>
      <c r="G15" s="87">
        <f>SUM($D$6:D15)</f>
        <v/>
      </c>
      <c r="H15" s="85">
        <f>SUM($E$6:E15)</f>
        <v/>
      </c>
      <c r="I15" s="86">
        <f>IF(G15=0,"",H15/G15)</f>
        <v/>
      </c>
      <c r="J15" s="88">
        <f>IF(A15&gt;$S$2,"予定",IF(G15=0,"－",IF(I15&gt;=1,"完了",IF(H15&gt;=G15,"順調","遅延"))))</f>
        <v/>
      </c>
      <c r="K15" s="84">
        <f>COUNTIFS(明細!$I$5:$I$76,A15,明細!$D$5:$D$76,"バッチ")</f>
        <v/>
      </c>
      <c r="L15" s="85">
        <f>COUNTIFS(明細!$J$5:$J$76,A15,明細!$D$5:$D$76,"バッチ")</f>
        <v/>
      </c>
      <c r="M15" s="86">
        <f>IF(K15=0,0,L15/K15)</f>
        <v/>
      </c>
      <c r="N15" s="87">
        <f>SUM($K$6:K15)</f>
        <v/>
      </c>
      <c r="O15" s="85">
        <f>SUM($L$6:L15)</f>
        <v/>
      </c>
      <c r="P15" s="86">
        <f>IF(N15=0,"",O15/N15)</f>
        <v/>
      </c>
      <c r="Q15" s="88">
        <f>IF(A15&gt;$S$2,"予定",IF(N15=0,"－",IF(P15&gt;=1,"完了",IF(O15&gt;=N15,"順調","遅延"))))</f>
        <v/>
      </c>
      <c r="R15" s="84">
        <f>D15+K15</f>
        <v/>
      </c>
      <c r="S15" s="89">
        <f>E15+L15</f>
        <v/>
      </c>
    </row>
    <row r="16">
      <c r="A16" s="81" t="n">
        <v>46085</v>
      </c>
      <c r="B16" s="82">
        <f>CHOOSE(WEEKDAY(A16,2),"月","火","水","木","金","土","日")</f>
        <v/>
      </c>
      <c r="C16" s="83">
        <f>IF(OR(WEEKDAY(A16,2)&gt;=6,COUNTIF(祝日マスタ!$A:$A,A16)&gt;0),"非営業日","営業日")</f>
        <v/>
      </c>
      <c r="D16" s="84">
        <f>COUNTIFS(明細!$F$5:$F$76,A16,明細!$D$5:$D$76,"バッチ")</f>
        <v/>
      </c>
      <c r="E16" s="85">
        <f>COUNTIFS(明細!$G$5:$G$76,A16,明細!$D$5:$D$76,"バッチ")</f>
        <v/>
      </c>
      <c r="F16" s="86">
        <f>IF(D16=0,0,E16/D16)</f>
        <v/>
      </c>
      <c r="G16" s="87">
        <f>SUM($D$6:D16)</f>
        <v/>
      </c>
      <c r="H16" s="85">
        <f>SUM($E$6:E16)</f>
        <v/>
      </c>
      <c r="I16" s="86">
        <f>IF(G16=0,"",H16/G16)</f>
        <v/>
      </c>
      <c r="J16" s="88">
        <f>IF(A16&gt;$S$2,"予定",IF(G16=0,"－",IF(I16&gt;=1,"完了",IF(H16&gt;=G16,"順調","遅延"))))</f>
        <v/>
      </c>
      <c r="K16" s="84">
        <f>COUNTIFS(明細!$I$5:$I$76,A16,明細!$D$5:$D$76,"バッチ")</f>
        <v/>
      </c>
      <c r="L16" s="85">
        <f>COUNTIFS(明細!$J$5:$J$76,A16,明細!$D$5:$D$76,"バッチ")</f>
        <v/>
      </c>
      <c r="M16" s="86">
        <f>IF(K16=0,0,L16/K16)</f>
        <v/>
      </c>
      <c r="N16" s="87">
        <f>SUM($K$6:K16)</f>
        <v/>
      </c>
      <c r="O16" s="85">
        <f>SUM($L$6:L16)</f>
        <v/>
      </c>
      <c r="P16" s="86">
        <f>IF(N16=0,"",O16/N16)</f>
        <v/>
      </c>
      <c r="Q16" s="88">
        <f>IF(A16&gt;$S$2,"予定",IF(N16=0,"－",IF(P16&gt;=1,"完了",IF(O16&gt;=N16,"順調","遅延"))))</f>
        <v/>
      </c>
      <c r="R16" s="84">
        <f>D16+K16</f>
        <v/>
      </c>
      <c r="S16" s="89">
        <f>E16+L16</f>
        <v/>
      </c>
    </row>
    <row r="17">
      <c r="A17" s="81" t="n">
        <v>46086</v>
      </c>
      <c r="B17" s="82">
        <f>CHOOSE(WEEKDAY(A17,2),"月","火","水","木","金","土","日")</f>
        <v/>
      </c>
      <c r="C17" s="83">
        <f>IF(OR(WEEKDAY(A17,2)&gt;=6,COUNTIF(祝日マスタ!$A:$A,A17)&gt;0),"非営業日","営業日")</f>
        <v/>
      </c>
      <c r="D17" s="84">
        <f>COUNTIFS(明細!$F$5:$F$76,A17,明細!$D$5:$D$76,"バッチ")</f>
        <v/>
      </c>
      <c r="E17" s="85">
        <f>COUNTIFS(明細!$G$5:$G$76,A17,明細!$D$5:$D$76,"バッチ")</f>
        <v/>
      </c>
      <c r="F17" s="86">
        <f>IF(D17=0,0,E17/D17)</f>
        <v/>
      </c>
      <c r="G17" s="87">
        <f>SUM($D$6:D17)</f>
        <v/>
      </c>
      <c r="H17" s="85">
        <f>SUM($E$6:E17)</f>
        <v/>
      </c>
      <c r="I17" s="86">
        <f>IF(G17=0,"",H17/G17)</f>
        <v/>
      </c>
      <c r="J17" s="88">
        <f>IF(A17&gt;$S$2,"予定",IF(G17=0,"－",IF(I17&gt;=1,"完了",IF(H17&gt;=G17,"順調","遅延"))))</f>
        <v/>
      </c>
      <c r="K17" s="84">
        <f>COUNTIFS(明細!$I$5:$I$76,A17,明細!$D$5:$D$76,"バッチ")</f>
        <v/>
      </c>
      <c r="L17" s="85">
        <f>COUNTIFS(明細!$J$5:$J$76,A17,明細!$D$5:$D$76,"バッチ")</f>
        <v/>
      </c>
      <c r="M17" s="86">
        <f>IF(K17=0,0,L17/K17)</f>
        <v/>
      </c>
      <c r="N17" s="87">
        <f>SUM($K$6:K17)</f>
        <v/>
      </c>
      <c r="O17" s="85">
        <f>SUM($L$6:L17)</f>
        <v/>
      </c>
      <c r="P17" s="86">
        <f>IF(N17=0,"",O17/N17)</f>
        <v/>
      </c>
      <c r="Q17" s="88">
        <f>IF(A17&gt;$S$2,"予定",IF(N17=0,"－",IF(P17&gt;=1,"完了",IF(O17&gt;=N17,"順調","遅延"))))</f>
        <v/>
      </c>
      <c r="R17" s="84">
        <f>D17+K17</f>
        <v/>
      </c>
      <c r="S17" s="89">
        <f>E17+L17</f>
        <v/>
      </c>
    </row>
    <row r="18">
      <c r="A18" s="81" t="n">
        <v>46087</v>
      </c>
      <c r="B18" s="82">
        <f>CHOOSE(WEEKDAY(A18,2),"月","火","水","木","金","土","日")</f>
        <v/>
      </c>
      <c r="C18" s="83">
        <f>IF(OR(WEEKDAY(A18,2)&gt;=6,COUNTIF(祝日マスタ!$A:$A,A18)&gt;0),"非営業日","営業日")</f>
        <v/>
      </c>
      <c r="D18" s="84">
        <f>COUNTIFS(明細!$F$5:$F$76,A18,明細!$D$5:$D$76,"バッチ")</f>
        <v/>
      </c>
      <c r="E18" s="85">
        <f>COUNTIFS(明細!$G$5:$G$76,A18,明細!$D$5:$D$76,"バッチ")</f>
        <v/>
      </c>
      <c r="F18" s="86">
        <f>IF(D18=0,0,E18/D18)</f>
        <v/>
      </c>
      <c r="G18" s="87">
        <f>SUM($D$6:D18)</f>
        <v/>
      </c>
      <c r="H18" s="85">
        <f>SUM($E$6:E18)</f>
        <v/>
      </c>
      <c r="I18" s="86">
        <f>IF(G18=0,"",H18/G18)</f>
        <v/>
      </c>
      <c r="J18" s="88">
        <f>IF(A18&gt;$S$2,"予定",IF(G18=0,"－",IF(I18&gt;=1,"完了",IF(H18&gt;=G18,"順調","遅延"))))</f>
        <v/>
      </c>
      <c r="K18" s="84">
        <f>COUNTIFS(明細!$I$5:$I$76,A18,明細!$D$5:$D$76,"バッチ")</f>
        <v/>
      </c>
      <c r="L18" s="85">
        <f>COUNTIFS(明細!$J$5:$J$76,A18,明細!$D$5:$D$76,"バッチ")</f>
        <v/>
      </c>
      <c r="M18" s="86">
        <f>IF(K18=0,0,L18/K18)</f>
        <v/>
      </c>
      <c r="N18" s="87">
        <f>SUM($K$6:K18)</f>
        <v/>
      </c>
      <c r="O18" s="85">
        <f>SUM($L$6:L18)</f>
        <v/>
      </c>
      <c r="P18" s="86">
        <f>IF(N18=0,"",O18/N18)</f>
        <v/>
      </c>
      <c r="Q18" s="88">
        <f>IF(A18&gt;$S$2,"予定",IF(N18=0,"－",IF(P18&gt;=1,"完了",IF(O18&gt;=N18,"順調","遅延"))))</f>
        <v/>
      </c>
      <c r="R18" s="84">
        <f>D18+K18</f>
        <v/>
      </c>
      <c r="S18" s="89">
        <f>E18+L18</f>
        <v/>
      </c>
    </row>
    <row r="19">
      <c r="A19" s="81" t="n">
        <v>46088</v>
      </c>
      <c r="B19" s="82">
        <f>CHOOSE(WEEKDAY(A19,2),"月","火","水","木","金","土","日")</f>
        <v/>
      </c>
      <c r="C19" s="83">
        <f>IF(OR(WEEKDAY(A19,2)&gt;=6,COUNTIF(祝日マスタ!$A:$A,A19)&gt;0),"非営業日","営業日")</f>
        <v/>
      </c>
      <c r="D19" s="84">
        <f>COUNTIFS(明細!$F$5:$F$76,A19,明細!$D$5:$D$76,"バッチ")</f>
        <v/>
      </c>
      <c r="E19" s="85">
        <f>COUNTIFS(明細!$G$5:$G$76,A19,明細!$D$5:$D$76,"バッチ")</f>
        <v/>
      </c>
      <c r="F19" s="86">
        <f>IF(D19=0,0,E19/D19)</f>
        <v/>
      </c>
      <c r="G19" s="87">
        <f>SUM($D$6:D19)</f>
        <v/>
      </c>
      <c r="H19" s="85">
        <f>SUM($E$6:E19)</f>
        <v/>
      </c>
      <c r="I19" s="86">
        <f>IF(G19=0,"",H19/G19)</f>
        <v/>
      </c>
      <c r="J19" s="88">
        <f>IF(A19&gt;$S$2,"予定",IF(G19=0,"－",IF(I19&gt;=1,"完了",IF(H19&gt;=G19,"順調","遅延"))))</f>
        <v/>
      </c>
      <c r="K19" s="84">
        <f>COUNTIFS(明細!$I$5:$I$76,A19,明細!$D$5:$D$76,"バッチ")</f>
        <v/>
      </c>
      <c r="L19" s="85">
        <f>COUNTIFS(明細!$J$5:$J$76,A19,明細!$D$5:$D$76,"バッチ")</f>
        <v/>
      </c>
      <c r="M19" s="86">
        <f>IF(K19=0,0,L19/K19)</f>
        <v/>
      </c>
      <c r="N19" s="87">
        <f>SUM($K$6:K19)</f>
        <v/>
      </c>
      <c r="O19" s="85">
        <f>SUM($L$6:L19)</f>
        <v/>
      </c>
      <c r="P19" s="86">
        <f>IF(N19=0,"",O19/N19)</f>
        <v/>
      </c>
      <c r="Q19" s="88">
        <f>IF(A19&gt;$S$2,"予定",IF(N19=0,"－",IF(P19&gt;=1,"完了",IF(O19&gt;=N19,"順調","遅延"))))</f>
        <v/>
      </c>
      <c r="R19" s="84">
        <f>D19+K19</f>
        <v/>
      </c>
      <c r="S19" s="89">
        <f>E19+L19</f>
        <v/>
      </c>
    </row>
    <row r="20">
      <c r="A20" s="81" t="n">
        <v>46089</v>
      </c>
      <c r="B20" s="82">
        <f>CHOOSE(WEEKDAY(A20,2),"月","火","水","木","金","土","日")</f>
        <v/>
      </c>
      <c r="C20" s="83">
        <f>IF(OR(WEEKDAY(A20,2)&gt;=6,COUNTIF(祝日マスタ!$A:$A,A20)&gt;0),"非営業日","営業日")</f>
        <v/>
      </c>
      <c r="D20" s="84">
        <f>COUNTIFS(明細!$F$5:$F$76,A20,明細!$D$5:$D$76,"バッチ")</f>
        <v/>
      </c>
      <c r="E20" s="85">
        <f>COUNTIFS(明細!$G$5:$G$76,A20,明細!$D$5:$D$76,"バッチ")</f>
        <v/>
      </c>
      <c r="F20" s="86">
        <f>IF(D20=0,0,E20/D20)</f>
        <v/>
      </c>
      <c r="G20" s="87">
        <f>SUM($D$6:D20)</f>
        <v/>
      </c>
      <c r="H20" s="85">
        <f>SUM($E$6:E20)</f>
        <v/>
      </c>
      <c r="I20" s="86">
        <f>IF(G20=0,"",H20/G20)</f>
        <v/>
      </c>
      <c r="J20" s="88">
        <f>IF(A20&gt;$S$2,"予定",IF(G20=0,"－",IF(I20&gt;=1,"完了",IF(H20&gt;=G20,"順調","遅延"))))</f>
        <v/>
      </c>
      <c r="K20" s="84">
        <f>COUNTIFS(明細!$I$5:$I$76,A20,明細!$D$5:$D$76,"バッチ")</f>
        <v/>
      </c>
      <c r="L20" s="85">
        <f>COUNTIFS(明細!$J$5:$J$76,A20,明細!$D$5:$D$76,"バッチ")</f>
        <v/>
      </c>
      <c r="M20" s="86">
        <f>IF(K20=0,0,L20/K20)</f>
        <v/>
      </c>
      <c r="N20" s="87">
        <f>SUM($K$6:K20)</f>
        <v/>
      </c>
      <c r="O20" s="85">
        <f>SUM($L$6:L20)</f>
        <v/>
      </c>
      <c r="P20" s="86">
        <f>IF(N20=0,"",O20/N20)</f>
        <v/>
      </c>
      <c r="Q20" s="88">
        <f>IF(A20&gt;$S$2,"予定",IF(N20=0,"－",IF(P20&gt;=1,"完了",IF(O20&gt;=N20,"順調","遅延"))))</f>
        <v/>
      </c>
      <c r="R20" s="84">
        <f>D20+K20</f>
        <v/>
      </c>
      <c r="S20" s="89">
        <f>E20+L20</f>
        <v/>
      </c>
    </row>
    <row r="21">
      <c r="A21" s="81" t="n">
        <v>46090</v>
      </c>
      <c r="B21" s="82">
        <f>CHOOSE(WEEKDAY(A21,2),"月","火","水","木","金","土","日")</f>
        <v/>
      </c>
      <c r="C21" s="83">
        <f>IF(OR(WEEKDAY(A21,2)&gt;=6,COUNTIF(祝日マスタ!$A:$A,A21)&gt;0),"非営業日","営業日")</f>
        <v/>
      </c>
      <c r="D21" s="84">
        <f>COUNTIFS(明細!$F$5:$F$76,A21,明細!$D$5:$D$76,"バッチ")</f>
        <v/>
      </c>
      <c r="E21" s="85">
        <f>COUNTIFS(明細!$G$5:$G$76,A21,明細!$D$5:$D$76,"バッチ")</f>
        <v/>
      </c>
      <c r="F21" s="86">
        <f>IF(D21=0,0,E21/D21)</f>
        <v/>
      </c>
      <c r="G21" s="87">
        <f>SUM($D$6:D21)</f>
        <v/>
      </c>
      <c r="H21" s="85">
        <f>SUM($E$6:E21)</f>
        <v/>
      </c>
      <c r="I21" s="86">
        <f>IF(G21=0,"",H21/G21)</f>
        <v/>
      </c>
      <c r="J21" s="88">
        <f>IF(A21&gt;$S$2,"予定",IF(G21=0,"－",IF(I21&gt;=1,"完了",IF(H21&gt;=G21,"順調","遅延"))))</f>
        <v/>
      </c>
      <c r="K21" s="84">
        <f>COUNTIFS(明細!$I$5:$I$76,A21,明細!$D$5:$D$76,"バッチ")</f>
        <v/>
      </c>
      <c r="L21" s="85">
        <f>COUNTIFS(明細!$J$5:$J$76,A21,明細!$D$5:$D$76,"バッチ")</f>
        <v/>
      </c>
      <c r="M21" s="86">
        <f>IF(K21=0,0,L21/K21)</f>
        <v/>
      </c>
      <c r="N21" s="87">
        <f>SUM($K$6:K21)</f>
        <v/>
      </c>
      <c r="O21" s="85">
        <f>SUM($L$6:L21)</f>
        <v/>
      </c>
      <c r="P21" s="86">
        <f>IF(N21=0,"",O21/N21)</f>
        <v/>
      </c>
      <c r="Q21" s="88">
        <f>IF(A21&gt;$S$2,"予定",IF(N21=0,"－",IF(P21&gt;=1,"完了",IF(O21&gt;=N21,"順調","遅延"))))</f>
        <v/>
      </c>
      <c r="R21" s="84">
        <f>D21+K21</f>
        <v/>
      </c>
      <c r="S21" s="89">
        <f>E21+L21</f>
        <v/>
      </c>
    </row>
    <row r="22">
      <c r="A22" s="81" t="n">
        <v>46091</v>
      </c>
      <c r="B22" s="82">
        <f>CHOOSE(WEEKDAY(A22,2),"月","火","水","木","金","土","日")</f>
        <v/>
      </c>
      <c r="C22" s="83">
        <f>IF(OR(WEEKDAY(A22,2)&gt;=6,COUNTIF(祝日マスタ!$A:$A,A22)&gt;0),"非営業日","営業日")</f>
        <v/>
      </c>
      <c r="D22" s="84">
        <f>COUNTIFS(明細!$F$5:$F$76,A22,明細!$D$5:$D$76,"バッチ")</f>
        <v/>
      </c>
      <c r="E22" s="85">
        <f>COUNTIFS(明細!$G$5:$G$76,A22,明細!$D$5:$D$76,"バッチ")</f>
        <v/>
      </c>
      <c r="F22" s="86">
        <f>IF(D22=0,0,E22/D22)</f>
        <v/>
      </c>
      <c r="G22" s="87">
        <f>SUM($D$6:D22)</f>
        <v/>
      </c>
      <c r="H22" s="85">
        <f>SUM($E$6:E22)</f>
        <v/>
      </c>
      <c r="I22" s="86">
        <f>IF(G22=0,"",H22/G22)</f>
        <v/>
      </c>
      <c r="J22" s="88">
        <f>IF(A22&gt;$S$2,"予定",IF(G22=0,"－",IF(I22&gt;=1,"完了",IF(H22&gt;=G22,"順調","遅延"))))</f>
        <v/>
      </c>
      <c r="K22" s="84">
        <f>COUNTIFS(明細!$I$5:$I$76,A22,明細!$D$5:$D$76,"バッチ")</f>
        <v/>
      </c>
      <c r="L22" s="85">
        <f>COUNTIFS(明細!$J$5:$J$76,A22,明細!$D$5:$D$76,"バッチ")</f>
        <v/>
      </c>
      <c r="M22" s="86">
        <f>IF(K22=0,0,L22/K22)</f>
        <v/>
      </c>
      <c r="N22" s="87">
        <f>SUM($K$6:K22)</f>
        <v/>
      </c>
      <c r="O22" s="85">
        <f>SUM($L$6:L22)</f>
        <v/>
      </c>
      <c r="P22" s="86">
        <f>IF(N22=0,"",O22/N22)</f>
        <v/>
      </c>
      <c r="Q22" s="88">
        <f>IF(A22&gt;$S$2,"予定",IF(N22=0,"－",IF(P22&gt;=1,"完了",IF(O22&gt;=N22,"順調","遅延"))))</f>
        <v/>
      </c>
      <c r="R22" s="84">
        <f>D22+K22</f>
        <v/>
      </c>
      <c r="S22" s="89">
        <f>E22+L22</f>
        <v/>
      </c>
    </row>
    <row r="23">
      <c r="A23" s="81" t="n">
        <v>46092</v>
      </c>
      <c r="B23" s="82">
        <f>CHOOSE(WEEKDAY(A23,2),"月","火","水","木","金","土","日")</f>
        <v/>
      </c>
      <c r="C23" s="83">
        <f>IF(OR(WEEKDAY(A23,2)&gt;=6,COUNTIF(祝日マスタ!$A:$A,A23)&gt;0),"非営業日","営業日")</f>
        <v/>
      </c>
      <c r="D23" s="84">
        <f>COUNTIFS(明細!$F$5:$F$76,A23,明細!$D$5:$D$76,"バッチ")</f>
        <v/>
      </c>
      <c r="E23" s="85">
        <f>COUNTIFS(明細!$G$5:$G$76,A23,明細!$D$5:$D$76,"バッチ")</f>
        <v/>
      </c>
      <c r="F23" s="86">
        <f>IF(D23=0,0,E23/D23)</f>
        <v/>
      </c>
      <c r="G23" s="87">
        <f>SUM($D$6:D23)</f>
        <v/>
      </c>
      <c r="H23" s="85">
        <f>SUM($E$6:E23)</f>
        <v/>
      </c>
      <c r="I23" s="86">
        <f>IF(G23=0,"",H23/G23)</f>
        <v/>
      </c>
      <c r="J23" s="88">
        <f>IF(A23&gt;$S$2,"予定",IF(G23=0,"－",IF(I23&gt;=1,"完了",IF(H23&gt;=G23,"順調","遅延"))))</f>
        <v/>
      </c>
      <c r="K23" s="84">
        <f>COUNTIFS(明細!$I$5:$I$76,A23,明細!$D$5:$D$76,"バッチ")</f>
        <v/>
      </c>
      <c r="L23" s="85">
        <f>COUNTIFS(明細!$J$5:$J$76,A23,明細!$D$5:$D$76,"バッチ")</f>
        <v/>
      </c>
      <c r="M23" s="86">
        <f>IF(K23=0,0,L23/K23)</f>
        <v/>
      </c>
      <c r="N23" s="87">
        <f>SUM($K$6:K23)</f>
        <v/>
      </c>
      <c r="O23" s="85">
        <f>SUM($L$6:L23)</f>
        <v/>
      </c>
      <c r="P23" s="86">
        <f>IF(N23=0,"",O23/N23)</f>
        <v/>
      </c>
      <c r="Q23" s="88">
        <f>IF(A23&gt;$S$2,"予定",IF(N23=0,"－",IF(P23&gt;=1,"完了",IF(O23&gt;=N23,"順調","遅延"))))</f>
        <v/>
      </c>
      <c r="R23" s="84">
        <f>D23+K23</f>
        <v/>
      </c>
      <c r="S23" s="89">
        <f>E23+L23</f>
        <v/>
      </c>
    </row>
    <row r="24">
      <c r="A24" s="81" t="n">
        <v>46093</v>
      </c>
      <c r="B24" s="82">
        <f>CHOOSE(WEEKDAY(A24,2),"月","火","水","木","金","土","日")</f>
        <v/>
      </c>
      <c r="C24" s="83">
        <f>IF(OR(WEEKDAY(A24,2)&gt;=6,COUNTIF(祝日マスタ!$A:$A,A24)&gt;0),"非営業日","営業日")</f>
        <v/>
      </c>
      <c r="D24" s="84">
        <f>COUNTIFS(明細!$F$5:$F$76,A24,明細!$D$5:$D$76,"バッチ")</f>
        <v/>
      </c>
      <c r="E24" s="85">
        <f>COUNTIFS(明細!$G$5:$G$76,A24,明細!$D$5:$D$76,"バッチ")</f>
        <v/>
      </c>
      <c r="F24" s="86">
        <f>IF(D24=0,0,E24/D24)</f>
        <v/>
      </c>
      <c r="G24" s="87">
        <f>SUM($D$6:D24)</f>
        <v/>
      </c>
      <c r="H24" s="85">
        <f>SUM($E$6:E24)</f>
        <v/>
      </c>
      <c r="I24" s="86">
        <f>IF(G24=0,"",H24/G24)</f>
        <v/>
      </c>
      <c r="J24" s="88">
        <f>IF(A24&gt;$S$2,"予定",IF(G24=0,"－",IF(I24&gt;=1,"完了",IF(H24&gt;=G24,"順調","遅延"))))</f>
        <v/>
      </c>
      <c r="K24" s="84">
        <f>COUNTIFS(明細!$I$5:$I$76,A24,明細!$D$5:$D$76,"バッチ")</f>
        <v/>
      </c>
      <c r="L24" s="85">
        <f>COUNTIFS(明細!$J$5:$J$76,A24,明細!$D$5:$D$76,"バッチ")</f>
        <v/>
      </c>
      <c r="M24" s="86">
        <f>IF(K24=0,0,L24/K24)</f>
        <v/>
      </c>
      <c r="N24" s="87">
        <f>SUM($K$6:K24)</f>
        <v/>
      </c>
      <c r="O24" s="85">
        <f>SUM($L$6:L24)</f>
        <v/>
      </c>
      <c r="P24" s="86">
        <f>IF(N24=0,"",O24/N24)</f>
        <v/>
      </c>
      <c r="Q24" s="88">
        <f>IF(A24&gt;$S$2,"予定",IF(N24=0,"－",IF(P24&gt;=1,"完了",IF(O24&gt;=N24,"順調","遅延"))))</f>
        <v/>
      </c>
      <c r="R24" s="84">
        <f>D24+K24</f>
        <v/>
      </c>
      <c r="S24" s="89">
        <f>E24+L24</f>
        <v/>
      </c>
    </row>
    <row r="25">
      <c r="A25" s="81" t="n">
        <v>46094</v>
      </c>
      <c r="B25" s="82">
        <f>CHOOSE(WEEKDAY(A25,2),"月","火","水","木","金","土","日")</f>
        <v/>
      </c>
      <c r="C25" s="83">
        <f>IF(OR(WEEKDAY(A25,2)&gt;=6,COUNTIF(祝日マスタ!$A:$A,A25)&gt;0),"非営業日","営業日")</f>
        <v/>
      </c>
      <c r="D25" s="84">
        <f>COUNTIFS(明細!$F$5:$F$76,A25,明細!$D$5:$D$76,"バッチ")</f>
        <v/>
      </c>
      <c r="E25" s="85">
        <f>COUNTIFS(明細!$G$5:$G$76,A25,明細!$D$5:$D$76,"バッチ")</f>
        <v/>
      </c>
      <c r="F25" s="86">
        <f>IF(D25=0,0,E25/D25)</f>
        <v/>
      </c>
      <c r="G25" s="87">
        <f>SUM($D$6:D25)</f>
        <v/>
      </c>
      <c r="H25" s="85">
        <f>SUM($E$6:E25)</f>
        <v/>
      </c>
      <c r="I25" s="86">
        <f>IF(G25=0,"",H25/G25)</f>
        <v/>
      </c>
      <c r="J25" s="88">
        <f>IF(A25&gt;$S$2,"予定",IF(G25=0,"－",IF(I25&gt;=1,"完了",IF(H25&gt;=G25,"順調","遅延"))))</f>
        <v/>
      </c>
      <c r="K25" s="84">
        <f>COUNTIFS(明細!$I$5:$I$76,A25,明細!$D$5:$D$76,"バッチ")</f>
        <v/>
      </c>
      <c r="L25" s="85">
        <f>COUNTIFS(明細!$J$5:$J$76,A25,明細!$D$5:$D$76,"バッチ")</f>
        <v/>
      </c>
      <c r="M25" s="86">
        <f>IF(K25=0,0,L25/K25)</f>
        <v/>
      </c>
      <c r="N25" s="87">
        <f>SUM($K$6:K25)</f>
        <v/>
      </c>
      <c r="O25" s="85">
        <f>SUM($L$6:L25)</f>
        <v/>
      </c>
      <c r="P25" s="86">
        <f>IF(N25=0,"",O25/N25)</f>
        <v/>
      </c>
      <c r="Q25" s="88">
        <f>IF(A25&gt;$S$2,"予定",IF(N25=0,"－",IF(P25&gt;=1,"完了",IF(O25&gt;=N25,"順調","遅延"))))</f>
        <v/>
      </c>
      <c r="R25" s="84">
        <f>D25+K25</f>
        <v/>
      </c>
      <c r="S25" s="89">
        <f>E25+L25</f>
        <v/>
      </c>
    </row>
    <row r="26">
      <c r="A26" s="81" t="n">
        <v>46095</v>
      </c>
      <c r="B26" s="82">
        <f>CHOOSE(WEEKDAY(A26,2),"月","火","水","木","金","土","日")</f>
        <v/>
      </c>
      <c r="C26" s="83">
        <f>IF(OR(WEEKDAY(A26,2)&gt;=6,COUNTIF(祝日マスタ!$A:$A,A26)&gt;0),"非営業日","営業日")</f>
        <v/>
      </c>
      <c r="D26" s="84">
        <f>COUNTIFS(明細!$F$5:$F$76,A26,明細!$D$5:$D$76,"バッチ")</f>
        <v/>
      </c>
      <c r="E26" s="85">
        <f>COUNTIFS(明細!$G$5:$G$76,A26,明細!$D$5:$D$76,"バッチ")</f>
        <v/>
      </c>
      <c r="F26" s="86">
        <f>IF(D26=0,0,E26/D26)</f>
        <v/>
      </c>
      <c r="G26" s="87">
        <f>SUM($D$6:D26)</f>
        <v/>
      </c>
      <c r="H26" s="85">
        <f>SUM($E$6:E26)</f>
        <v/>
      </c>
      <c r="I26" s="86">
        <f>IF(G26=0,"",H26/G26)</f>
        <v/>
      </c>
      <c r="J26" s="88">
        <f>IF(A26&gt;$S$2,"予定",IF(G26=0,"－",IF(I26&gt;=1,"完了",IF(H26&gt;=G26,"順調","遅延"))))</f>
        <v/>
      </c>
      <c r="K26" s="84">
        <f>COUNTIFS(明細!$I$5:$I$76,A26,明細!$D$5:$D$76,"バッチ")</f>
        <v/>
      </c>
      <c r="L26" s="85">
        <f>COUNTIFS(明細!$J$5:$J$76,A26,明細!$D$5:$D$76,"バッチ")</f>
        <v/>
      </c>
      <c r="M26" s="86">
        <f>IF(K26=0,0,L26/K26)</f>
        <v/>
      </c>
      <c r="N26" s="87">
        <f>SUM($K$6:K26)</f>
        <v/>
      </c>
      <c r="O26" s="85">
        <f>SUM($L$6:L26)</f>
        <v/>
      </c>
      <c r="P26" s="86">
        <f>IF(N26=0,"",O26/N26)</f>
        <v/>
      </c>
      <c r="Q26" s="88">
        <f>IF(A26&gt;$S$2,"予定",IF(N26=0,"－",IF(P26&gt;=1,"完了",IF(O26&gt;=N26,"順調","遅延"))))</f>
        <v/>
      </c>
      <c r="R26" s="84">
        <f>D26+K26</f>
        <v/>
      </c>
      <c r="S26" s="89">
        <f>E26+L26</f>
        <v/>
      </c>
    </row>
    <row r="27">
      <c r="A27" s="81" t="n">
        <v>46096</v>
      </c>
      <c r="B27" s="82">
        <f>CHOOSE(WEEKDAY(A27,2),"月","火","水","木","金","土","日")</f>
        <v/>
      </c>
      <c r="C27" s="83">
        <f>IF(OR(WEEKDAY(A27,2)&gt;=6,COUNTIF(祝日マスタ!$A:$A,A27)&gt;0),"非営業日","営業日")</f>
        <v/>
      </c>
      <c r="D27" s="84">
        <f>COUNTIFS(明細!$F$5:$F$76,A27,明細!$D$5:$D$76,"バッチ")</f>
        <v/>
      </c>
      <c r="E27" s="85">
        <f>COUNTIFS(明細!$G$5:$G$76,A27,明細!$D$5:$D$76,"バッチ")</f>
        <v/>
      </c>
      <c r="F27" s="86">
        <f>IF(D27=0,0,E27/D27)</f>
        <v/>
      </c>
      <c r="G27" s="87">
        <f>SUM($D$6:D27)</f>
        <v/>
      </c>
      <c r="H27" s="85">
        <f>SUM($E$6:E27)</f>
        <v/>
      </c>
      <c r="I27" s="86">
        <f>IF(G27=0,"",H27/G27)</f>
        <v/>
      </c>
      <c r="J27" s="88">
        <f>IF(A27&gt;$S$2,"予定",IF(G27=0,"－",IF(I27&gt;=1,"完了",IF(H27&gt;=G27,"順調","遅延"))))</f>
        <v/>
      </c>
      <c r="K27" s="84">
        <f>COUNTIFS(明細!$I$5:$I$76,A27,明細!$D$5:$D$76,"バッチ")</f>
        <v/>
      </c>
      <c r="L27" s="85">
        <f>COUNTIFS(明細!$J$5:$J$76,A27,明細!$D$5:$D$76,"バッチ")</f>
        <v/>
      </c>
      <c r="M27" s="86">
        <f>IF(K27=0,0,L27/K27)</f>
        <v/>
      </c>
      <c r="N27" s="87">
        <f>SUM($K$6:K27)</f>
        <v/>
      </c>
      <c r="O27" s="85">
        <f>SUM($L$6:L27)</f>
        <v/>
      </c>
      <c r="P27" s="86">
        <f>IF(N27=0,"",O27/N27)</f>
        <v/>
      </c>
      <c r="Q27" s="88">
        <f>IF(A27&gt;$S$2,"予定",IF(N27=0,"－",IF(P27&gt;=1,"完了",IF(O27&gt;=N27,"順調","遅延"))))</f>
        <v/>
      </c>
      <c r="R27" s="84">
        <f>D27+K27</f>
        <v/>
      </c>
      <c r="S27" s="89">
        <f>E27+L27</f>
        <v/>
      </c>
    </row>
    <row r="28">
      <c r="A28" s="81" t="n">
        <v>46097</v>
      </c>
      <c r="B28" s="82">
        <f>CHOOSE(WEEKDAY(A28,2),"月","火","水","木","金","土","日")</f>
        <v/>
      </c>
      <c r="C28" s="83">
        <f>IF(OR(WEEKDAY(A28,2)&gt;=6,COUNTIF(祝日マスタ!$A:$A,A28)&gt;0),"非営業日","営業日")</f>
        <v/>
      </c>
      <c r="D28" s="84">
        <f>COUNTIFS(明細!$F$5:$F$76,A28,明細!$D$5:$D$76,"バッチ")</f>
        <v/>
      </c>
      <c r="E28" s="85">
        <f>COUNTIFS(明細!$G$5:$G$76,A28,明細!$D$5:$D$76,"バッチ")</f>
        <v/>
      </c>
      <c r="F28" s="86">
        <f>IF(D28=0,0,E28/D28)</f>
        <v/>
      </c>
      <c r="G28" s="87">
        <f>SUM($D$6:D28)</f>
        <v/>
      </c>
      <c r="H28" s="85">
        <f>SUM($E$6:E28)</f>
        <v/>
      </c>
      <c r="I28" s="86">
        <f>IF(G28=0,"",H28/G28)</f>
        <v/>
      </c>
      <c r="J28" s="88">
        <f>IF(A28&gt;$S$2,"予定",IF(G28=0,"－",IF(I28&gt;=1,"完了",IF(H28&gt;=G28,"順調","遅延"))))</f>
        <v/>
      </c>
      <c r="K28" s="84">
        <f>COUNTIFS(明細!$I$5:$I$76,A28,明細!$D$5:$D$76,"バッチ")</f>
        <v/>
      </c>
      <c r="L28" s="85">
        <f>COUNTIFS(明細!$J$5:$J$76,A28,明細!$D$5:$D$76,"バッチ")</f>
        <v/>
      </c>
      <c r="M28" s="86">
        <f>IF(K28=0,0,L28/K28)</f>
        <v/>
      </c>
      <c r="N28" s="87">
        <f>SUM($K$6:K28)</f>
        <v/>
      </c>
      <c r="O28" s="85">
        <f>SUM($L$6:L28)</f>
        <v/>
      </c>
      <c r="P28" s="86">
        <f>IF(N28=0,"",O28/N28)</f>
        <v/>
      </c>
      <c r="Q28" s="88">
        <f>IF(A28&gt;$S$2,"予定",IF(N28=0,"－",IF(P28&gt;=1,"完了",IF(O28&gt;=N28,"順調","遅延"))))</f>
        <v/>
      </c>
      <c r="R28" s="84">
        <f>D28+K28</f>
        <v/>
      </c>
      <c r="S28" s="89">
        <f>E28+L28</f>
        <v/>
      </c>
    </row>
    <row r="29">
      <c r="A29" s="81" t="n">
        <v>46098</v>
      </c>
      <c r="B29" s="82">
        <f>CHOOSE(WEEKDAY(A29,2),"月","火","水","木","金","土","日")</f>
        <v/>
      </c>
      <c r="C29" s="83">
        <f>IF(OR(WEEKDAY(A29,2)&gt;=6,COUNTIF(祝日マスタ!$A:$A,A29)&gt;0),"非営業日","営業日")</f>
        <v/>
      </c>
      <c r="D29" s="84">
        <f>COUNTIFS(明細!$F$5:$F$76,A29,明細!$D$5:$D$76,"バッチ")</f>
        <v/>
      </c>
      <c r="E29" s="85">
        <f>COUNTIFS(明細!$G$5:$G$76,A29,明細!$D$5:$D$76,"バッチ")</f>
        <v/>
      </c>
      <c r="F29" s="86">
        <f>IF(D29=0,0,E29/D29)</f>
        <v/>
      </c>
      <c r="G29" s="87">
        <f>SUM($D$6:D29)</f>
        <v/>
      </c>
      <c r="H29" s="85">
        <f>SUM($E$6:E29)</f>
        <v/>
      </c>
      <c r="I29" s="86">
        <f>IF(G29=0,"",H29/G29)</f>
        <v/>
      </c>
      <c r="J29" s="88">
        <f>IF(A29&gt;$S$2,"予定",IF(G29=0,"－",IF(I29&gt;=1,"完了",IF(H29&gt;=G29,"順調","遅延"))))</f>
        <v/>
      </c>
      <c r="K29" s="84">
        <f>COUNTIFS(明細!$I$5:$I$76,A29,明細!$D$5:$D$76,"バッチ")</f>
        <v/>
      </c>
      <c r="L29" s="85">
        <f>COUNTIFS(明細!$J$5:$J$76,A29,明細!$D$5:$D$76,"バッチ")</f>
        <v/>
      </c>
      <c r="M29" s="86">
        <f>IF(K29=0,0,L29/K29)</f>
        <v/>
      </c>
      <c r="N29" s="87">
        <f>SUM($K$6:K29)</f>
        <v/>
      </c>
      <c r="O29" s="85">
        <f>SUM($L$6:L29)</f>
        <v/>
      </c>
      <c r="P29" s="86">
        <f>IF(N29=0,"",O29/N29)</f>
        <v/>
      </c>
      <c r="Q29" s="88">
        <f>IF(A29&gt;$S$2,"予定",IF(N29=0,"－",IF(P29&gt;=1,"完了",IF(O29&gt;=N29,"順調","遅延"))))</f>
        <v/>
      </c>
      <c r="R29" s="84">
        <f>D29+K29</f>
        <v/>
      </c>
      <c r="S29" s="89">
        <f>E29+L29</f>
        <v/>
      </c>
    </row>
    <row r="30">
      <c r="A30" s="81" t="n">
        <v>46099</v>
      </c>
      <c r="B30" s="82">
        <f>CHOOSE(WEEKDAY(A30,2),"月","火","水","木","金","土","日")</f>
        <v/>
      </c>
      <c r="C30" s="83">
        <f>IF(OR(WEEKDAY(A30,2)&gt;=6,COUNTIF(祝日マスタ!$A:$A,A30)&gt;0),"非営業日","営業日")</f>
        <v/>
      </c>
      <c r="D30" s="84">
        <f>COUNTIFS(明細!$F$5:$F$76,A30,明細!$D$5:$D$76,"バッチ")</f>
        <v/>
      </c>
      <c r="E30" s="85">
        <f>COUNTIFS(明細!$G$5:$G$76,A30,明細!$D$5:$D$76,"バッチ")</f>
        <v/>
      </c>
      <c r="F30" s="86">
        <f>IF(D30=0,0,E30/D30)</f>
        <v/>
      </c>
      <c r="G30" s="87">
        <f>SUM($D$6:D30)</f>
        <v/>
      </c>
      <c r="H30" s="85">
        <f>SUM($E$6:E30)</f>
        <v/>
      </c>
      <c r="I30" s="86">
        <f>IF(G30=0,"",H30/G30)</f>
        <v/>
      </c>
      <c r="J30" s="88">
        <f>IF(A30&gt;$S$2,"予定",IF(G30=0,"－",IF(I30&gt;=1,"完了",IF(H30&gt;=G30,"順調","遅延"))))</f>
        <v/>
      </c>
      <c r="K30" s="84">
        <f>COUNTIFS(明細!$I$5:$I$76,A30,明細!$D$5:$D$76,"バッチ")</f>
        <v/>
      </c>
      <c r="L30" s="85">
        <f>COUNTIFS(明細!$J$5:$J$76,A30,明細!$D$5:$D$76,"バッチ")</f>
        <v/>
      </c>
      <c r="M30" s="86">
        <f>IF(K30=0,0,L30/K30)</f>
        <v/>
      </c>
      <c r="N30" s="87">
        <f>SUM($K$6:K30)</f>
        <v/>
      </c>
      <c r="O30" s="85">
        <f>SUM($L$6:L30)</f>
        <v/>
      </c>
      <c r="P30" s="86">
        <f>IF(N30=0,"",O30/N30)</f>
        <v/>
      </c>
      <c r="Q30" s="88">
        <f>IF(A30&gt;$S$2,"予定",IF(N30=0,"－",IF(P30&gt;=1,"完了",IF(O30&gt;=N30,"順調","遅延"))))</f>
        <v/>
      </c>
      <c r="R30" s="84">
        <f>D30+K30</f>
        <v/>
      </c>
      <c r="S30" s="89">
        <f>E30+L30</f>
        <v/>
      </c>
    </row>
  </sheetData>
  <mergeCells count="5">
    <mergeCell ref="D3:J3"/>
    <mergeCell ref="K3:Q3"/>
    <mergeCell ref="A1:S1"/>
    <mergeCell ref="A3:C3"/>
    <mergeCell ref="R3:S3"/>
  </mergeCells>
  <conditionalFormatting sqref="J5:J30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30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30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30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30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54" t="inlineStr">
        <is>
          <t>テスト進捗サマリー（基盤）</t>
        </is>
      </c>
    </row>
    <row r="2" ht="22" customHeight="1">
      <c r="A2" s="55" t="inlineStr">
        <is>
          <t>集計期間: 2026/02/23 ～ 2026/03/13 (19日間)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7" t="inlineStr">
        <is>
          <t>基準日:</t>
        </is>
      </c>
      <c r="S2" s="58">
        <f>ダッシュボード!$B$2</f>
        <v/>
      </c>
    </row>
    <row r="3" ht="24" customHeight="1">
      <c r="A3" s="59" t="inlineStr">
        <is>
          <t>共通</t>
        </is>
      </c>
      <c r="D3" s="60" t="inlineStr">
        <is>
          <t>実施</t>
        </is>
      </c>
      <c r="K3" s="61" t="inlineStr">
        <is>
          <t>検証</t>
        </is>
      </c>
      <c r="R3" s="62" t="inlineStr">
        <is>
          <t>合計</t>
        </is>
      </c>
    </row>
    <row r="4" ht="22" customHeight="1">
      <c r="A4" s="63" t="inlineStr">
        <is>
          <t>日付</t>
        </is>
      </c>
      <c r="B4" s="64" t="inlineStr">
        <is>
          <t>曜</t>
        </is>
      </c>
      <c r="C4" s="65" t="inlineStr">
        <is>
          <t>営業日</t>
        </is>
      </c>
      <c r="D4" s="66" t="inlineStr">
        <is>
          <t>予定</t>
        </is>
      </c>
      <c r="E4" s="67" t="inlineStr">
        <is>
          <t>実績</t>
        </is>
      </c>
      <c r="F4" s="67" t="inlineStr">
        <is>
          <t>消化率</t>
        </is>
      </c>
      <c r="G4" s="67" t="inlineStr">
        <is>
          <t>予定累計</t>
        </is>
      </c>
      <c r="H4" s="67" t="inlineStr">
        <is>
          <t>実績累計</t>
        </is>
      </c>
      <c r="I4" s="67" t="inlineStr">
        <is>
          <t>累計消化率</t>
        </is>
      </c>
      <c r="J4" s="68" t="inlineStr">
        <is>
          <t>判定</t>
        </is>
      </c>
      <c r="K4" s="69" t="inlineStr">
        <is>
          <t>予定</t>
        </is>
      </c>
      <c r="L4" s="70" t="inlineStr">
        <is>
          <t>実績</t>
        </is>
      </c>
      <c r="M4" s="70" t="inlineStr">
        <is>
          <t>消化率</t>
        </is>
      </c>
      <c r="N4" s="70" t="inlineStr">
        <is>
          <t>予定累計</t>
        </is>
      </c>
      <c r="O4" s="70" t="inlineStr">
        <is>
          <t>実績累計</t>
        </is>
      </c>
      <c r="P4" s="70" t="inlineStr">
        <is>
          <t>累計消化率</t>
        </is>
      </c>
      <c r="Q4" s="71" t="inlineStr">
        <is>
          <t>判定</t>
        </is>
      </c>
      <c r="R4" s="72" t="inlineStr">
        <is>
          <t>予定</t>
        </is>
      </c>
      <c r="S4" s="73" t="inlineStr">
        <is>
          <t>実績</t>
        </is>
      </c>
    </row>
    <row r="5" ht="24" customHeight="1">
      <c r="A5" s="74" t="inlineStr">
        <is>
          <t>合計</t>
        </is>
      </c>
      <c r="B5" s="75" t="n"/>
      <c r="C5" s="76" t="n"/>
      <c r="D5" s="77">
        <f>SUM(D6:D24)</f>
        <v/>
      </c>
      <c r="E5" s="78">
        <f>SUM(E6:E24)</f>
        <v/>
      </c>
      <c r="F5" s="79">
        <f>IF(D5=0,0,E5/D5)</f>
        <v/>
      </c>
      <c r="G5" s="78">
        <f>D5</f>
        <v/>
      </c>
      <c r="H5" s="78">
        <f>E5</f>
        <v/>
      </c>
      <c r="I5" s="79">
        <f>IF(G5=0,"",H5/G5)</f>
        <v/>
      </c>
      <c r="J5" s="76">
        <f>IF(I5&gt;=1,"完了",IF(H5&gt;=G5,"順調","遅延"))</f>
        <v/>
      </c>
      <c r="K5" s="77">
        <f>SUM(K6:K24)</f>
        <v/>
      </c>
      <c r="L5" s="78">
        <f>SUM(L6:L24)</f>
        <v/>
      </c>
      <c r="M5" s="79">
        <f>IF(K5=0,0,L5/K5)</f>
        <v/>
      </c>
      <c r="N5" s="78">
        <f>K5</f>
        <v/>
      </c>
      <c r="O5" s="78">
        <f>L5</f>
        <v/>
      </c>
      <c r="P5" s="79">
        <f>IF(N5=0,"",O5/N5)</f>
        <v/>
      </c>
      <c r="Q5" s="76">
        <f>IF(P5&gt;=1,"完了",IF(O5&gt;=N5,"順調","遅延"))</f>
        <v/>
      </c>
      <c r="R5" s="77">
        <f>D5+K5</f>
        <v/>
      </c>
      <c r="S5" s="80">
        <f>E5+L5</f>
        <v/>
      </c>
    </row>
    <row r="6">
      <c r="A6" s="81" t="n">
        <v>46076</v>
      </c>
      <c r="B6" s="82">
        <f>CHOOSE(WEEKDAY(A6,2),"月","火","水","木","金","土","日")</f>
        <v/>
      </c>
      <c r="C6" s="83">
        <f>IF(OR(WEEKDAY(A6,2)&gt;=6,COUNTIF(祝日マスタ!$A:$A,A6)&gt;0),"非営業日","営業日")</f>
        <v/>
      </c>
      <c r="D6" s="84">
        <f>COUNTIFS(明細!$F$5:$F$76,A6,明細!$D$5:$D$76,"基盤")</f>
        <v/>
      </c>
      <c r="E6" s="85">
        <f>COUNTIFS(明細!$G$5:$G$76,A6,明細!$D$5:$D$76,"基盤")</f>
        <v/>
      </c>
      <c r="F6" s="86">
        <f>IF(D6=0,0,E6/D6)</f>
        <v/>
      </c>
      <c r="G6" s="87">
        <f>SUM($D$6:D6)</f>
        <v/>
      </c>
      <c r="H6" s="85">
        <f>SUM($E$6:E6)</f>
        <v/>
      </c>
      <c r="I6" s="86">
        <f>IF(G6=0,"",H6/G6)</f>
        <v/>
      </c>
      <c r="J6" s="88">
        <f>IF(A6&gt;$S$2,"予定",IF(G6=0,"－",IF(I6&gt;=1,"完了",IF(H6&gt;=G6,"順調","遅延"))))</f>
        <v/>
      </c>
      <c r="K6" s="84">
        <f>COUNTIFS(明細!$I$5:$I$76,A6,明細!$D$5:$D$76,"基盤")</f>
        <v/>
      </c>
      <c r="L6" s="85">
        <f>COUNTIFS(明細!$J$5:$J$76,A6,明細!$D$5:$D$76,"基盤")</f>
        <v/>
      </c>
      <c r="M6" s="86">
        <f>IF(K6=0,0,L6/K6)</f>
        <v/>
      </c>
      <c r="N6" s="87">
        <f>SUM($K$6:K6)</f>
        <v/>
      </c>
      <c r="O6" s="85">
        <f>SUM($L$6:L6)</f>
        <v/>
      </c>
      <c r="P6" s="86">
        <f>IF(N6=0,"",O6/N6)</f>
        <v/>
      </c>
      <c r="Q6" s="88">
        <f>IF(A6&gt;$S$2,"予定",IF(N6=0,"－",IF(P6&gt;=1,"完了",IF(O6&gt;=N6,"順調","遅延"))))</f>
        <v/>
      </c>
      <c r="R6" s="84">
        <f>D6+K6</f>
        <v/>
      </c>
      <c r="S6" s="89">
        <f>E6+L6</f>
        <v/>
      </c>
    </row>
    <row r="7">
      <c r="A7" s="81" t="n">
        <v>46077</v>
      </c>
      <c r="B7" s="82">
        <f>CHOOSE(WEEKDAY(A7,2),"月","火","水","木","金","土","日")</f>
        <v/>
      </c>
      <c r="C7" s="83">
        <f>IF(OR(WEEKDAY(A7,2)&gt;=6,COUNTIF(祝日マスタ!$A:$A,A7)&gt;0),"非営業日","営業日")</f>
        <v/>
      </c>
      <c r="D7" s="84">
        <f>COUNTIFS(明細!$F$5:$F$76,A7,明細!$D$5:$D$76,"基盤")</f>
        <v/>
      </c>
      <c r="E7" s="85">
        <f>COUNTIFS(明細!$G$5:$G$76,A7,明細!$D$5:$D$76,"基盤")</f>
        <v/>
      </c>
      <c r="F7" s="86">
        <f>IF(D7=0,0,E7/D7)</f>
        <v/>
      </c>
      <c r="G7" s="87">
        <f>SUM($D$6:D7)</f>
        <v/>
      </c>
      <c r="H7" s="85">
        <f>SUM($E$6:E7)</f>
        <v/>
      </c>
      <c r="I7" s="86">
        <f>IF(G7=0,"",H7/G7)</f>
        <v/>
      </c>
      <c r="J7" s="88">
        <f>IF(A7&gt;$S$2,"予定",IF(G7=0,"－",IF(I7&gt;=1,"完了",IF(H7&gt;=G7,"順調","遅延"))))</f>
        <v/>
      </c>
      <c r="K7" s="84">
        <f>COUNTIFS(明細!$I$5:$I$76,A7,明細!$D$5:$D$76,"基盤")</f>
        <v/>
      </c>
      <c r="L7" s="85">
        <f>COUNTIFS(明細!$J$5:$J$76,A7,明細!$D$5:$D$76,"基盤")</f>
        <v/>
      </c>
      <c r="M7" s="86">
        <f>IF(K7=0,0,L7/K7)</f>
        <v/>
      </c>
      <c r="N7" s="87">
        <f>SUM($K$6:K7)</f>
        <v/>
      </c>
      <c r="O7" s="85">
        <f>SUM($L$6:L7)</f>
        <v/>
      </c>
      <c r="P7" s="86">
        <f>IF(N7=0,"",O7/N7)</f>
        <v/>
      </c>
      <c r="Q7" s="88">
        <f>IF(A7&gt;$S$2,"予定",IF(N7=0,"－",IF(P7&gt;=1,"完了",IF(O7&gt;=N7,"順調","遅延"))))</f>
        <v/>
      </c>
      <c r="R7" s="84">
        <f>D7+K7</f>
        <v/>
      </c>
      <c r="S7" s="89">
        <f>E7+L7</f>
        <v/>
      </c>
    </row>
    <row r="8">
      <c r="A8" s="81" t="n">
        <v>46078</v>
      </c>
      <c r="B8" s="82">
        <f>CHOOSE(WEEKDAY(A8,2),"月","火","水","木","金","土","日")</f>
        <v/>
      </c>
      <c r="C8" s="83">
        <f>IF(OR(WEEKDAY(A8,2)&gt;=6,COUNTIF(祝日マスタ!$A:$A,A8)&gt;0),"非営業日","営業日")</f>
        <v/>
      </c>
      <c r="D8" s="84">
        <f>COUNTIFS(明細!$F$5:$F$76,A8,明細!$D$5:$D$76,"基盤")</f>
        <v/>
      </c>
      <c r="E8" s="85">
        <f>COUNTIFS(明細!$G$5:$G$76,A8,明細!$D$5:$D$76,"基盤")</f>
        <v/>
      </c>
      <c r="F8" s="86">
        <f>IF(D8=0,0,E8/D8)</f>
        <v/>
      </c>
      <c r="G8" s="87">
        <f>SUM($D$6:D8)</f>
        <v/>
      </c>
      <c r="H8" s="85">
        <f>SUM($E$6:E8)</f>
        <v/>
      </c>
      <c r="I8" s="86">
        <f>IF(G8=0,"",H8/G8)</f>
        <v/>
      </c>
      <c r="J8" s="88">
        <f>IF(A8&gt;$S$2,"予定",IF(G8=0,"－",IF(I8&gt;=1,"完了",IF(H8&gt;=G8,"順調","遅延"))))</f>
        <v/>
      </c>
      <c r="K8" s="84">
        <f>COUNTIFS(明細!$I$5:$I$76,A8,明細!$D$5:$D$76,"基盤")</f>
        <v/>
      </c>
      <c r="L8" s="85">
        <f>COUNTIFS(明細!$J$5:$J$76,A8,明細!$D$5:$D$76,"基盤")</f>
        <v/>
      </c>
      <c r="M8" s="86">
        <f>IF(K8=0,0,L8/K8)</f>
        <v/>
      </c>
      <c r="N8" s="87">
        <f>SUM($K$6:K8)</f>
        <v/>
      </c>
      <c r="O8" s="85">
        <f>SUM($L$6:L8)</f>
        <v/>
      </c>
      <c r="P8" s="86">
        <f>IF(N8=0,"",O8/N8)</f>
        <v/>
      </c>
      <c r="Q8" s="88">
        <f>IF(A8&gt;$S$2,"予定",IF(N8=0,"－",IF(P8&gt;=1,"完了",IF(O8&gt;=N8,"順調","遅延"))))</f>
        <v/>
      </c>
      <c r="R8" s="84">
        <f>D8+K8</f>
        <v/>
      </c>
      <c r="S8" s="89">
        <f>E8+L8</f>
        <v/>
      </c>
    </row>
    <row r="9">
      <c r="A9" s="81" t="n">
        <v>46079</v>
      </c>
      <c r="B9" s="82">
        <f>CHOOSE(WEEKDAY(A9,2),"月","火","水","木","金","土","日")</f>
        <v/>
      </c>
      <c r="C9" s="83">
        <f>IF(OR(WEEKDAY(A9,2)&gt;=6,COUNTIF(祝日マスタ!$A:$A,A9)&gt;0),"非営業日","営業日")</f>
        <v/>
      </c>
      <c r="D9" s="84">
        <f>COUNTIFS(明細!$F$5:$F$76,A9,明細!$D$5:$D$76,"基盤")</f>
        <v/>
      </c>
      <c r="E9" s="85">
        <f>COUNTIFS(明細!$G$5:$G$76,A9,明細!$D$5:$D$76,"基盤")</f>
        <v/>
      </c>
      <c r="F9" s="86">
        <f>IF(D9=0,0,E9/D9)</f>
        <v/>
      </c>
      <c r="G9" s="87">
        <f>SUM($D$6:D9)</f>
        <v/>
      </c>
      <c r="H9" s="85">
        <f>SUM($E$6:E9)</f>
        <v/>
      </c>
      <c r="I9" s="86">
        <f>IF(G9=0,"",H9/G9)</f>
        <v/>
      </c>
      <c r="J9" s="88">
        <f>IF(A9&gt;$S$2,"予定",IF(G9=0,"－",IF(I9&gt;=1,"完了",IF(H9&gt;=G9,"順調","遅延"))))</f>
        <v/>
      </c>
      <c r="K9" s="84">
        <f>COUNTIFS(明細!$I$5:$I$76,A9,明細!$D$5:$D$76,"基盤")</f>
        <v/>
      </c>
      <c r="L9" s="85">
        <f>COUNTIFS(明細!$J$5:$J$76,A9,明細!$D$5:$D$76,"基盤")</f>
        <v/>
      </c>
      <c r="M9" s="86">
        <f>IF(K9=0,0,L9/K9)</f>
        <v/>
      </c>
      <c r="N9" s="87">
        <f>SUM($K$6:K9)</f>
        <v/>
      </c>
      <c r="O9" s="85">
        <f>SUM($L$6:L9)</f>
        <v/>
      </c>
      <c r="P9" s="86">
        <f>IF(N9=0,"",O9/N9)</f>
        <v/>
      </c>
      <c r="Q9" s="88">
        <f>IF(A9&gt;$S$2,"予定",IF(N9=0,"－",IF(P9&gt;=1,"完了",IF(O9&gt;=N9,"順調","遅延"))))</f>
        <v/>
      </c>
      <c r="R9" s="84">
        <f>D9+K9</f>
        <v/>
      </c>
      <c r="S9" s="89">
        <f>E9+L9</f>
        <v/>
      </c>
    </row>
    <row r="10">
      <c r="A10" s="81" t="n">
        <v>46080</v>
      </c>
      <c r="B10" s="82">
        <f>CHOOSE(WEEKDAY(A10,2),"月","火","水","木","金","土","日")</f>
        <v/>
      </c>
      <c r="C10" s="83">
        <f>IF(OR(WEEKDAY(A10,2)&gt;=6,COUNTIF(祝日マスタ!$A:$A,A10)&gt;0),"非営業日","営業日")</f>
        <v/>
      </c>
      <c r="D10" s="84">
        <f>COUNTIFS(明細!$F$5:$F$76,A10,明細!$D$5:$D$76,"基盤")</f>
        <v/>
      </c>
      <c r="E10" s="85">
        <f>COUNTIFS(明細!$G$5:$G$76,A10,明細!$D$5:$D$76,"基盤")</f>
        <v/>
      </c>
      <c r="F10" s="86">
        <f>IF(D10=0,0,E10/D10)</f>
        <v/>
      </c>
      <c r="G10" s="87">
        <f>SUM($D$6:D10)</f>
        <v/>
      </c>
      <c r="H10" s="85">
        <f>SUM($E$6:E10)</f>
        <v/>
      </c>
      <c r="I10" s="86">
        <f>IF(G10=0,"",H10/G10)</f>
        <v/>
      </c>
      <c r="J10" s="88">
        <f>IF(A10&gt;$S$2,"予定",IF(G10=0,"－",IF(I10&gt;=1,"完了",IF(H10&gt;=G10,"順調","遅延"))))</f>
        <v/>
      </c>
      <c r="K10" s="84">
        <f>COUNTIFS(明細!$I$5:$I$76,A10,明細!$D$5:$D$76,"基盤")</f>
        <v/>
      </c>
      <c r="L10" s="85">
        <f>COUNTIFS(明細!$J$5:$J$76,A10,明細!$D$5:$D$76,"基盤")</f>
        <v/>
      </c>
      <c r="M10" s="86">
        <f>IF(K10=0,0,L10/K10)</f>
        <v/>
      </c>
      <c r="N10" s="87">
        <f>SUM($K$6:K10)</f>
        <v/>
      </c>
      <c r="O10" s="85">
        <f>SUM($L$6:L10)</f>
        <v/>
      </c>
      <c r="P10" s="86">
        <f>IF(N10=0,"",O10/N10)</f>
        <v/>
      </c>
      <c r="Q10" s="88">
        <f>IF(A10&gt;$S$2,"予定",IF(N10=0,"－",IF(P10&gt;=1,"完了",IF(O10&gt;=N10,"順調","遅延"))))</f>
        <v/>
      </c>
      <c r="R10" s="84">
        <f>D10+K10</f>
        <v/>
      </c>
      <c r="S10" s="89">
        <f>E10+L10</f>
        <v/>
      </c>
    </row>
    <row r="11">
      <c r="A11" s="81" t="n">
        <v>46081</v>
      </c>
      <c r="B11" s="82">
        <f>CHOOSE(WEEKDAY(A11,2),"月","火","水","木","金","土","日")</f>
        <v/>
      </c>
      <c r="C11" s="83">
        <f>IF(OR(WEEKDAY(A11,2)&gt;=6,COUNTIF(祝日マスタ!$A:$A,A11)&gt;0),"非営業日","営業日")</f>
        <v/>
      </c>
      <c r="D11" s="84">
        <f>COUNTIFS(明細!$F$5:$F$76,A11,明細!$D$5:$D$76,"基盤")</f>
        <v/>
      </c>
      <c r="E11" s="85">
        <f>COUNTIFS(明細!$G$5:$G$76,A11,明細!$D$5:$D$76,"基盤")</f>
        <v/>
      </c>
      <c r="F11" s="86">
        <f>IF(D11=0,0,E11/D11)</f>
        <v/>
      </c>
      <c r="G11" s="87">
        <f>SUM($D$6:D11)</f>
        <v/>
      </c>
      <c r="H11" s="85">
        <f>SUM($E$6:E11)</f>
        <v/>
      </c>
      <c r="I11" s="86">
        <f>IF(G11=0,"",H11/G11)</f>
        <v/>
      </c>
      <c r="J11" s="88">
        <f>IF(A11&gt;$S$2,"予定",IF(G11=0,"－",IF(I11&gt;=1,"完了",IF(H11&gt;=G11,"順調","遅延"))))</f>
        <v/>
      </c>
      <c r="K11" s="84">
        <f>COUNTIFS(明細!$I$5:$I$76,A11,明細!$D$5:$D$76,"基盤")</f>
        <v/>
      </c>
      <c r="L11" s="85">
        <f>COUNTIFS(明細!$J$5:$J$76,A11,明細!$D$5:$D$76,"基盤")</f>
        <v/>
      </c>
      <c r="M11" s="86">
        <f>IF(K11=0,0,L11/K11)</f>
        <v/>
      </c>
      <c r="N11" s="87">
        <f>SUM($K$6:K11)</f>
        <v/>
      </c>
      <c r="O11" s="85">
        <f>SUM($L$6:L11)</f>
        <v/>
      </c>
      <c r="P11" s="86">
        <f>IF(N11=0,"",O11/N11)</f>
        <v/>
      </c>
      <c r="Q11" s="88">
        <f>IF(A11&gt;$S$2,"予定",IF(N11=0,"－",IF(P11&gt;=1,"完了",IF(O11&gt;=N11,"順調","遅延"))))</f>
        <v/>
      </c>
      <c r="R11" s="84">
        <f>D11+K11</f>
        <v/>
      </c>
      <c r="S11" s="89">
        <f>E11+L11</f>
        <v/>
      </c>
    </row>
    <row r="12">
      <c r="A12" s="81" t="n">
        <v>46082</v>
      </c>
      <c r="B12" s="82">
        <f>CHOOSE(WEEKDAY(A12,2),"月","火","水","木","金","土","日")</f>
        <v/>
      </c>
      <c r="C12" s="83">
        <f>IF(OR(WEEKDAY(A12,2)&gt;=6,COUNTIF(祝日マスタ!$A:$A,A12)&gt;0),"非営業日","営業日")</f>
        <v/>
      </c>
      <c r="D12" s="84">
        <f>COUNTIFS(明細!$F$5:$F$76,A12,明細!$D$5:$D$76,"基盤")</f>
        <v/>
      </c>
      <c r="E12" s="85">
        <f>COUNTIFS(明細!$G$5:$G$76,A12,明細!$D$5:$D$76,"基盤")</f>
        <v/>
      </c>
      <c r="F12" s="86">
        <f>IF(D12=0,0,E12/D12)</f>
        <v/>
      </c>
      <c r="G12" s="87">
        <f>SUM($D$6:D12)</f>
        <v/>
      </c>
      <c r="H12" s="85">
        <f>SUM($E$6:E12)</f>
        <v/>
      </c>
      <c r="I12" s="86">
        <f>IF(G12=0,"",H12/G12)</f>
        <v/>
      </c>
      <c r="J12" s="88">
        <f>IF(A12&gt;$S$2,"予定",IF(G12=0,"－",IF(I12&gt;=1,"完了",IF(H12&gt;=G12,"順調","遅延"))))</f>
        <v/>
      </c>
      <c r="K12" s="84">
        <f>COUNTIFS(明細!$I$5:$I$76,A12,明細!$D$5:$D$76,"基盤")</f>
        <v/>
      </c>
      <c r="L12" s="85">
        <f>COUNTIFS(明細!$J$5:$J$76,A12,明細!$D$5:$D$76,"基盤")</f>
        <v/>
      </c>
      <c r="M12" s="86">
        <f>IF(K12=0,0,L12/K12)</f>
        <v/>
      </c>
      <c r="N12" s="87">
        <f>SUM($K$6:K12)</f>
        <v/>
      </c>
      <c r="O12" s="85">
        <f>SUM($L$6:L12)</f>
        <v/>
      </c>
      <c r="P12" s="86">
        <f>IF(N12=0,"",O12/N12)</f>
        <v/>
      </c>
      <c r="Q12" s="88">
        <f>IF(A12&gt;$S$2,"予定",IF(N12=0,"－",IF(P12&gt;=1,"完了",IF(O12&gt;=N12,"順調","遅延"))))</f>
        <v/>
      </c>
      <c r="R12" s="84">
        <f>D12+K12</f>
        <v/>
      </c>
      <c r="S12" s="89">
        <f>E12+L12</f>
        <v/>
      </c>
    </row>
    <row r="13">
      <c r="A13" s="81" t="n">
        <v>46083</v>
      </c>
      <c r="B13" s="82">
        <f>CHOOSE(WEEKDAY(A13,2),"月","火","水","木","金","土","日")</f>
        <v/>
      </c>
      <c r="C13" s="83">
        <f>IF(OR(WEEKDAY(A13,2)&gt;=6,COUNTIF(祝日マスタ!$A:$A,A13)&gt;0),"非営業日","営業日")</f>
        <v/>
      </c>
      <c r="D13" s="84">
        <f>COUNTIFS(明細!$F$5:$F$76,A13,明細!$D$5:$D$76,"基盤")</f>
        <v/>
      </c>
      <c r="E13" s="85">
        <f>COUNTIFS(明細!$G$5:$G$76,A13,明細!$D$5:$D$76,"基盤")</f>
        <v/>
      </c>
      <c r="F13" s="86">
        <f>IF(D13=0,0,E13/D13)</f>
        <v/>
      </c>
      <c r="G13" s="87">
        <f>SUM($D$6:D13)</f>
        <v/>
      </c>
      <c r="H13" s="85">
        <f>SUM($E$6:E13)</f>
        <v/>
      </c>
      <c r="I13" s="86">
        <f>IF(G13=0,"",H13/G13)</f>
        <v/>
      </c>
      <c r="J13" s="88">
        <f>IF(A13&gt;$S$2,"予定",IF(G13=0,"－",IF(I13&gt;=1,"完了",IF(H13&gt;=G13,"順調","遅延"))))</f>
        <v/>
      </c>
      <c r="K13" s="84">
        <f>COUNTIFS(明細!$I$5:$I$76,A13,明細!$D$5:$D$76,"基盤")</f>
        <v/>
      </c>
      <c r="L13" s="85">
        <f>COUNTIFS(明細!$J$5:$J$76,A13,明細!$D$5:$D$76,"基盤")</f>
        <v/>
      </c>
      <c r="M13" s="86">
        <f>IF(K13=0,0,L13/K13)</f>
        <v/>
      </c>
      <c r="N13" s="87">
        <f>SUM($K$6:K13)</f>
        <v/>
      </c>
      <c r="O13" s="85">
        <f>SUM($L$6:L13)</f>
        <v/>
      </c>
      <c r="P13" s="86">
        <f>IF(N13=0,"",O13/N13)</f>
        <v/>
      </c>
      <c r="Q13" s="88">
        <f>IF(A13&gt;$S$2,"予定",IF(N13=0,"－",IF(P13&gt;=1,"完了",IF(O13&gt;=N13,"順調","遅延"))))</f>
        <v/>
      </c>
      <c r="R13" s="84">
        <f>D13+K13</f>
        <v/>
      </c>
      <c r="S13" s="89">
        <f>E13+L13</f>
        <v/>
      </c>
    </row>
    <row r="14">
      <c r="A14" s="81" t="n">
        <v>46084</v>
      </c>
      <c r="B14" s="82">
        <f>CHOOSE(WEEKDAY(A14,2),"月","火","水","木","金","土","日")</f>
        <v/>
      </c>
      <c r="C14" s="83">
        <f>IF(OR(WEEKDAY(A14,2)&gt;=6,COUNTIF(祝日マスタ!$A:$A,A14)&gt;0),"非営業日","営業日")</f>
        <v/>
      </c>
      <c r="D14" s="84">
        <f>COUNTIFS(明細!$F$5:$F$76,A14,明細!$D$5:$D$76,"基盤")</f>
        <v/>
      </c>
      <c r="E14" s="85">
        <f>COUNTIFS(明細!$G$5:$G$76,A14,明細!$D$5:$D$76,"基盤")</f>
        <v/>
      </c>
      <c r="F14" s="86">
        <f>IF(D14=0,0,E14/D14)</f>
        <v/>
      </c>
      <c r="G14" s="87">
        <f>SUM($D$6:D14)</f>
        <v/>
      </c>
      <c r="H14" s="85">
        <f>SUM($E$6:E14)</f>
        <v/>
      </c>
      <c r="I14" s="86">
        <f>IF(G14=0,"",H14/G14)</f>
        <v/>
      </c>
      <c r="J14" s="88">
        <f>IF(A14&gt;$S$2,"予定",IF(G14=0,"－",IF(I14&gt;=1,"完了",IF(H14&gt;=G14,"順調","遅延"))))</f>
        <v/>
      </c>
      <c r="K14" s="84">
        <f>COUNTIFS(明細!$I$5:$I$76,A14,明細!$D$5:$D$76,"基盤")</f>
        <v/>
      </c>
      <c r="L14" s="85">
        <f>COUNTIFS(明細!$J$5:$J$76,A14,明細!$D$5:$D$76,"基盤")</f>
        <v/>
      </c>
      <c r="M14" s="86">
        <f>IF(K14=0,0,L14/K14)</f>
        <v/>
      </c>
      <c r="N14" s="87">
        <f>SUM($K$6:K14)</f>
        <v/>
      </c>
      <c r="O14" s="85">
        <f>SUM($L$6:L14)</f>
        <v/>
      </c>
      <c r="P14" s="86">
        <f>IF(N14=0,"",O14/N14)</f>
        <v/>
      </c>
      <c r="Q14" s="88">
        <f>IF(A14&gt;$S$2,"予定",IF(N14=0,"－",IF(P14&gt;=1,"完了",IF(O14&gt;=N14,"順調","遅延"))))</f>
        <v/>
      </c>
      <c r="R14" s="84">
        <f>D14+K14</f>
        <v/>
      </c>
      <c r="S14" s="89">
        <f>E14+L14</f>
        <v/>
      </c>
    </row>
    <row r="15">
      <c r="A15" s="81" t="n">
        <v>46085</v>
      </c>
      <c r="B15" s="82">
        <f>CHOOSE(WEEKDAY(A15,2),"月","火","水","木","金","土","日")</f>
        <v/>
      </c>
      <c r="C15" s="83">
        <f>IF(OR(WEEKDAY(A15,2)&gt;=6,COUNTIF(祝日マスタ!$A:$A,A15)&gt;0),"非営業日","営業日")</f>
        <v/>
      </c>
      <c r="D15" s="84">
        <f>COUNTIFS(明細!$F$5:$F$76,A15,明細!$D$5:$D$76,"基盤")</f>
        <v/>
      </c>
      <c r="E15" s="85">
        <f>COUNTIFS(明細!$G$5:$G$76,A15,明細!$D$5:$D$76,"基盤")</f>
        <v/>
      </c>
      <c r="F15" s="86">
        <f>IF(D15=0,0,E15/D15)</f>
        <v/>
      </c>
      <c r="G15" s="87">
        <f>SUM($D$6:D15)</f>
        <v/>
      </c>
      <c r="H15" s="85">
        <f>SUM($E$6:E15)</f>
        <v/>
      </c>
      <c r="I15" s="86">
        <f>IF(G15=0,"",H15/G15)</f>
        <v/>
      </c>
      <c r="J15" s="88">
        <f>IF(A15&gt;$S$2,"予定",IF(G15=0,"－",IF(I15&gt;=1,"完了",IF(H15&gt;=G15,"順調","遅延"))))</f>
        <v/>
      </c>
      <c r="K15" s="84">
        <f>COUNTIFS(明細!$I$5:$I$76,A15,明細!$D$5:$D$76,"基盤")</f>
        <v/>
      </c>
      <c r="L15" s="85">
        <f>COUNTIFS(明細!$J$5:$J$76,A15,明細!$D$5:$D$76,"基盤")</f>
        <v/>
      </c>
      <c r="M15" s="86">
        <f>IF(K15=0,0,L15/K15)</f>
        <v/>
      </c>
      <c r="N15" s="87">
        <f>SUM($K$6:K15)</f>
        <v/>
      </c>
      <c r="O15" s="85">
        <f>SUM($L$6:L15)</f>
        <v/>
      </c>
      <c r="P15" s="86">
        <f>IF(N15=0,"",O15/N15)</f>
        <v/>
      </c>
      <c r="Q15" s="88">
        <f>IF(A15&gt;$S$2,"予定",IF(N15=0,"－",IF(P15&gt;=1,"完了",IF(O15&gt;=N15,"順調","遅延"))))</f>
        <v/>
      </c>
      <c r="R15" s="84">
        <f>D15+K15</f>
        <v/>
      </c>
      <c r="S15" s="89">
        <f>E15+L15</f>
        <v/>
      </c>
    </row>
    <row r="16">
      <c r="A16" s="81" t="n">
        <v>46086</v>
      </c>
      <c r="B16" s="82">
        <f>CHOOSE(WEEKDAY(A16,2),"月","火","水","木","金","土","日")</f>
        <v/>
      </c>
      <c r="C16" s="83">
        <f>IF(OR(WEEKDAY(A16,2)&gt;=6,COUNTIF(祝日マスタ!$A:$A,A16)&gt;0),"非営業日","営業日")</f>
        <v/>
      </c>
      <c r="D16" s="84">
        <f>COUNTIFS(明細!$F$5:$F$76,A16,明細!$D$5:$D$76,"基盤")</f>
        <v/>
      </c>
      <c r="E16" s="85">
        <f>COUNTIFS(明細!$G$5:$G$76,A16,明細!$D$5:$D$76,"基盤")</f>
        <v/>
      </c>
      <c r="F16" s="86">
        <f>IF(D16=0,0,E16/D16)</f>
        <v/>
      </c>
      <c r="G16" s="87">
        <f>SUM($D$6:D16)</f>
        <v/>
      </c>
      <c r="H16" s="85">
        <f>SUM($E$6:E16)</f>
        <v/>
      </c>
      <c r="I16" s="86">
        <f>IF(G16=0,"",H16/G16)</f>
        <v/>
      </c>
      <c r="J16" s="88">
        <f>IF(A16&gt;$S$2,"予定",IF(G16=0,"－",IF(I16&gt;=1,"完了",IF(H16&gt;=G16,"順調","遅延"))))</f>
        <v/>
      </c>
      <c r="K16" s="84">
        <f>COUNTIFS(明細!$I$5:$I$76,A16,明細!$D$5:$D$76,"基盤")</f>
        <v/>
      </c>
      <c r="L16" s="85">
        <f>COUNTIFS(明細!$J$5:$J$76,A16,明細!$D$5:$D$76,"基盤")</f>
        <v/>
      </c>
      <c r="M16" s="86">
        <f>IF(K16=0,0,L16/K16)</f>
        <v/>
      </c>
      <c r="N16" s="87">
        <f>SUM($K$6:K16)</f>
        <v/>
      </c>
      <c r="O16" s="85">
        <f>SUM($L$6:L16)</f>
        <v/>
      </c>
      <c r="P16" s="86">
        <f>IF(N16=0,"",O16/N16)</f>
        <v/>
      </c>
      <c r="Q16" s="88">
        <f>IF(A16&gt;$S$2,"予定",IF(N16=0,"－",IF(P16&gt;=1,"完了",IF(O16&gt;=N16,"順調","遅延"))))</f>
        <v/>
      </c>
      <c r="R16" s="84">
        <f>D16+K16</f>
        <v/>
      </c>
      <c r="S16" s="89">
        <f>E16+L16</f>
        <v/>
      </c>
    </row>
    <row r="17">
      <c r="A17" s="81" t="n">
        <v>46087</v>
      </c>
      <c r="B17" s="82">
        <f>CHOOSE(WEEKDAY(A17,2),"月","火","水","木","金","土","日")</f>
        <v/>
      </c>
      <c r="C17" s="83">
        <f>IF(OR(WEEKDAY(A17,2)&gt;=6,COUNTIF(祝日マスタ!$A:$A,A17)&gt;0),"非営業日","営業日")</f>
        <v/>
      </c>
      <c r="D17" s="84">
        <f>COUNTIFS(明細!$F$5:$F$76,A17,明細!$D$5:$D$76,"基盤")</f>
        <v/>
      </c>
      <c r="E17" s="85">
        <f>COUNTIFS(明細!$G$5:$G$76,A17,明細!$D$5:$D$76,"基盤")</f>
        <v/>
      </c>
      <c r="F17" s="86">
        <f>IF(D17=0,0,E17/D17)</f>
        <v/>
      </c>
      <c r="G17" s="87">
        <f>SUM($D$6:D17)</f>
        <v/>
      </c>
      <c r="H17" s="85">
        <f>SUM($E$6:E17)</f>
        <v/>
      </c>
      <c r="I17" s="86">
        <f>IF(G17=0,"",H17/G17)</f>
        <v/>
      </c>
      <c r="J17" s="88">
        <f>IF(A17&gt;$S$2,"予定",IF(G17=0,"－",IF(I17&gt;=1,"完了",IF(H17&gt;=G17,"順調","遅延"))))</f>
        <v/>
      </c>
      <c r="K17" s="84">
        <f>COUNTIFS(明細!$I$5:$I$76,A17,明細!$D$5:$D$76,"基盤")</f>
        <v/>
      </c>
      <c r="L17" s="85">
        <f>COUNTIFS(明細!$J$5:$J$76,A17,明細!$D$5:$D$76,"基盤")</f>
        <v/>
      </c>
      <c r="M17" s="86">
        <f>IF(K17=0,0,L17/K17)</f>
        <v/>
      </c>
      <c r="N17" s="87">
        <f>SUM($K$6:K17)</f>
        <v/>
      </c>
      <c r="O17" s="85">
        <f>SUM($L$6:L17)</f>
        <v/>
      </c>
      <c r="P17" s="86">
        <f>IF(N17=0,"",O17/N17)</f>
        <v/>
      </c>
      <c r="Q17" s="88">
        <f>IF(A17&gt;$S$2,"予定",IF(N17=0,"－",IF(P17&gt;=1,"完了",IF(O17&gt;=N17,"順調","遅延"))))</f>
        <v/>
      </c>
      <c r="R17" s="84">
        <f>D17+K17</f>
        <v/>
      </c>
      <c r="S17" s="89">
        <f>E17+L17</f>
        <v/>
      </c>
    </row>
    <row r="18">
      <c r="A18" s="81" t="n">
        <v>46088</v>
      </c>
      <c r="B18" s="82">
        <f>CHOOSE(WEEKDAY(A18,2),"月","火","水","木","金","土","日")</f>
        <v/>
      </c>
      <c r="C18" s="83">
        <f>IF(OR(WEEKDAY(A18,2)&gt;=6,COUNTIF(祝日マスタ!$A:$A,A18)&gt;0),"非営業日","営業日")</f>
        <v/>
      </c>
      <c r="D18" s="84">
        <f>COUNTIFS(明細!$F$5:$F$76,A18,明細!$D$5:$D$76,"基盤")</f>
        <v/>
      </c>
      <c r="E18" s="85">
        <f>COUNTIFS(明細!$G$5:$G$76,A18,明細!$D$5:$D$76,"基盤")</f>
        <v/>
      </c>
      <c r="F18" s="86">
        <f>IF(D18=0,0,E18/D18)</f>
        <v/>
      </c>
      <c r="G18" s="87">
        <f>SUM($D$6:D18)</f>
        <v/>
      </c>
      <c r="H18" s="85">
        <f>SUM($E$6:E18)</f>
        <v/>
      </c>
      <c r="I18" s="86">
        <f>IF(G18=0,"",H18/G18)</f>
        <v/>
      </c>
      <c r="J18" s="88">
        <f>IF(A18&gt;$S$2,"予定",IF(G18=0,"－",IF(I18&gt;=1,"完了",IF(H18&gt;=G18,"順調","遅延"))))</f>
        <v/>
      </c>
      <c r="K18" s="84">
        <f>COUNTIFS(明細!$I$5:$I$76,A18,明細!$D$5:$D$76,"基盤")</f>
        <v/>
      </c>
      <c r="L18" s="85">
        <f>COUNTIFS(明細!$J$5:$J$76,A18,明細!$D$5:$D$76,"基盤")</f>
        <v/>
      </c>
      <c r="M18" s="86">
        <f>IF(K18=0,0,L18/K18)</f>
        <v/>
      </c>
      <c r="N18" s="87">
        <f>SUM($K$6:K18)</f>
        <v/>
      </c>
      <c r="O18" s="85">
        <f>SUM($L$6:L18)</f>
        <v/>
      </c>
      <c r="P18" s="86">
        <f>IF(N18=0,"",O18/N18)</f>
        <v/>
      </c>
      <c r="Q18" s="88">
        <f>IF(A18&gt;$S$2,"予定",IF(N18=0,"－",IF(P18&gt;=1,"完了",IF(O18&gt;=N18,"順調","遅延"))))</f>
        <v/>
      </c>
      <c r="R18" s="84">
        <f>D18+K18</f>
        <v/>
      </c>
      <c r="S18" s="89">
        <f>E18+L18</f>
        <v/>
      </c>
    </row>
    <row r="19">
      <c r="A19" s="81" t="n">
        <v>46089</v>
      </c>
      <c r="B19" s="82">
        <f>CHOOSE(WEEKDAY(A19,2),"月","火","水","木","金","土","日")</f>
        <v/>
      </c>
      <c r="C19" s="83">
        <f>IF(OR(WEEKDAY(A19,2)&gt;=6,COUNTIF(祝日マスタ!$A:$A,A19)&gt;0),"非営業日","営業日")</f>
        <v/>
      </c>
      <c r="D19" s="84">
        <f>COUNTIFS(明細!$F$5:$F$76,A19,明細!$D$5:$D$76,"基盤")</f>
        <v/>
      </c>
      <c r="E19" s="85">
        <f>COUNTIFS(明細!$G$5:$G$76,A19,明細!$D$5:$D$76,"基盤")</f>
        <v/>
      </c>
      <c r="F19" s="86">
        <f>IF(D19=0,0,E19/D19)</f>
        <v/>
      </c>
      <c r="G19" s="87">
        <f>SUM($D$6:D19)</f>
        <v/>
      </c>
      <c r="H19" s="85">
        <f>SUM($E$6:E19)</f>
        <v/>
      </c>
      <c r="I19" s="86">
        <f>IF(G19=0,"",H19/G19)</f>
        <v/>
      </c>
      <c r="J19" s="88">
        <f>IF(A19&gt;$S$2,"予定",IF(G19=0,"－",IF(I19&gt;=1,"完了",IF(H19&gt;=G19,"順調","遅延"))))</f>
        <v/>
      </c>
      <c r="K19" s="84">
        <f>COUNTIFS(明細!$I$5:$I$76,A19,明細!$D$5:$D$76,"基盤")</f>
        <v/>
      </c>
      <c r="L19" s="85">
        <f>COUNTIFS(明細!$J$5:$J$76,A19,明細!$D$5:$D$76,"基盤")</f>
        <v/>
      </c>
      <c r="M19" s="86">
        <f>IF(K19=0,0,L19/K19)</f>
        <v/>
      </c>
      <c r="N19" s="87">
        <f>SUM($K$6:K19)</f>
        <v/>
      </c>
      <c r="O19" s="85">
        <f>SUM($L$6:L19)</f>
        <v/>
      </c>
      <c r="P19" s="86">
        <f>IF(N19=0,"",O19/N19)</f>
        <v/>
      </c>
      <c r="Q19" s="88">
        <f>IF(A19&gt;$S$2,"予定",IF(N19=0,"－",IF(P19&gt;=1,"完了",IF(O19&gt;=N19,"順調","遅延"))))</f>
        <v/>
      </c>
      <c r="R19" s="84">
        <f>D19+K19</f>
        <v/>
      </c>
      <c r="S19" s="89">
        <f>E19+L19</f>
        <v/>
      </c>
    </row>
    <row r="20">
      <c r="A20" s="81" t="n">
        <v>46090</v>
      </c>
      <c r="B20" s="82">
        <f>CHOOSE(WEEKDAY(A20,2),"月","火","水","木","金","土","日")</f>
        <v/>
      </c>
      <c r="C20" s="83">
        <f>IF(OR(WEEKDAY(A20,2)&gt;=6,COUNTIF(祝日マスタ!$A:$A,A20)&gt;0),"非営業日","営業日")</f>
        <v/>
      </c>
      <c r="D20" s="84">
        <f>COUNTIFS(明細!$F$5:$F$76,A20,明細!$D$5:$D$76,"基盤")</f>
        <v/>
      </c>
      <c r="E20" s="85">
        <f>COUNTIFS(明細!$G$5:$G$76,A20,明細!$D$5:$D$76,"基盤")</f>
        <v/>
      </c>
      <c r="F20" s="86">
        <f>IF(D20=0,0,E20/D20)</f>
        <v/>
      </c>
      <c r="G20" s="87">
        <f>SUM($D$6:D20)</f>
        <v/>
      </c>
      <c r="H20" s="85">
        <f>SUM($E$6:E20)</f>
        <v/>
      </c>
      <c r="I20" s="86">
        <f>IF(G20=0,"",H20/G20)</f>
        <v/>
      </c>
      <c r="J20" s="88">
        <f>IF(A20&gt;$S$2,"予定",IF(G20=0,"－",IF(I20&gt;=1,"完了",IF(H20&gt;=G20,"順調","遅延"))))</f>
        <v/>
      </c>
      <c r="K20" s="84">
        <f>COUNTIFS(明細!$I$5:$I$76,A20,明細!$D$5:$D$76,"基盤")</f>
        <v/>
      </c>
      <c r="L20" s="85">
        <f>COUNTIFS(明細!$J$5:$J$76,A20,明細!$D$5:$D$76,"基盤")</f>
        <v/>
      </c>
      <c r="M20" s="86">
        <f>IF(K20=0,0,L20/K20)</f>
        <v/>
      </c>
      <c r="N20" s="87">
        <f>SUM($K$6:K20)</f>
        <v/>
      </c>
      <c r="O20" s="85">
        <f>SUM($L$6:L20)</f>
        <v/>
      </c>
      <c r="P20" s="86">
        <f>IF(N20=0,"",O20/N20)</f>
        <v/>
      </c>
      <c r="Q20" s="88">
        <f>IF(A20&gt;$S$2,"予定",IF(N20=0,"－",IF(P20&gt;=1,"完了",IF(O20&gt;=N20,"順調","遅延"))))</f>
        <v/>
      </c>
      <c r="R20" s="84">
        <f>D20+K20</f>
        <v/>
      </c>
      <c r="S20" s="89">
        <f>E20+L20</f>
        <v/>
      </c>
    </row>
    <row r="21">
      <c r="A21" s="81" t="n">
        <v>46091</v>
      </c>
      <c r="B21" s="82">
        <f>CHOOSE(WEEKDAY(A21,2),"月","火","水","木","金","土","日")</f>
        <v/>
      </c>
      <c r="C21" s="83">
        <f>IF(OR(WEEKDAY(A21,2)&gt;=6,COUNTIF(祝日マスタ!$A:$A,A21)&gt;0),"非営業日","営業日")</f>
        <v/>
      </c>
      <c r="D21" s="84">
        <f>COUNTIFS(明細!$F$5:$F$76,A21,明細!$D$5:$D$76,"基盤")</f>
        <v/>
      </c>
      <c r="E21" s="85">
        <f>COUNTIFS(明細!$G$5:$G$76,A21,明細!$D$5:$D$76,"基盤")</f>
        <v/>
      </c>
      <c r="F21" s="86">
        <f>IF(D21=0,0,E21/D21)</f>
        <v/>
      </c>
      <c r="G21" s="87">
        <f>SUM($D$6:D21)</f>
        <v/>
      </c>
      <c r="H21" s="85">
        <f>SUM($E$6:E21)</f>
        <v/>
      </c>
      <c r="I21" s="86">
        <f>IF(G21=0,"",H21/G21)</f>
        <v/>
      </c>
      <c r="J21" s="88">
        <f>IF(A21&gt;$S$2,"予定",IF(G21=0,"－",IF(I21&gt;=1,"完了",IF(H21&gt;=G21,"順調","遅延"))))</f>
        <v/>
      </c>
      <c r="K21" s="84">
        <f>COUNTIFS(明細!$I$5:$I$76,A21,明細!$D$5:$D$76,"基盤")</f>
        <v/>
      </c>
      <c r="L21" s="85">
        <f>COUNTIFS(明細!$J$5:$J$76,A21,明細!$D$5:$D$76,"基盤")</f>
        <v/>
      </c>
      <c r="M21" s="86">
        <f>IF(K21=0,0,L21/K21)</f>
        <v/>
      </c>
      <c r="N21" s="87">
        <f>SUM($K$6:K21)</f>
        <v/>
      </c>
      <c r="O21" s="85">
        <f>SUM($L$6:L21)</f>
        <v/>
      </c>
      <c r="P21" s="86">
        <f>IF(N21=0,"",O21/N21)</f>
        <v/>
      </c>
      <c r="Q21" s="88">
        <f>IF(A21&gt;$S$2,"予定",IF(N21=0,"－",IF(P21&gt;=1,"完了",IF(O21&gt;=N21,"順調","遅延"))))</f>
        <v/>
      </c>
      <c r="R21" s="84">
        <f>D21+K21</f>
        <v/>
      </c>
      <c r="S21" s="89">
        <f>E21+L21</f>
        <v/>
      </c>
    </row>
    <row r="22">
      <c r="A22" s="81" t="n">
        <v>46092</v>
      </c>
      <c r="B22" s="82">
        <f>CHOOSE(WEEKDAY(A22,2),"月","火","水","木","金","土","日")</f>
        <v/>
      </c>
      <c r="C22" s="83">
        <f>IF(OR(WEEKDAY(A22,2)&gt;=6,COUNTIF(祝日マスタ!$A:$A,A22)&gt;0),"非営業日","営業日")</f>
        <v/>
      </c>
      <c r="D22" s="84">
        <f>COUNTIFS(明細!$F$5:$F$76,A22,明細!$D$5:$D$76,"基盤")</f>
        <v/>
      </c>
      <c r="E22" s="85">
        <f>COUNTIFS(明細!$G$5:$G$76,A22,明細!$D$5:$D$76,"基盤")</f>
        <v/>
      </c>
      <c r="F22" s="86">
        <f>IF(D22=0,0,E22/D22)</f>
        <v/>
      </c>
      <c r="G22" s="87">
        <f>SUM($D$6:D22)</f>
        <v/>
      </c>
      <c r="H22" s="85">
        <f>SUM($E$6:E22)</f>
        <v/>
      </c>
      <c r="I22" s="86">
        <f>IF(G22=0,"",H22/G22)</f>
        <v/>
      </c>
      <c r="J22" s="88">
        <f>IF(A22&gt;$S$2,"予定",IF(G22=0,"－",IF(I22&gt;=1,"完了",IF(H22&gt;=G22,"順調","遅延"))))</f>
        <v/>
      </c>
      <c r="K22" s="84">
        <f>COUNTIFS(明細!$I$5:$I$76,A22,明細!$D$5:$D$76,"基盤")</f>
        <v/>
      </c>
      <c r="L22" s="85">
        <f>COUNTIFS(明細!$J$5:$J$76,A22,明細!$D$5:$D$76,"基盤")</f>
        <v/>
      </c>
      <c r="M22" s="86">
        <f>IF(K22=0,0,L22/K22)</f>
        <v/>
      </c>
      <c r="N22" s="87">
        <f>SUM($K$6:K22)</f>
        <v/>
      </c>
      <c r="O22" s="85">
        <f>SUM($L$6:L22)</f>
        <v/>
      </c>
      <c r="P22" s="86">
        <f>IF(N22=0,"",O22/N22)</f>
        <v/>
      </c>
      <c r="Q22" s="88">
        <f>IF(A22&gt;$S$2,"予定",IF(N22=0,"－",IF(P22&gt;=1,"完了",IF(O22&gt;=N22,"順調","遅延"))))</f>
        <v/>
      </c>
      <c r="R22" s="84">
        <f>D22+K22</f>
        <v/>
      </c>
      <c r="S22" s="89">
        <f>E22+L22</f>
        <v/>
      </c>
    </row>
    <row r="23">
      <c r="A23" s="81" t="n">
        <v>46093</v>
      </c>
      <c r="B23" s="82">
        <f>CHOOSE(WEEKDAY(A23,2),"月","火","水","木","金","土","日")</f>
        <v/>
      </c>
      <c r="C23" s="83">
        <f>IF(OR(WEEKDAY(A23,2)&gt;=6,COUNTIF(祝日マスタ!$A:$A,A23)&gt;0),"非営業日","営業日")</f>
        <v/>
      </c>
      <c r="D23" s="84">
        <f>COUNTIFS(明細!$F$5:$F$76,A23,明細!$D$5:$D$76,"基盤")</f>
        <v/>
      </c>
      <c r="E23" s="85">
        <f>COUNTIFS(明細!$G$5:$G$76,A23,明細!$D$5:$D$76,"基盤")</f>
        <v/>
      </c>
      <c r="F23" s="86">
        <f>IF(D23=0,0,E23/D23)</f>
        <v/>
      </c>
      <c r="G23" s="87">
        <f>SUM($D$6:D23)</f>
        <v/>
      </c>
      <c r="H23" s="85">
        <f>SUM($E$6:E23)</f>
        <v/>
      </c>
      <c r="I23" s="86">
        <f>IF(G23=0,"",H23/G23)</f>
        <v/>
      </c>
      <c r="J23" s="88">
        <f>IF(A23&gt;$S$2,"予定",IF(G23=0,"－",IF(I23&gt;=1,"完了",IF(H23&gt;=G23,"順調","遅延"))))</f>
        <v/>
      </c>
      <c r="K23" s="84">
        <f>COUNTIFS(明細!$I$5:$I$76,A23,明細!$D$5:$D$76,"基盤")</f>
        <v/>
      </c>
      <c r="L23" s="85">
        <f>COUNTIFS(明細!$J$5:$J$76,A23,明細!$D$5:$D$76,"基盤")</f>
        <v/>
      </c>
      <c r="M23" s="86">
        <f>IF(K23=0,0,L23/K23)</f>
        <v/>
      </c>
      <c r="N23" s="87">
        <f>SUM($K$6:K23)</f>
        <v/>
      </c>
      <c r="O23" s="85">
        <f>SUM($L$6:L23)</f>
        <v/>
      </c>
      <c r="P23" s="86">
        <f>IF(N23=0,"",O23/N23)</f>
        <v/>
      </c>
      <c r="Q23" s="88">
        <f>IF(A23&gt;$S$2,"予定",IF(N23=0,"－",IF(P23&gt;=1,"完了",IF(O23&gt;=N23,"順調","遅延"))))</f>
        <v/>
      </c>
      <c r="R23" s="84">
        <f>D23+K23</f>
        <v/>
      </c>
      <c r="S23" s="89">
        <f>E23+L23</f>
        <v/>
      </c>
    </row>
    <row r="24">
      <c r="A24" s="81" t="n">
        <v>46094</v>
      </c>
      <c r="B24" s="82">
        <f>CHOOSE(WEEKDAY(A24,2),"月","火","水","木","金","土","日")</f>
        <v/>
      </c>
      <c r="C24" s="83">
        <f>IF(OR(WEEKDAY(A24,2)&gt;=6,COUNTIF(祝日マスタ!$A:$A,A24)&gt;0),"非営業日","営業日")</f>
        <v/>
      </c>
      <c r="D24" s="84">
        <f>COUNTIFS(明細!$F$5:$F$76,A24,明細!$D$5:$D$76,"基盤")</f>
        <v/>
      </c>
      <c r="E24" s="85">
        <f>COUNTIFS(明細!$G$5:$G$76,A24,明細!$D$5:$D$76,"基盤")</f>
        <v/>
      </c>
      <c r="F24" s="86">
        <f>IF(D24=0,0,E24/D24)</f>
        <v/>
      </c>
      <c r="G24" s="87">
        <f>SUM($D$6:D24)</f>
        <v/>
      </c>
      <c r="H24" s="85">
        <f>SUM($E$6:E24)</f>
        <v/>
      </c>
      <c r="I24" s="86">
        <f>IF(G24=0,"",H24/G24)</f>
        <v/>
      </c>
      <c r="J24" s="88">
        <f>IF(A24&gt;$S$2,"予定",IF(G24=0,"－",IF(I24&gt;=1,"完了",IF(H24&gt;=G24,"順調","遅延"))))</f>
        <v/>
      </c>
      <c r="K24" s="84">
        <f>COUNTIFS(明細!$I$5:$I$76,A24,明細!$D$5:$D$76,"基盤")</f>
        <v/>
      </c>
      <c r="L24" s="85">
        <f>COUNTIFS(明細!$J$5:$J$76,A24,明細!$D$5:$D$76,"基盤")</f>
        <v/>
      </c>
      <c r="M24" s="86">
        <f>IF(K24=0,0,L24/K24)</f>
        <v/>
      </c>
      <c r="N24" s="87">
        <f>SUM($K$6:K24)</f>
        <v/>
      </c>
      <c r="O24" s="85">
        <f>SUM($L$6:L24)</f>
        <v/>
      </c>
      <c r="P24" s="86">
        <f>IF(N24=0,"",O24/N24)</f>
        <v/>
      </c>
      <c r="Q24" s="88">
        <f>IF(A24&gt;$S$2,"予定",IF(N24=0,"－",IF(P24&gt;=1,"完了",IF(O24&gt;=N24,"順調","遅延"))))</f>
        <v/>
      </c>
      <c r="R24" s="84">
        <f>D24+K24</f>
        <v/>
      </c>
      <c r="S24" s="89">
        <f>E24+L24</f>
        <v/>
      </c>
    </row>
  </sheetData>
  <mergeCells count="5">
    <mergeCell ref="D3:J3"/>
    <mergeCell ref="K3:Q3"/>
    <mergeCell ref="A1:S1"/>
    <mergeCell ref="A3:C3"/>
    <mergeCell ref="R3:S3"/>
  </mergeCells>
  <conditionalFormatting sqref="J5:J24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24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24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24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24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8.300000000000001" customWidth="1" min="3" max="3"/>
    <col width="8" customWidth="1" min="4" max="4"/>
    <col width="8" customWidth="1" min="5" max="5"/>
    <col width="9.1" customWidth="1" min="6" max="6"/>
    <col width="10.4" customWidth="1" min="7" max="7"/>
    <col width="10.4" customWidth="1" min="8" max="8"/>
    <col width="12.8" customWidth="1" min="9" max="9"/>
    <col width="8" customWidth="1" min="10" max="10"/>
    <col width="8" customWidth="1" min="11" max="11"/>
    <col width="8" customWidth="1" min="12" max="12"/>
    <col width="9.1" customWidth="1" min="13" max="13"/>
    <col width="10.4" customWidth="1" min="14" max="14"/>
    <col width="10.4" customWidth="1" min="15" max="15"/>
    <col width="12.8" customWidth="1" min="16" max="16"/>
    <col width="8" customWidth="1" min="17" max="17"/>
    <col width="9.6" customWidth="1" min="18" max="18"/>
    <col width="13" customWidth="1" min="19" max="19"/>
  </cols>
  <sheetData>
    <row r="1" ht="30" customHeight="1">
      <c r="A1" s="54" t="inlineStr">
        <is>
          <t>テスト進捗サマリー（運用）</t>
        </is>
      </c>
    </row>
    <row r="2" ht="22" customHeight="1">
      <c r="A2" s="55" t="inlineStr">
        <is>
          <t>集計期間: 2026/02/23 ～ 2026/03/14 (20日間)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7" t="inlineStr">
        <is>
          <t>基準日:</t>
        </is>
      </c>
      <c r="S2" s="58">
        <f>ダッシュボード!$B$2</f>
        <v/>
      </c>
    </row>
    <row r="3" ht="24" customHeight="1">
      <c r="A3" s="59" t="inlineStr">
        <is>
          <t>共通</t>
        </is>
      </c>
      <c r="D3" s="60" t="inlineStr">
        <is>
          <t>実施</t>
        </is>
      </c>
      <c r="K3" s="61" t="inlineStr">
        <is>
          <t>検証</t>
        </is>
      </c>
      <c r="R3" s="62" t="inlineStr">
        <is>
          <t>合計</t>
        </is>
      </c>
    </row>
    <row r="4" ht="22" customHeight="1">
      <c r="A4" s="63" t="inlineStr">
        <is>
          <t>日付</t>
        </is>
      </c>
      <c r="B4" s="64" t="inlineStr">
        <is>
          <t>曜</t>
        </is>
      </c>
      <c r="C4" s="65" t="inlineStr">
        <is>
          <t>営業日</t>
        </is>
      </c>
      <c r="D4" s="66" t="inlineStr">
        <is>
          <t>予定</t>
        </is>
      </c>
      <c r="E4" s="67" t="inlineStr">
        <is>
          <t>実績</t>
        </is>
      </c>
      <c r="F4" s="67" t="inlineStr">
        <is>
          <t>消化率</t>
        </is>
      </c>
      <c r="G4" s="67" t="inlineStr">
        <is>
          <t>予定累計</t>
        </is>
      </c>
      <c r="H4" s="67" t="inlineStr">
        <is>
          <t>実績累計</t>
        </is>
      </c>
      <c r="I4" s="67" t="inlineStr">
        <is>
          <t>累計消化率</t>
        </is>
      </c>
      <c r="J4" s="68" t="inlineStr">
        <is>
          <t>判定</t>
        </is>
      </c>
      <c r="K4" s="69" t="inlineStr">
        <is>
          <t>予定</t>
        </is>
      </c>
      <c r="L4" s="70" t="inlineStr">
        <is>
          <t>実績</t>
        </is>
      </c>
      <c r="M4" s="70" t="inlineStr">
        <is>
          <t>消化率</t>
        </is>
      </c>
      <c r="N4" s="70" t="inlineStr">
        <is>
          <t>予定累計</t>
        </is>
      </c>
      <c r="O4" s="70" t="inlineStr">
        <is>
          <t>実績累計</t>
        </is>
      </c>
      <c r="P4" s="70" t="inlineStr">
        <is>
          <t>累計消化率</t>
        </is>
      </c>
      <c r="Q4" s="71" t="inlineStr">
        <is>
          <t>判定</t>
        </is>
      </c>
      <c r="R4" s="72" t="inlineStr">
        <is>
          <t>予定</t>
        </is>
      </c>
      <c r="S4" s="73" t="inlineStr">
        <is>
          <t>実績</t>
        </is>
      </c>
    </row>
    <row r="5" ht="24" customHeight="1">
      <c r="A5" s="74" t="inlineStr">
        <is>
          <t>合計</t>
        </is>
      </c>
      <c r="B5" s="75" t="n"/>
      <c r="C5" s="76" t="n"/>
      <c r="D5" s="77">
        <f>SUM(D6:D25)</f>
        <v/>
      </c>
      <c r="E5" s="78">
        <f>SUM(E6:E25)</f>
        <v/>
      </c>
      <c r="F5" s="79">
        <f>IF(D5=0,0,E5/D5)</f>
        <v/>
      </c>
      <c r="G5" s="78">
        <f>D5</f>
        <v/>
      </c>
      <c r="H5" s="78">
        <f>E5</f>
        <v/>
      </c>
      <c r="I5" s="79">
        <f>IF(G5=0,"",H5/G5)</f>
        <v/>
      </c>
      <c r="J5" s="76">
        <f>IF(I5&gt;=1,"完了",IF(H5&gt;=G5,"順調","遅延"))</f>
        <v/>
      </c>
      <c r="K5" s="77">
        <f>SUM(K6:K25)</f>
        <v/>
      </c>
      <c r="L5" s="78">
        <f>SUM(L6:L25)</f>
        <v/>
      </c>
      <c r="M5" s="79">
        <f>IF(K5=0,0,L5/K5)</f>
        <v/>
      </c>
      <c r="N5" s="78">
        <f>K5</f>
        <v/>
      </c>
      <c r="O5" s="78">
        <f>L5</f>
        <v/>
      </c>
      <c r="P5" s="79">
        <f>IF(N5=0,"",O5/N5)</f>
        <v/>
      </c>
      <c r="Q5" s="76">
        <f>IF(P5&gt;=1,"完了",IF(O5&gt;=N5,"順調","遅延"))</f>
        <v/>
      </c>
      <c r="R5" s="77">
        <f>D5+K5</f>
        <v/>
      </c>
      <c r="S5" s="80">
        <f>E5+L5</f>
        <v/>
      </c>
    </row>
    <row r="6">
      <c r="A6" s="81" t="n">
        <v>46076</v>
      </c>
      <c r="B6" s="82">
        <f>CHOOSE(WEEKDAY(A6,2),"月","火","水","木","金","土","日")</f>
        <v/>
      </c>
      <c r="C6" s="83">
        <f>IF(OR(WEEKDAY(A6,2)&gt;=6,COUNTIF(祝日マスタ!$A:$A,A6)&gt;0),"非営業日","営業日")</f>
        <v/>
      </c>
      <c r="D6" s="84">
        <f>COUNTIFS(明細!$F$5:$F$76,A6,明細!$D$5:$D$76,"運用")</f>
        <v/>
      </c>
      <c r="E6" s="85">
        <f>COUNTIFS(明細!$G$5:$G$76,A6,明細!$D$5:$D$76,"運用")</f>
        <v/>
      </c>
      <c r="F6" s="86">
        <f>IF(D6=0,0,E6/D6)</f>
        <v/>
      </c>
      <c r="G6" s="87">
        <f>SUM($D$6:D6)</f>
        <v/>
      </c>
      <c r="H6" s="85">
        <f>SUM($E$6:E6)</f>
        <v/>
      </c>
      <c r="I6" s="86">
        <f>IF(G6=0,"",H6/G6)</f>
        <v/>
      </c>
      <c r="J6" s="88">
        <f>IF(A6&gt;$S$2,"予定",IF(G6=0,"－",IF(I6&gt;=1,"完了",IF(H6&gt;=G6,"順調","遅延"))))</f>
        <v/>
      </c>
      <c r="K6" s="84">
        <f>COUNTIFS(明細!$I$5:$I$76,A6,明細!$D$5:$D$76,"運用")</f>
        <v/>
      </c>
      <c r="L6" s="85">
        <f>COUNTIFS(明細!$J$5:$J$76,A6,明細!$D$5:$D$76,"運用")</f>
        <v/>
      </c>
      <c r="M6" s="86">
        <f>IF(K6=0,0,L6/K6)</f>
        <v/>
      </c>
      <c r="N6" s="87">
        <f>SUM($K$6:K6)</f>
        <v/>
      </c>
      <c r="O6" s="85">
        <f>SUM($L$6:L6)</f>
        <v/>
      </c>
      <c r="P6" s="86">
        <f>IF(N6=0,"",O6/N6)</f>
        <v/>
      </c>
      <c r="Q6" s="88">
        <f>IF(A6&gt;$S$2,"予定",IF(N6=0,"－",IF(P6&gt;=1,"完了",IF(O6&gt;=N6,"順調","遅延"))))</f>
        <v/>
      </c>
      <c r="R6" s="84">
        <f>D6+K6</f>
        <v/>
      </c>
      <c r="S6" s="89">
        <f>E6+L6</f>
        <v/>
      </c>
    </row>
    <row r="7">
      <c r="A7" s="81" t="n">
        <v>46077</v>
      </c>
      <c r="B7" s="82">
        <f>CHOOSE(WEEKDAY(A7,2),"月","火","水","木","金","土","日")</f>
        <v/>
      </c>
      <c r="C7" s="83">
        <f>IF(OR(WEEKDAY(A7,2)&gt;=6,COUNTIF(祝日マスタ!$A:$A,A7)&gt;0),"非営業日","営業日")</f>
        <v/>
      </c>
      <c r="D7" s="84">
        <f>COUNTIFS(明細!$F$5:$F$76,A7,明細!$D$5:$D$76,"運用")</f>
        <v/>
      </c>
      <c r="E7" s="85">
        <f>COUNTIFS(明細!$G$5:$G$76,A7,明細!$D$5:$D$76,"運用")</f>
        <v/>
      </c>
      <c r="F7" s="86">
        <f>IF(D7=0,0,E7/D7)</f>
        <v/>
      </c>
      <c r="G7" s="87">
        <f>SUM($D$6:D7)</f>
        <v/>
      </c>
      <c r="H7" s="85">
        <f>SUM($E$6:E7)</f>
        <v/>
      </c>
      <c r="I7" s="86">
        <f>IF(G7=0,"",H7/G7)</f>
        <v/>
      </c>
      <c r="J7" s="88">
        <f>IF(A7&gt;$S$2,"予定",IF(G7=0,"－",IF(I7&gt;=1,"完了",IF(H7&gt;=G7,"順調","遅延"))))</f>
        <v/>
      </c>
      <c r="K7" s="84">
        <f>COUNTIFS(明細!$I$5:$I$76,A7,明細!$D$5:$D$76,"運用")</f>
        <v/>
      </c>
      <c r="L7" s="85">
        <f>COUNTIFS(明細!$J$5:$J$76,A7,明細!$D$5:$D$76,"運用")</f>
        <v/>
      </c>
      <c r="M7" s="86">
        <f>IF(K7=0,0,L7/K7)</f>
        <v/>
      </c>
      <c r="N7" s="87">
        <f>SUM($K$6:K7)</f>
        <v/>
      </c>
      <c r="O7" s="85">
        <f>SUM($L$6:L7)</f>
        <v/>
      </c>
      <c r="P7" s="86">
        <f>IF(N7=0,"",O7/N7)</f>
        <v/>
      </c>
      <c r="Q7" s="88">
        <f>IF(A7&gt;$S$2,"予定",IF(N7=0,"－",IF(P7&gt;=1,"完了",IF(O7&gt;=N7,"順調","遅延"))))</f>
        <v/>
      </c>
      <c r="R7" s="84">
        <f>D7+K7</f>
        <v/>
      </c>
      <c r="S7" s="89">
        <f>E7+L7</f>
        <v/>
      </c>
    </row>
    <row r="8">
      <c r="A8" s="81" t="n">
        <v>46078</v>
      </c>
      <c r="B8" s="82">
        <f>CHOOSE(WEEKDAY(A8,2),"月","火","水","木","金","土","日")</f>
        <v/>
      </c>
      <c r="C8" s="83">
        <f>IF(OR(WEEKDAY(A8,2)&gt;=6,COUNTIF(祝日マスタ!$A:$A,A8)&gt;0),"非営業日","営業日")</f>
        <v/>
      </c>
      <c r="D8" s="84">
        <f>COUNTIFS(明細!$F$5:$F$76,A8,明細!$D$5:$D$76,"運用")</f>
        <v/>
      </c>
      <c r="E8" s="85">
        <f>COUNTIFS(明細!$G$5:$G$76,A8,明細!$D$5:$D$76,"運用")</f>
        <v/>
      </c>
      <c r="F8" s="86">
        <f>IF(D8=0,0,E8/D8)</f>
        <v/>
      </c>
      <c r="G8" s="87">
        <f>SUM($D$6:D8)</f>
        <v/>
      </c>
      <c r="H8" s="85">
        <f>SUM($E$6:E8)</f>
        <v/>
      </c>
      <c r="I8" s="86">
        <f>IF(G8=0,"",H8/G8)</f>
        <v/>
      </c>
      <c r="J8" s="88">
        <f>IF(A8&gt;$S$2,"予定",IF(G8=0,"－",IF(I8&gt;=1,"完了",IF(H8&gt;=G8,"順調","遅延"))))</f>
        <v/>
      </c>
      <c r="K8" s="84">
        <f>COUNTIFS(明細!$I$5:$I$76,A8,明細!$D$5:$D$76,"運用")</f>
        <v/>
      </c>
      <c r="L8" s="85">
        <f>COUNTIFS(明細!$J$5:$J$76,A8,明細!$D$5:$D$76,"運用")</f>
        <v/>
      </c>
      <c r="M8" s="86">
        <f>IF(K8=0,0,L8/K8)</f>
        <v/>
      </c>
      <c r="N8" s="87">
        <f>SUM($K$6:K8)</f>
        <v/>
      </c>
      <c r="O8" s="85">
        <f>SUM($L$6:L8)</f>
        <v/>
      </c>
      <c r="P8" s="86">
        <f>IF(N8=0,"",O8/N8)</f>
        <v/>
      </c>
      <c r="Q8" s="88">
        <f>IF(A8&gt;$S$2,"予定",IF(N8=0,"－",IF(P8&gt;=1,"完了",IF(O8&gt;=N8,"順調","遅延"))))</f>
        <v/>
      </c>
      <c r="R8" s="84">
        <f>D8+K8</f>
        <v/>
      </c>
      <c r="S8" s="89">
        <f>E8+L8</f>
        <v/>
      </c>
    </row>
    <row r="9">
      <c r="A9" s="81" t="n">
        <v>46079</v>
      </c>
      <c r="B9" s="82">
        <f>CHOOSE(WEEKDAY(A9,2),"月","火","水","木","金","土","日")</f>
        <v/>
      </c>
      <c r="C9" s="83">
        <f>IF(OR(WEEKDAY(A9,2)&gt;=6,COUNTIF(祝日マスタ!$A:$A,A9)&gt;0),"非営業日","営業日")</f>
        <v/>
      </c>
      <c r="D9" s="84">
        <f>COUNTIFS(明細!$F$5:$F$76,A9,明細!$D$5:$D$76,"運用")</f>
        <v/>
      </c>
      <c r="E9" s="85">
        <f>COUNTIFS(明細!$G$5:$G$76,A9,明細!$D$5:$D$76,"運用")</f>
        <v/>
      </c>
      <c r="F9" s="86">
        <f>IF(D9=0,0,E9/D9)</f>
        <v/>
      </c>
      <c r="G9" s="87">
        <f>SUM($D$6:D9)</f>
        <v/>
      </c>
      <c r="H9" s="85">
        <f>SUM($E$6:E9)</f>
        <v/>
      </c>
      <c r="I9" s="86">
        <f>IF(G9=0,"",H9/G9)</f>
        <v/>
      </c>
      <c r="J9" s="88">
        <f>IF(A9&gt;$S$2,"予定",IF(G9=0,"－",IF(I9&gt;=1,"完了",IF(H9&gt;=G9,"順調","遅延"))))</f>
        <v/>
      </c>
      <c r="K9" s="84">
        <f>COUNTIFS(明細!$I$5:$I$76,A9,明細!$D$5:$D$76,"運用")</f>
        <v/>
      </c>
      <c r="L9" s="85">
        <f>COUNTIFS(明細!$J$5:$J$76,A9,明細!$D$5:$D$76,"運用")</f>
        <v/>
      </c>
      <c r="M9" s="86">
        <f>IF(K9=0,0,L9/K9)</f>
        <v/>
      </c>
      <c r="N9" s="87">
        <f>SUM($K$6:K9)</f>
        <v/>
      </c>
      <c r="O9" s="85">
        <f>SUM($L$6:L9)</f>
        <v/>
      </c>
      <c r="P9" s="86">
        <f>IF(N9=0,"",O9/N9)</f>
        <v/>
      </c>
      <c r="Q9" s="88">
        <f>IF(A9&gt;$S$2,"予定",IF(N9=0,"－",IF(P9&gt;=1,"完了",IF(O9&gt;=N9,"順調","遅延"))))</f>
        <v/>
      </c>
      <c r="R9" s="84">
        <f>D9+K9</f>
        <v/>
      </c>
      <c r="S9" s="89">
        <f>E9+L9</f>
        <v/>
      </c>
    </row>
    <row r="10">
      <c r="A10" s="81" t="n">
        <v>46080</v>
      </c>
      <c r="B10" s="82">
        <f>CHOOSE(WEEKDAY(A10,2),"月","火","水","木","金","土","日")</f>
        <v/>
      </c>
      <c r="C10" s="83">
        <f>IF(OR(WEEKDAY(A10,2)&gt;=6,COUNTIF(祝日マスタ!$A:$A,A10)&gt;0),"非営業日","営業日")</f>
        <v/>
      </c>
      <c r="D10" s="84">
        <f>COUNTIFS(明細!$F$5:$F$76,A10,明細!$D$5:$D$76,"運用")</f>
        <v/>
      </c>
      <c r="E10" s="85">
        <f>COUNTIFS(明細!$G$5:$G$76,A10,明細!$D$5:$D$76,"運用")</f>
        <v/>
      </c>
      <c r="F10" s="86">
        <f>IF(D10=0,0,E10/D10)</f>
        <v/>
      </c>
      <c r="G10" s="87">
        <f>SUM($D$6:D10)</f>
        <v/>
      </c>
      <c r="H10" s="85">
        <f>SUM($E$6:E10)</f>
        <v/>
      </c>
      <c r="I10" s="86">
        <f>IF(G10=0,"",H10/G10)</f>
        <v/>
      </c>
      <c r="J10" s="88">
        <f>IF(A10&gt;$S$2,"予定",IF(G10=0,"－",IF(I10&gt;=1,"完了",IF(H10&gt;=G10,"順調","遅延"))))</f>
        <v/>
      </c>
      <c r="K10" s="84">
        <f>COUNTIFS(明細!$I$5:$I$76,A10,明細!$D$5:$D$76,"運用")</f>
        <v/>
      </c>
      <c r="L10" s="85">
        <f>COUNTIFS(明細!$J$5:$J$76,A10,明細!$D$5:$D$76,"運用")</f>
        <v/>
      </c>
      <c r="M10" s="86">
        <f>IF(K10=0,0,L10/K10)</f>
        <v/>
      </c>
      <c r="N10" s="87">
        <f>SUM($K$6:K10)</f>
        <v/>
      </c>
      <c r="O10" s="85">
        <f>SUM($L$6:L10)</f>
        <v/>
      </c>
      <c r="P10" s="86">
        <f>IF(N10=0,"",O10/N10)</f>
        <v/>
      </c>
      <c r="Q10" s="88">
        <f>IF(A10&gt;$S$2,"予定",IF(N10=0,"－",IF(P10&gt;=1,"完了",IF(O10&gt;=N10,"順調","遅延"))))</f>
        <v/>
      </c>
      <c r="R10" s="84">
        <f>D10+K10</f>
        <v/>
      </c>
      <c r="S10" s="89">
        <f>E10+L10</f>
        <v/>
      </c>
    </row>
    <row r="11">
      <c r="A11" s="81" t="n">
        <v>46081</v>
      </c>
      <c r="B11" s="82">
        <f>CHOOSE(WEEKDAY(A11,2),"月","火","水","木","金","土","日")</f>
        <v/>
      </c>
      <c r="C11" s="83">
        <f>IF(OR(WEEKDAY(A11,2)&gt;=6,COUNTIF(祝日マスタ!$A:$A,A11)&gt;0),"非営業日","営業日")</f>
        <v/>
      </c>
      <c r="D11" s="84">
        <f>COUNTIFS(明細!$F$5:$F$76,A11,明細!$D$5:$D$76,"運用")</f>
        <v/>
      </c>
      <c r="E11" s="85">
        <f>COUNTIFS(明細!$G$5:$G$76,A11,明細!$D$5:$D$76,"運用")</f>
        <v/>
      </c>
      <c r="F11" s="86">
        <f>IF(D11=0,0,E11/D11)</f>
        <v/>
      </c>
      <c r="G11" s="87">
        <f>SUM($D$6:D11)</f>
        <v/>
      </c>
      <c r="H11" s="85">
        <f>SUM($E$6:E11)</f>
        <v/>
      </c>
      <c r="I11" s="86">
        <f>IF(G11=0,"",H11/G11)</f>
        <v/>
      </c>
      <c r="J11" s="88">
        <f>IF(A11&gt;$S$2,"予定",IF(G11=0,"－",IF(I11&gt;=1,"完了",IF(H11&gt;=G11,"順調","遅延"))))</f>
        <v/>
      </c>
      <c r="K11" s="84">
        <f>COUNTIFS(明細!$I$5:$I$76,A11,明細!$D$5:$D$76,"運用")</f>
        <v/>
      </c>
      <c r="L11" s="85">
        <f>COUNTIFS(明細!$J$5:$J$76,A11,明細!$D$5:$D$76,"運用")</f>
        <v/>
      </c>
      <c r="M11" s="86">
        <f>IF(K11=0,0,L11/K11)</f>
        <v/>
      </c>
      <c r="N11" s="87">
        <f>SUM($K$6:K11)</f>
        <v/>
      </c>
      <c r="O11" s="85">
        <f>SUM($L$6:L11)</f>
        <v/>
      </c>
      <c r="P11" s="86">
        <f>IF(N11=0,"",O11/N11)</f>
        <v/>
      </c>
      <c r="Q11" s="88">
        <f>IF(A11&gt;$S$2,"予定",IF(N11=0,"－",IF(P11&gt;=1,"完了",IF(O11&gt;=N11,"順調","遅延"))))</f>
        <v/>
      </c>
      <c r="R11" s="84">
        <f>D11+K11</f>
        <v/>
      </c>
      <c r="S11" s="89">
        <f>E11+L11</f>
        <v/>
      </c>
    </row>
    <row r="12">
      <c r="A12" s="81" t="n">
        <v>46082</v>
      </c>
      <c r="B12" s="82">
        <f>CHOOSE(WEEKDAY(A12,2),"月","火","水","木","金","土","日")</f>
        <v/>
      </c>
      <c r="C12" s="83">
        <f>IF(OR(WEEKDAY(A12,2)&gt;=6,COUNTIF(祝日マスタ!$A:$A,A12)&gt;0),"非営業日","営業日")</f>
        <v/>
      </c>
      <c r="D12" s="84">
        <f>COUNTIFS(明細!$F$5:$F$76,A12,明細!$D$5:$D$76,"運用")</f>
        <v/>
      </c>
      <c r="E12" s="85">
        <f>COUNTIFS(明細!$G$5:$G$76,A12,明細!$D$5:$D$76,"運用")</f>
        <v/>
      </c>
      <c r="F12" s="86">
        <f>IF(D12=0,0,E12/D12)</f>
        <v/>
      </c>
      <c r="G12" s="87">
        <f>SUM($D$6:D12)</f>
        <v/>
      </c>
      <c r="H12" s="85">
        <f>SUM($E$6:E12)</f>
        <v/>
      </c>
      <c r="I12" s="86">
        <f>IF(G12=0,"",H12/G12)</f>
        <v/>
      </c>
      <c r="J12" s="88">
        <f>IF(A12&gt;$S$2,"予定",IF(G12=0,"－",IF(I12&gt;=1,"完了",IF(H12&gt;=G12,"順調","遅延"))))</f>
        <v/>
      </c>
      <c r="K12" s="84">
        <f>COUNTIFS(明細!$I$5:$I$76,A12,明細!$D$5:$D$76,"運用")</f>
        <v/>
      </c>
      <c r="L12" s="85">
        <f>COUNTIFS(明細!$J$5:$J$76,A12,明細!$D$5:$D$76,"運用")</f>
        <v/>
      </c>
      <c r="M12" s="86">
        <f>IF(K12=0,0,L12/K12)</f>
        <v/>
      </c>
      <c r="N12" s="87">
        <f>SUM($K$6:K12)</f>
        <v/>
      </c>
      <c r="O12" s="85">
        <f>SUM($L$6:L12)</f>
        <v/>
      </c>
      <c r="P12" s="86">
        <f>IF(N12=0,"",O12/N12)</f>
        <v/>
      </c>
      <c r="Q12" s="88">
        <f>IF(A12&gt;$S$2,"予定",IF(N12=0,"－",IF(P12&gt;=1,"完了",IF(O12&gt;=N12,"順調","遅延"))))</f>
        <v/>
      </c>
      <c r="R12" s="84">
        <f>D12+K12</f>
        <v/>
      </c>
      <c r="S12" s="89">
        <f>E12+L12</f>
        <v/>
      </c>
    </row>
    <row r="13">
      <c r="A13" s="81" t="n">
        <v>46083</v>
      </c>
      <c r="B13" s="82">
        <f>CHOOSE(WEEKDAY(A13,2),"月","火","水","木","金","土","日")</f>
        <v/>
      </c>
      <c r="C13" s="83">
        <f>IF(OR(WEEKDAY(A13,2)&gt;=6,COUNTIF(祝日マスタ!$A:$A,A13)&gt;0),"非営業日","営業日")</f>
        <v/>
      </c>
      <c r="D13" s="84">
        <f>COUNTIFS(明細!$F$5:$F$76,A13,明細!$D$5:$D$76,"運用")</f>
        <v/>
      </c>
      <c r="E13" s="85">
        <f>COUNTIFS(明細!$G$5:$G$76,A13,明細!$D$5:$D$76,"運用")</f>
        <v/>
      </c>
      <c r="F13" s="86">
        <f>IF(D13=0,0,E13/D13)</f>
        <v/>
      </c>
      <c r="G13" s="87">
        <f>SUM($D$6:D13)</f>
        <v/>
      </c>
      <c r="H13" s="85">
        <f>SUM($E$6:E13)</f>
        <v/>
      </c>
      <c r="I13" s="86">
        <f>IF(G13=0,"",H13/G13)</f>
        <v/>
      </c>
      <c r="J13" s="88">
        <f>IF(A13&gt;$S$2,"予定",IF(G13=0,"－",IF(I13&gt;=1,"完了",IF(H13&gt;=G13,"順調","遅延"))))</f>
        <v/>
      </c>
      <c r="K13" s="84">
        <f>COUNTIFS(明細!$I$5:$I$76,A13,明細!$D$5:$D$76,"運用")</f>
        <v/>
      </c>
      <c r="L13" s="85">
        <f>COUNTIFS(明細!$J$5:$J$76,A13,明細!$D$5:$D$76,"運用")</f>
        <v/>
      </c>
      <c r="M13" s="86">
        <f>IF(K13=0,0,L13/K13)</f>
        <v/>
      </c>
      <c r="N13" s="87">
        <f>SUM($K$6:K13)</f>
        <v/>
      </c>
      <c r="O13" s="85">
        <f>SUM($L$6:L13)</f>
        <v/>
      </c>
      <c r="P13" s="86">
        <f>IF(N13=0,"",O13/N13)</f>
        <v/>
      </c>
      <c r="Q13" s="88">
        <f>IF(A13&gt;$S$2,"予定",IF(N13=0,"－",IF(P13&gt;=1,"完了",IF(O13&gt;=N13,"順調","遅延"))))</f>
        <v/>
      </c>
      <c r="R13" s="84">
        <f>D13+K13</f>
        <v/>
      </c>
      <c r="S13" s="89">
        <f>E13+L13</f>
        <v/>
      </c>
    </row>
    <row r="14">
      <c r="A14" s="81" t="n">
        <v>46084</v>
      </c>
      <c r="B14" s="82">
        <f>CHOOSE(WEEKDAY(A14,2),"月","火","水","木","金","土","日")</f>
        <v/>
      </c>
      <c r="C14" s="83">
        <f>IF(OR(WEEKDAY(A14,2)&gt;=6,COUNTIF(祝日マスタ!$A:$A,A14)&gt;0),"非営業日","営業日")</f>
        <v/>
      </c>
      <c r="D14" s="84">
        <f>COUNTIFS(明細!$F$5:$F$76,A14,明細!$D$5:$D$76,"運用")</f>
        <v/>
      </c>
      <c r="E14" s="85">
        <f>COUNTIFS(明細!$G$5:$G$76,A14,明細!$D$5:$D$76,"運用")</f>
        <v/>
      </c>
      <c r="F14" s="86">
        <f>IF(D14=0,0,E14/D14)</f>
        <v/>
      </c>
      <c r="G14" s="87">
        <f>SUM($D$6:D14)</f>
        <v/>
      </c>
      <c r="H14" s="85">
        <f>SUM($E$6:E14)</f>
        <v/>
      </c>
      <c r="I14" s="86">
        <f>IF(G14=0,"",H14/G14)</f>
        <v/>
      </c>
      <c r="J14" s="88">
        <f>IF(A14&gt;$S$2,"予定",IF(G14=0,"－",IF(I14&gt;=1,"完了",IF(H14&gt;=G14,"順調","遅延"))))</f>
        <v/>
      </c>
      <c r="K14" s="84">
        <f>COUNTIFS(明細!$I$5:$I$76,A14,明細!$D$5:$D$76,"運用")</f>
        <v/>
      </c>
      <c r="L14" s="85">
        <f>COUNTIFS(明細!$J$5:$J$76,A14,明細!$D$5:$D$76,"運用")</f>
        <v/>
      </c>
      <c r="M14" s="86">
        <f>IF(K14=0,0,L14/K14)</f>
        <v/>
      </c>
      <c r="N14" s="87">
        <f>SUM($K$6:K14)</f>
        <v/>
      </c>
      <c r="O14" s="85">
        <f>SUM($L$6:L14)</f>
        <v/>
      </c>
      <c r="P14" s="86">
        <f>IF(N14=0,"",O14/N14)</f>
        <v/>
      </c>
      <c r="Q14" s="88">
        <f>IF(A14&gt;$S$2,"予定",IF(N14=0,"－",IF(P14&gt;=1,"完了",IF(O14&gt;=N14,"順調","遅延"))))</f>
        <v/>
      </c>
      <c r="R14" s="84">
        <f>D14+K14</f>
        <v/>
      </c>
      <c r="S14" s="89">
        <f>E14+L14</f>
        <v/>
      </c>
    </row>
    <row r="15">
      <c r="A15" s="81" t="n">
        <v>46085</v>
      </c>
      <c r="B15" s="82">
        <f>CHOOSE(WEEKDAY(A15,2),"月","火","水","木","金","土","日")</f>
        <v/>
      </c>
      <c r="C15" s="83">
        <f>IF(OR(WEEKDAY(A15,2)&gt;=6,COUNTIF(祝日マスタ!$A:$A,A15)&gt;0),"非営業日","営業日")</f>
        <v/>
      </c>
      <c r="D15" s="84">
        <f>COUNTIFS(明細!$F$5:$F$76,A15,明細!$D$5:$D$76,"運用")</f>
        <v/>
      </c>
      <c r="E15" s="85">
        <f>COUNTIFS(明細!$G$5:$G$76,A15,明細!$D$5:$D$76,"運用")</f>
        <v/>
      </c>
      <c r="F15" s="86">
        <f>IF(D15=0,0,E15/D15)</f>
        <v/>
      </c>
      <c r="G15" s="87">
        <f>SUM($D$6:D15)</f>
        <v/>
      </c>
      <c r="H15" s="85">
        <f>SUM($E$6:E15)</f>
        <v/>
      </c>
      <c r="I15" s="86">
        <f>IF(G15=0,"",H15/G15)</f>
        <v/>
      </c>
      <c r="J15" s="88">
        <f>IF(A15&gt;$S$2,"予定",IF(G15=0,"－",IF(I15&gt;=1,"完了",IF(H15&gt;=G15,"順調","遅延"))))</f>
        <v/>
      </c>
      <c r="K15" s="84">
        <f>COUNTIFS(明細!$I$5:$I$76,A15,明細!$D$5:$D$76,"運用")</f>
        <v/>
      </c>
      <c r="L15" s="85">
        <f>COUNTIFS(明細!$J$5:$J$76,A15,明細!$D$5:$D$76,"運用")</f>
        <v/>
      </c>
      <c r="M15" s="86">
        <f>IF(K15=0,0,L15/K15)</f>
        <v/>
      </c>
      <c r="N15" s="87">
        <f>SUM($K$6:K15)</f>
        <v/>
      </c>
      <c r="O15" s="85">
        <f>SUM($L$6:L15)</f>
        <v/>
      </c>
      <c r="P15" s="86">
        <f>IF(N15=0,"",O15/N15)</f>
        <v/>
      </c>
      <c r="Q15" s="88">
        <f>IF(A15&gt;$S$2,"予定",IF(N15=0,"－",IF(P15&gt;=1,"完了",IF(O15&gt;=N15,"順調","遅延"))))</f>
        <v/>
      </c>
      <c r="R15" s="84">
        <f>D15+K15</f>
        <v/>
      </c>
      <c r="S15" s="89">
        <f>E15+L15</f>
        <v/>
      </c>
    </row>
    <row r="16">
      <c r="A16" s="81" t="n">
        <v>46086</v>
      </c>
      <c r="B16" s="82">
        <f>CHOOSE(WEEKDAY(A16,2),"月","火","水","木","金","土","日")</f>
        <v/>
      </c>
      <c r="C16" s="83">
        <f>IF(OR(WEEKDAY(A16,2)&gt;=6,COUNTIF(祝日マスタ!$A:$A,A16)&gt;0),"非営業日","営業日")</f>
        <v/>
      </c>
      <c r="D16" s="84">
        <f>COUNTIFS(明細!$F$5:$F$76,A16,明細!$D$5:$D$76,"運用")</f>
        <v/>
      </c>
      <c r="E16" s="85">
        <f>COUNTIFS(明細!$G$5:$G$76,A16,明細!$D$5:$D$76,"運用")</f>
        <v/>
      </c>
      <c r="F16" s="86">
        <f>IF(D16=0,0,E16/D16)</f>
        <v/>
      </c>
      <c r="G16" s="87">
        <f>SUM($D$6:D16)</f>
        <v/>
      </c>
      <c r="H16" s="85">
        <f>SUM($E$6:E16)</f>
        <v/>
      </c>
      <c r="I16" s="86">
        <f>IF(G16=0,"",H16/G16)</f>
        <v/>
      </c>
      <c r="J16" s="88">
        <f>IF(A16&gt;$S$2,"予定",IF(G16=0,"－",IF(I16&gt;=1,"完了",IF(H16&gt;=G16,"順調","遅延"))))</f>
        <v/>
      </c>
      <c r="K16" s="84">
        <f>COUNTIFS(明細!$I$5:$I$76,A16,明細!$D$5:$D$76,"運用")</f>
        <v/>
      </c>
      <c r="L16" s="85">
        <f>COUNTIFS(明細!$J$5:$J$76,A16,明細!$D$5:$D$76,"運用")</f>
        <v/>
      </c>
      <c r="M16" s="86">
        <f>IF(K16=0,0,L16/K16)</f>
        <v/>
      </c>
      <c r="N16" s="87">
        <f>SUM($K$6:K16)</f>
        <v/>
      </c>
      <c r="O16" s="85">
        <f>SUM($L$6:L16)</f>
        <v/>
      </c>
      <c r="P16" s="86">
        <f>IF(N16=0,"",O16/N16)</f>
        <v/>
      </c>
      <c r="Q16" s="88">
        <f>IF(A16&gt;$S$2,"予定",IF(N16=0,"－",IF(P16&gt;=1,"完了",IF(O16&gt;=N16,"順調","遅延"))))</f>
        <v/>
      </c>
      <c r="R16" s="84">
        <f>D16+K16</f>
        <v/>
      </c>
      <c r="S16" s="89">
        <f>E16+L16</f>
        <v/>
      </c>
    </row>
    <row r="17">
      <c r="A17" s="81" t="n">
        <v>46087</v>
      </c>
      <c r="B17" s="82">
        <f>CHOOSE(WEEKDAY(A17,2),"月","火","水","木","金","土","日")</f>
        <v/>
      </c>
      <c r="C17" s="83">
        <f>IF(OR(WEEKDAY(A17,2)&gt;=6,COUNTIF(祝日マスタ!$A:$A,A17)&gt;0),"非営業日","営業日")</f>
        <v/>
      </c>
      <c r="D17" s="84">
        <f>COUNTIFS(明細!$F$5:$F$76,A17,明細!$D$5:$D$76,"運用")</f>
        <v/>
      </c>
      <c r="E17" s="85">
        <f>COUNTIFS(明細!$G$5:$G$76,A17,明細!$D$5:$D$76,"運用")</f>
        <v/>
      </c>
      <c r="F17" s="86">
        <f>IF(D17=0,0,E17/D17)</f>
        <v/>
      </c>
      <c r="G17" s="87">
        <f>SUM($D$6:D17)</f>
        <v/>
      </c>
      <c r="H17" s="85">
        <f>SUM($E$6:E17)</f>
        <v/>
      </c>
      <c r="I17" s="86">
        <f>IF(G17=0,"",H17/G17)</f>
        <v/>
      </c>
      <c r="J17" s="88">
        <f>IF(A17&gt;$S$2,"予定",IF(G17=0,"－",IF(I17&gt;=1,"完了",IF(H17&gt;=G17,"順調","遅延"))))</f>
        <v/>
      </c>
      <c r="K17" s="84">
        <f>COUNTIFS(明細!$I$5:$I$76,A17,明細!$D$5:$D$76,"運用")</f>
        <v/>
      </c>
      <c r="L17" s="85">
        <f>COUNTIFS(明細!$J$5:$J$76,A17,明細!$D$5:$D$76,"運用")</f>
        <v/>
      </c>
      <c r="M17" s="86">
        <f>IF(K17=0,0,L17/K17)</f>
        <v/>
      </c>
      <c r="N17" s="87">
        <f>SUM($K$6:K17)</f>
        <v/>
      </c>
      <c r="O17" s="85">
        <f>SUM($L$6:L17)</f>
        <v/>
      </c>
      <c r="P17" s="86">
        <f>IF(N17=0,"",O17/N17)</f>
        <v/>
      </c>
      <c r="Q17" s="88">
        <f>IF(A17&gt;$S$2,"予定",IF(N17=0,"－",IF(P17&gt;=1,"完了",IF(O17&gt;=N17,"順調","遅延"))))</f>
        <v/>
      </c>
      <c r="R17" s="84">
        <f>D17+K17</f>
        <v/>
      </c>
      <c r="S17" s="89">
        <f>E17+L17</f>
        <v/>
      </c>
    </row>
    <row r="18">
      <c r="A18" s="81" t="n">
        <v>46088</v>
      </c>
      <c r="B18" s="82">
        <f>CHOOSE(WEEKDAY(A18,2),"月","火","水","木","金","土","日")</f>
        <v/>
      </c>
      <c r="C18" s="83">
        <f>IF(OR(WEEKDAY(A18,2)&gt;=6,COUNTIF(祝日マスタ!$A:$A,A18)&gt;0),"非営業日","営業日")</f>
        <v/>
      </c>
      <c r="D18" s="84">
        <f>COUNTIFS(明細!$F$5:$F$76,A18,明細!$D$5:$D$76,"運用")</f>
        <v/>
      </c>
      <c r="E18" s="85">
        <f>COUNTIFS(明細!$G$5:$G$76,A18,明細!$D$5:$D$76,"運用")</f>
        <v/>
      </c>
      <c r="F18" s="86">
        <f>IF(D18=0,0,E18/D18)</f>
        <v/>
      </c>
      <c r="G18" s="87">
        <f>SUM($D$6:D18)</f>
        <v/>
      </c>
      <c r="H18" s="85">
        <f>SUM($E$6:E18)</f>
        <v/>
      </c>
      <c r="I18" s="86">
        <f>IF(G18=0,"",H18/G18)</f>
        <v/>
      </c>
      <c r="J18" s="88">
        <f>IF(A18&gt;$S$2,"予定",IF(G18=0,"－",IF(I18&gt;=1,"完了",IF(H18&gt;=G18,"順調","遅延"))))</f>
        <v/>
      </c>
      <c r="K18" s="84">
        <f>COUNTIFS(明細!$I$5:$I$76,A18,明細!$D$5:$D$76,"運用")</f>
        <v/>
      </c>
      <c r="L18" s="85">
        <f>COUNTIFS(明細!$J$5:$J$76,A18,明細!$D$5:$D$76,"運用")</f>
        <v/>
      </c>
      <c r="M18" s="86">
        <f>IF(K18=0,0,L18/K18)</f>
        <v/>
      </c>
      <c r="N18" s="87">
        <f>SUM($K$6:K18)</f>
        <v/>
      </c>
      <c r="O18" s="85">
        <f>SUM($L$6:L18)</f>
        <v/>
      </c>
      <c r="P18" s="86">
        <f>IF(N18=0,"",O18/N18)</f>
        <v/>
      </c>
      <c r="Q18" s="88">
        <f>IF(A18&gt;$S$2,"予定",IF(N18=0,"－",IF(P18&gt;=1,"完了",IF(O18&gt;=N18,"順調","遅延"))))</f>
        <v/>
      </c>
      <c r="R18" s="84">
        <f>D18+K18</f>
        <v/>
      </c>
      <c r="S18" s="89">
        <f>E18+L18</f>
        <v/>
      </c>
    </row>
    <row r="19">
      <c r="A19" s="81" t="n">
        <v>46089</v>
      </c>
      <c r="B19" s="82">
        <f>CHOOSE(WEEKDAY(A19,2),"月","火","水","木","金","土","日")</f>
        <v/>
      </c>
      <c r="C19" s="83">
        <f>IF(OR(WEEKDAY(A19,2)&gt;=6,COUNTIF(祝日マスタ!$A:$A,A19)&gt;0),"非営業日","営業日")</f>
        <v/>
      </c>
      <c r="D19" s="84">
        <f>COUNTIFS(明細!$F$5:$F$76,A19,明細!$D$5:$D$76,"運用")</f>
        <v/>
      </c>
      <c r="E19" s="85">
        <f>COUNTIFS(明細!$G$5:$G$76,A19,明細!$D$5:$D$76,"運用")</f>
        <v/>
      </c>
      <c r="F19" s="86">
        <f>IF(D19=0,0,E19/D19)</f>
        <v/>
      </c>
      <c r="G19" s="87">
        <f>SUM($D$6:D19)</f>
        <v/>
      </c>
      <c r="H19" s="85">
        <f>SUM($E$6:E19)</f>
        <v/>
      </c>
      <c r="I19" s="86">
        <f>IF(G19=0,"",H19/G19)</f>
        <v/>
      </c>
      <c r="J19" s="88">
        <f>IF(A19&gt;$S$2,"予定",IF(G19=0,"－",IF(I19&gt;=1,"完了",IF(H19&gt;=G19,"順調","遅延"))))</f>
        <v/>
      </c>
      <c r="K19" s="84">
        <f>COUNTIFS(明細!$I$5:$I$76,A19,明細!$D$5:$D$76,"運用")</f>
        <v/>
      </c>
      <c r="L19" s="85">
        <f>COUNTIFS(明細!$J$5:$J$76,A19,明細!$D$5:$D$76,"運用")</f>
        <v/>
      </c>
      <c r="M19" s="86">
        <f>IF(K19=0,0,L19/K19)</f>
        <v/>
      </c>
      <c r="N19" s="87">
        <f>SUM($K$6:K19)</f>
        <v/>
      </c>
      <c r="O19" s="85">
        <f>SUM($L$6:L19)</f>
        <v/>
      </c>
      <c r="P19" s="86">
        <f>IF(N19=0,"",O19/N19)</f>
        <v/>
      </c>
      <c r="Q19" s="88">
        <f>IF(A19&gt;$S$2,"予定",IF(N19=0,"－",IF(P19&gt;=1,"完了",IF(O19&gt;=N19,"順調","遅延"))))</f>
        <v/>
      </c>
      <c r="R19" s="84">
        <f>D19+K19</f>
        <v/>
      </c>
      <c r="S19" s="89">
        <f>E19+L19</f>
        <v/>
      </c>
    </row>
    <row r="20">
      <c r="A20" s="81" t="n">
        <v>46090</v>
      </c>
      <c r="B20" s="82">
        <f>CHOOSE(WEEKDAY(A20,2),"月","火","水","木","金","土","日")</f>
        <v/>
      </c>
      <c r="C20" s="83">
        <f>IF(OR(WEEKDAY(A20,2)&gt;=6,COUNTIF(祝日マスタ!$A:$A,A20)&gt;0),"非営業日","営業日")</f>
        <v/>
      </c>
      <c r="D20" s="84">
        <f>COUNTIFS(明細!$F$5:$F$76,A20,明細!$D$5:$D$76,"運用")</f>
        <v/>
      </c>
      <c r="E20" s="85">
        <f>COUNTIFS(明細!$G$5:$G$76,A20,明細!$D$5:$D$76,"運用")</f>
        <v/>
      </c>
      <c r="F20" s="86">
        <f>IF(D20=0,0,E20/D20)</f>
        <v/>
      </c>
      <c r="G20" s="87">
        <f>SUM($D$6:D20)</f>
        <v/>
      </c>
      <c r="H20" s="85">
        <f>SUM($E$6:E20)</f>
        <v/>
      </c>
      <c r="I20" s="86">
        <f>IF(G20=0,"",H20/G20)</f>
        <v/>
      </c>
      <c r="J20" s="88">
        <f>IF(A20&gt;$S$2,"予定",IF(G20=0,"－",IF(I20&gt;=1,"完了",IF(H20&gt;=G20,"順調","遅延"))))</f>
        <v/>
      </c>
      <c r="K20" s="84">
        <f>COUNTIFS(明細!$I$5:$I$76,A20,明細!$D$5:$D$76,"運用")</f>
        <v/>
      </c>
      <c r="L20" s="85">
        <f>COUNTIFS(明細!$J$5:$J$76,A20,明細!$D$5:$D$76,"運用")</f>
        <v/>
      </c>
      <c r="M20" s="86">
        <f>IF(K20=0,0,L20/K20)</f>
        <v/>
      </c>
      <c r="N20" s="87">
        <f>SUM($K$6:K20)</f>
        <v/>
      </c>
      <c r="O20" s="85">
        <f>SUM($L$6:L20)</f>
        <v/>
      </c>
      <c r="P20" s="86">
        <f>IF(N20=0,"",O20/N20)</f>
        <v/>
      </c>
      <c r="Q20" s="88">
        <f>IF(A20&gt;$S$2,"予定",IF(N20=0,"－",IF(P20&gt;=1,"完了",IF(O20&gt;=N20,"順調","遅延"))))</f>
        <v/>
      </c>
      <c r="R20" s="84">
        <f>D20+K20</f>
        <v/>
      </c>
      <c r="S20" s="89">
        <f>E20+L20</f>
        <v/>
      </c>
    </row>
    <row r="21">
      <c r="A21" s="81" t="n">
        <v>46091</v>
      </c>
      <c r="B21" s="82">
        <f>CHOOSE(WEEKDAY(A21,2),"月","火","水","木","金","土","日")</f>
        <v/>
      </c>
      <c r="C21" s="83">
        <f>IF(OR(WEEKDAY(A21,2)&gt;=6,COUNTIF(祝日マスタ!$A:$A,A21)&gt;0),"非営業日","営業日")</f>
        <v/>
      </c>
      <c r="D21" s="84">
        <f>COUNTIFS(明細!$F$5:$F$76,A21,明細!$D$5:$D$76,"運用")</f>
        <v/>
      </c>
      <c r="E21" s="85">
        <f>COUNTIFS(明細!$G$5:$G$76,A21,明細!$D$5:$D$76,"運用")</f>
        <v/>
      </c>
      <c r="F21" s="86">
        <f>IF(D21=0,0,E21/D21)</f>
        <v/>
      </c>
      <c r="G21" s="87">
        <f>SUM($D$6:D21)</f>
        <v/>
      </c>
      <c r="H21" s="85">
        <f>SUM($E$6:E21)</f>
        <v/>
      </c>
      <c r="I21" s="86">
        <f>IF(G21=0,"",H21/G21)</f>
        <v/>
      </c>
      <c r="J21" s="88">
        <f>IF(A21&gt;$S$2,"予定",IF(G21=0,"－",IF(I21&gt;=1,"完了",IF(H21&gt;=G21,"順調","遅延"))))</f>
        <v/>
      </c>
      <c r="K21" s="84">
        <f>COUNTIFS(明細!$I$5:$I$76,A21,明細!$D$5:$D$76,"運用")</f>
        <v/>
      </c>
      <c r="L21" s="85">
        <f>COUNTIFS(明細!$J$5:$J$76,A21,明細!$D$5:$D$76,"運用")</f>
        <v/>
      </c>
      <c r="M21" s="86">
        <f>IF(K21=0,0,L21/K21)</f>
        <v/>
      </c>
      <c r="N21" s="87">
        <f>SUM($K$6:K21)</f>
        <v/>
      </c>
      <c r="O21" s="85">
        <f>SUM($L$6:L21)</f>
        <v/>
      </c>
      <c r="P21" s="86">
        <f>IF(N21=0,"",O21/N21)</f>
        <v/>
      </c>
      <c r="Q21" s="88">
        <f>IF(A21&gt;$S$2,"予定",IF(N21=0,"－",IF(P21&gt;=1,"完了",IF(O21&gt;=N21,"順調","遅延"))))</f>
        <v/>
      </c>
      <c r="R21" s="84">
        <f>D21+K21</f>
        <v/>
      </c>
      <c r="S21" s="89">
        <f>E21+L21</f>
        <v/>
      </c>
    </row>
    <row r="22">
      <c r="A22" s="81" t="n">
        <v>46092</v>
      </c>
      <c r="B22" s="82">
        <f>CHOOSE(WEEKDAY(A22,2),"月","火","水","木","金","土","日")</f>
        <v/>
      </c>
      <c r="C22" s="83">
        <f>IF(OR(WEEKDAY(A22,2)&gt;=6,COUNTIF(祝日マスタ!$A:$A,A22)&gt;0),"非営業日","営業日")</f>
        <v/>
      </c>
      <c r="D22" s="84">
        <f>COUNTIFS(明細!$F$5:$F$76,A22,明細!$D$5:$D$76,"運用")</f>
        <v/>
      </c>
      <c r="E22" s="85">
        <f>COUNTIFS(明細!$G$5:$G$76,A22,明細!$D$5:$D$76,"運用")</f>
        <v/>
      </c>
      <c r="F22" s="86">
        <f>IF(D22=0,0,E22/D22)</f>
        <v/>
      </c>
      <c r="G22" s="87">
        <f>SUM($D$6:D22)</f>
        <v/>
      </c>
      <c r="H22" s="85">
        <f>SUM($E$6:E22)</f>
        <v/>
      </c>
      <c r="I22" s="86">
        <f>IF(G22=0,"",H22/G22)</f>
        <v/>
      </c>
      <c r="J22" s="88">
        <f>IF(A22&gt;$S$2,"予定",IF(G22=0,"－",IF(I22&gt;=1,"完了",IF(H22&gt;=G22,"順調","遅延"))))</f>
        <v/>
      </c>
      <c r="K22" s="84">
        <f>COUNTIFS(明細!$I$5:$I$76,A22,明細!$D$5:$D$76,"運用")</f>
        <v/>
      </c>
      <c r="L22" s="85">
        <f>COUNTIFS(明細!$J$5:$J$76,A22,明細!$D$5:$D$76,"運用")</f>
        <v/>
      </c>
      <c r="M22" s="86">
        <f>IF(K22=0,0,L22/K22)</f>
        <v/>
      </c>
      <c r="N22" s="87">
        <f>SUM($K$6:K22)</f>
        <v/>
      </c>
      <c r="O22" s="85">
        <f>SUM($L$6:L22)</f>
        <v/>
      </c>
      <c r="P22" s="86">
        <f>IF(N22=0,"",O22/N22)</f>
        <v/>
      </c>
      <c r="Q22" s="88">
        <f>IF(A22&gt;$S$2,"予定",IF(N22=0,"－",IF(P22&gt;=1,"完了",IF(O22&gt;=N22,"順調","遅延"))))</f>
        <v/>
      </c>
      <c r="R22" s="84">
        <f>D22+K22</f>
        <v/>
      </c>
      <c r="S22" s="89">
        <f>E22+L22</f>
        <v/>
      </c>
    </row>
    <row r="23">
      <c r="A23" s="81" t="n">
        <v>46093</v>
      </c>
      <c r="B23" s="82">
        <f>CHOOSE(WEEKDAY(A23,2),"月","火","水","木","金","土","日")</f>
        <v/>
      </c>
      <c r="C23" s="83">
        <f>IF(OR(WEEKDAY(A23,2)&gt;=6,COUNTIF(祝日マスタ!$A:$A,A23)&gt;0),"非営業日","営業日")</f>
        <v/>
      </c>
      <c r="D23" s="84">
        <f>COUNTIFS(明細!$F$5:$F$76,A23,明細!$D$5:$D$76,"運用")</f>
        <v/>
      </c>
      <c r="E23" s="85">
        <f>COUNTIFS(明細!$G$5:$G$76,A23,明細!$D$5:$D$76,"運用")</f>
        <v/>
      </c>
      <c r="F23" s="86">
        <f>IF(D23=0,0,E23/D23)</f>
        <v/>
      </c>
      <c r="G23" s="87">
        <f>SUM($D$6:D23)</f>
        <v/>
      </c>
      <c r="H23" s="85">
        <f>SUM($E$6:E23)</f>
        <v/>
      </c>
      <c r="I23" s="86">
        <f>IF(G23=0,"",H23/G23)</f>
        <v/>
      </c>
      <c r="J23" s="88">
        <f>IF(A23&gt;$S$2,"予定",IF(G23=0,"－",IF(I23&gt;=1,"完了",IF(H23&gt;=G23,"順調","遅延"))))</f>
        <v/>
      </c>
      <c r="K23" s="84">
        <f>COUNTIFS(明細!$I$5:$I$76,A23,明細!$D$5:$D$76,"運用")</f>
        <v/>
      </c>
      <c r="L23" s="85">
        <f>COUNTIFS(明細!$J$5:$J$76,A23,明細!$D$5:$D$76,"運用")</f>
        <v/>
      </c>
      <c r="M23" s="86">
        <f>IF(K23=0,0,L23/K23)</f>
        <v/>
      </c>
      <c r="N23" s="87">
        <f>SUM($K$6:K23)</f>
        <v/>
      </c>
      <c r="O23" s="85">
        <f>SUM($L$6:L23)</f>
        <v/>
      </c>
      <c r="P23" s="86">
        <f>IF(N23=0,"",O23/N23)</f>
        <v/>
      </c>
      <c r="Q23" s="88">
        <f>IF(A23&gt;$S$2,"予定",IF(N23=0,"－",IF(P23&gt;=1,"完了",IF(O23&gt;=N23,"順調","遅延"))))</f>
        <v/>
      </c>
      <c r="R23" s="84">
        <f>D23+K23</f>
        <v/>
      </c>
      <c r="S23" s="89">
        <f>E23+L23</f>
        <v/>
      </c>
    </row>
    <row r="24">
      <c r="A24" s="81" t="n">
        <v>46094</v>
      </c>
      <c r="B24" s="82">
        <f>CHOOSE(WEEKDAY(A24,2),"月","火","水","木","金","土","日")</f>
        <v/>
      </c>
      <c r="C24" s="83">
        <f>IF(OR(WEEKDAY(A24,2)&gt;=6,COUNTIF(祝日マスタ!$A:$A,A24)&gt;0),"非営業日","営業日")</f>
        <v/>
      </c>
      <c r="D24" s="84">
        <f>COUNTIFS(明細!$F$5:$F$76,A24,明細!$D$5:$D$76,"運用")</f>
        <v/>
      </c>
      <c r="E24" s="85">
        <f>COUNTIFS(明細!$G$5:$G$76,A24,明細!$D$5:$D$76,"運用")</f>
        <v/>
      </c>
      <c r="F24" s="86">
        <f>IF(D24=0,0,E24/D24)</f>
        <v/>
      </c>
      <c r="G24" s="87">
        <f>SUM($D$6:D24)</f>
        <v/>
      </c>
      <c r="H24" s="85">
        <f>SUM($E$6:E24)</f>
        <v/>
      </c>
      <c r="I24" s="86">
        <f>IF(G24=0,"",H24/G24)</f>
        <v/>
      </c>
      <c r="J24" s="88">
        <f>IF(A24&gt;$S$2,"予定",IF(G24=0,"－",IF(I24&gt;=1,"完了",IF(H24&gt;=G24,"順調","遅延"))))</f>
        <v/>
      </c>
      <c r="K24" s="84">
        <f>COUNTIFS(明細!$I$5:$I$76,A24,明細!$D$5:$D$76,"運用")</f>
        <v/>
      </c>
      <c r="L24" s="85">
        <f>COUNTIFS(明細!$J$5:$J$76,A24,明細!$D$5:$D$76,"運用")</f>
        <v/>
      </c>
      <c r="M24" s="86">
        <f>IF(K24=0,0,L24/K24)</f>
        <v/>
      </c>
      <c r="N24" s="87">
        <f>SUM($K$6:K24)</f>
        <v/>
      </c>
      <c r="O24" s="85">
        <f>SUM($L$6:L24)</f>
        <v/>
      </c>
      <c r="P24" s="86">
        <f>IF(N24=0,"",O24/N24)</f>
        <v/>
      </c>
      <c r="Q24" s="88">
        <f>IF(A24&gt;$S$2,"予定",IF(N24=0,"－",IF(P24&gt;=1,"完了",IF(O24&gt;=N24,"順調","遅延"))))</f>
        <v/>
      </c>
      <c r="R24" s="84">
        <f>D24+K24</f>
        <v/>
      </c>
      <c r="S24" s="89">
        <f>E24+L24</f>
        <v/>
      </c>
    </row>
    <row r="25">
      <c r="A25" s="81" t="n">
        <v>46095</v>
      </c>
      <c r="B25" s="82">
        <f>CHOOSE(WEEKDAY(A25,2),"月","火","水","木","金","土","日")</f>
        <v/>
      </c>
      <c r="C25" s="83">
        <f>IF(OR(WEEKDAY(A25,2)&gt;=6,COUNTIF(祝日マスタ!$A:$A,A25)&gt;0),"非営業日","営業日")</f>
        <v/>
      </c>
      <c r="D25" s="84">
        <f>COUNTIFS(明細!$F$5:$F$76,A25,明細!$D$5:$D$76,"運用")</f>
        <v/>
      </c>
      <c r="E25" s="85">
        <f>COUNTIFS(明細!$G$5:$G$76,A25,明細!$D$5:$D$76,"運用")</f>
        <v/>
      </c>
      <c r="F25" s="86">
        <f>IF(D25=0,0,E25/D25)</f>
        <v/>
      </c>
      <c r="G25" s="87">
        <f>SUM($D$6:D25)</f>
        <v/>
      </c>
      <c r="H25" s="85">
        <f>SUM($E$6:E25)</f>
        <v/>
      </c>
      <c r="I25" s="86">
        <f>IF(G25=0,"",H25/G25)</f>
        <v/>
      </c>
      <c r="J25" s="88">
        <f>IF(A25&gt;$S$2,"予定",IF(G25=0,"－",IF(I25&gt;=1,"完了",IF(H25&gt;=G25,"順調","遅延"))))</f>
        <v/>
      </c>
      <c r="K25" s="84">
        <f>COUNTIFS(明細!$I$5:$I$76,A25,明細!$D$5:$D$76,"運用")</f>
        <v/>
      </c>
      <c r="L25" s="85">
        <f>COUNTIFS(明細!$J$5:$J$76,A25,明細!$D$5:$D$76,"運用")</f>
        <v/>
      </c>
      <c r="M25" s="86">
        <f>IF(K25=0,0,L25/K25)</f>
        <v/>
      </c>
      <c r="N25" s="87">
        <f>SUM($K$6:K25)</f>
        <v/>
      </c>
      <c r="O25" s="85">
        <f>SUM($L$6:L25)</f>
        <v/>
      </c>
      <c r="P25" s="86">
        <f>IF(N25=0,"",O25/N25)</f>
        <v/>
      </c>
      <c r="Q25" s="88">
        <f>IF(A25&gt;$S$2,"予定",IF(N25=0,"－",IF(P25&gt;=1,"完了",IF(O25&gt;=N25,"順調","遅延"))))</f>
        <v/>
      </c>
      <c r="R25" s="84">
        <f>D25+K25</f>
        <v/>
      </c>
      <c r="S25" s="89">
        <f>E25+L25</f>
        <v/>
      </c>
    </row>
  </sheetData>
  <mergeCells count="5">
    <mergeCell ref="D3:J3"/>
    <mergeCell ref="K3:Q3"/>
    <mergeCell ref="A1:S1"/>
    <mergeCell ref="A3:C3"/>
    <mergeCell ref="R3:S3"/>
  </mergeCells>
  <conditionalFormatting sqref="J5:J25">
    <cfRule type="cellIs" priority="1" operator="equal" dxfId="3">
      <formula>"遅延"</formula>
    </cfRule>
    <cfRule type="cellIs" priority="2" operator="equal" dxfId="4">
      <formula>"順調"</formula>
    </cfRule>
    <cfRule type="cellIs" priority="3" operator="equal" dxfId="5">
      <formula>"完了"</formula>
    </cfRule>
    <cfRule type="cellIs" priority="4" operator="equal" dxfId="6">
      <formula>"予定"</formula>
    </cfRule>
    <cfRule type="cellIs" priority="5" operator="equal" dxfId="7">
      <formula>"－"</formula>
    </cfRule>
  </conditionalFormatting>
  <conditionalFormatting sqref="Q5:Q25">
    <cfRule type="cellIs" priority="6" operator="equal" dxfId="3">
      <formula>"遅延"</formula>
    </cfRule>
    <cfRule type="cellIs" priority="7" operator="equal" dxfId="4">
      <formula>"順調"</formula>
    </cfRule>
    <cfRule type="cellIs" priority="8" operator="equal" dxfId="5">
      <formula>"完了"</formula>
    </cfRule>
    <cfRule type="cellIs" priority="9" operator="equal" dxfId="6">
      <formula>"予定"</formula>
    </cfRule>
    <cfRule type="cellIs" priority="10" operator="equal" dxfId="7">
      <formula>"－"</formula>
    </cfRule>
  </conditionalFormatting>
  <conditionalFormatting sqref="I6:I25">
    <cfRule type="dataBar" priority="11">
      <dataBar minLength="0" maxLength="100" showValue="1">
        <cfvo type="num" val="0"/>
        <cfvo type="num" val="1"/>
        <color rgb="FFBDD7EE"/>
      </dataBar>
    </cfRule>
  </conditionalFormatting>
  <conditionalFormatting sqref="P6:P25">
    <cfRule type="dataBar" priority="12">
      <dataBar minLength="0" maxLength="100" showValue="1">
        <cfvo type="num" val="0"/>
        <cfvo type="num" val="1"/>
        <color rgb="FFC6EFCE"/>
      </dataBar>
    </cfRule>
  </conditionalFormatting>
  <conditionalFormatting sqref="A6:S25">
    <cfRule type="expression" priority="13" dxfId="8">
      <formula>$A6=$S$2</formula>
    </cfRule>
    <cfRule type="expression" priority="14" dxfId="9">
      <formula>$C6="非営業日"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2" customWidth="1" min="4" max="4"/>
    <col width="16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3" customWidth="1" min="12" max="12"/>
  </cols>
  <sheetData>
    <row r="1" ht="25" customHeight="1">
      <c r="A1" s="90" t="inlineStr">
        <is>
          <t>テスト進捗明細</t>
        </is>
      </c>
    </row>
    <row r="2">
      <c r="K2" s="91" t="inlineStr">
        <is>
          <t>基準日:</t>
        </is>
      </c>
      <c r="L2" s="92">
        <f>ダッシュボード!$B$2</f>
        <v/>
      </c>
    </row>
    <row r="4">
      <c r="A4" s="50" t="inlineStr">
        <is>
          <t>No.</t>
        </is>
      </c>
      <c r="B4" s="50" t="inlineStr">
        <is>
          <t>ファイル名</t>
        </is>
      </c>
      <c r="C4" s="50" t="inlineStr">
        <is>
          <t>シート名</t>
        </is>
      </c>
      <c r="D4" s="50" t="inlineStr">
        <is>
          <t>チーム名</t>
        </is>
      </c>
      <c r="E4" s="50" t="inlineStr">
        <is>
          <t>テストID</t>
        </is>
      </c>
      <c r="F4" s="50" t="inlineStr">
        <is>
          <t>実施者_予定</t>
        </is>
      </c>
      <c r="G4" s="50" t="inlineStr">
        <is>
          <t>実施者_実績</t>
        </is>
      </c>
      <c r="H4" s="50" t="inlineStr">
        <is>
          <t>実施者_状況</t>
        </is>
      </c>
      <c r="I4" s="50" t="inlineStr">
        <is>
          <t>検証者_予定</t>
        </is>
      </c>
      <c r="J4" s="50" t="inlineStr">
        <is>
          <t>検証者_実績</t>
        </is>
      </c>
      <c r="K4" s="50" t="inlineStr">
        <is>
          <t>検証者_状況</t>
        </is>
      </c>
      <c r="L4" s="50" t="inlineStr">
        <is>
          <t>進捗状況</t>
        </is>
      </c>
    </row>
    <row r="5">
      <c r="A5" s="52" t="n">
        <v>1</v>
      </c>
      <c r="B5" s="93" t="inlineStr">
        <is>
          <t>input/ITB-EV007-SC001-O-001.xlsx</t>
        </is>
      </c>
      <c r="C5" s="93" t="inlineStr">
        <is>
          <t>ITB-EV007-SC001-O-001</t>
        </is>
      </c>
      <c r="D5" s="52" t="inlineStr">
        <is>
          <t>オンライン</t>
        </is>
      </c>
      <c r="E5" s="52" t="inlineStr">
        <is>
          <t>ITB-EV007-SC001-O-001-001</t>
        </is>
      </c>
      <c r="F5" s="94" t="n">
        <v>46081</v>
      </c>
      <c r="G5" s="94" t="n">
        <v>46080</v>
      </c>
      <c r="H5" s="52">
        <f>IF(G5&lt;&gt;"","完了",IF(F5="","－",IF(F5&lt;=$L$2,"遅延","予定")))</f>
        <v/>
      </c>
      <c r="I5" s="94" t="n">
        <v>46083</v>
      </c>
      <c r="J5" s="94" t="n">
        <v>46082</v>
      </c>
      <c r="K5" s="52">
        <f>IF(J5&lt;&gt;"","完了",IF(I5="","－",IF(I5&lt;=$L$2,"遅延","予定")))</f>
        <v/>
      </c>
      <c r="L5" s="52">
        <f>IF(AND(H5="完了",K5="完了"),"完了",IF(OR(H5="遅延",K5="遅延"),"遅延","進行中"))</f>
        <v/>
      </c>
    </row>
    <row r="6">
      <c r="A6" s="52" t="n">
        <v>2</v>
      </c>
      <c r="B6" s="93" t="inlineStr">
        <is>
          <t>input/ITB-EV007-SC001-O-001.xlsx</t>
        </is>
      </c>
      <c r="C6" s="93" t="inlineStr">
        <is>
          <t>ITB-EV007-SC001-O-001</t>
        </is>
      </c>
      <c r="D6" s="52" t="inlineStr">
        <is>
          <t>オンライン</t>
        </is>
      </c>
      <c r="E6" s="52" t="inlineStr">
        <is>
          <t>ITB-EV007-SC001-O-001-002</t>
        </is>
      </c>
      <c r="F6" s="94" t="n">
        <v>46083</v>
      </c>
      <c r="G6" s="94" t="n">
        <v>46082</v>
      </c>
      <c r="H6" s="52">
        <f>IF(G6&lt;&gt;"","完了",IF(F6="","－",IF(F6&lt;=$L$2,"遅延","予定")))</f>
        <v/>
      </c>
      <c r="I6" s="94" t="n">
        <v>46085</v>
      </c>
      <c r="J6" s="94" t="n">
        <v>46084</v>
      </c>
      <c r="K6" s="52">
        <f>IF(J6&lt;&gt;"","完了",IF(I6="","－",IF(I6&lt;=$L$2,"遅延","予定")))</f>
        <v/>
      </c>
      <c r="L6" s="52">
        <f>IF(AND(H6="完了",K6="完了"),"完了",IF(OR(H6="遅延",K6="遅延"),"遅延","進行中"))</f>
        <v/>
      </c>
    </row>
    <row r="7">
      <c r="A7" s="52" t="n">
        <v>3</v>
      </c>
      <c r="B7" s="93" t="inlineStr">
        <is>
          <t>input/ITB-EV007-SC001-O-001.xlsx</t>
        </is>
      </c>
      <c r="C7" s="93" t="inlineStr">
        <is>
          <t>ITB-EV007-SC001-O-001</t>
        </is>
      </c>
      <c r="D7" s="52" t="inlineStr">
        <is>
          <t>オンライン</t>
        </is>
      </c>
      <c r="E7" s="52" t="inlineStr">
        <is>
          <t>ITB-EV007-SC001-O-001-003</t>
        </is>
      </c>
      <c r="F7" s="94" t="n">
        <v>46085</v>
      </c>
      <c r="G7" s="94" t="n">
        <v>46085</v>
      </c>
      <c r="H7" s="52">
        <f>IF(G7&lt;&gt;"","完了",IF(F7="","－",IF(F7&lt;=$L$2,"遅延","予定")))</f>
        <v/>
      </c>
      <c r="I7" s="94" t="n">
        <v>46087</v>
      </c>
      <c r="J7" s="94" t="n">
        <v>46086</v>
      </c>
      <c r="K7" s="52">
        <f>IF(J7&lt;&gt;"","完了",IF(I7="","－",IF(I7&lt;=$L$2,"遅延","予定")))</f>
        <v/>
      </c>
      <c r="L7" s="52">
        <f>IF(AND(H7="完了",K7="完了"),"完了",IF(OR(H7="遅延",K7="遅延"),"遅延","進行中"))</f>
        <v/>
      </c>
    </row>
    <row r="8">
      <c r="A8" s="52" t="n">
        <v>4</v>
      </c>
      <c r="B8" s="93" t="inlineStr">
        <is>
          <t>input/オンライン/ITB-EV001-SC001-O-001.xlsx</t>
        </is>
      </c>
      <c r="C8" s="93" t="inlineStr">
        <is>
          <t>ITB-EV001-SC001-O-001</t>
        </is>
      </c>
      <c r="D8" s="52" t="inlineStr">
        <is>
          <t>オンライン</t>
        </is>
      </c>
      <c r="E8" s="52" t="inlineStr">
        <is>
          <t>ITB-EV001-SC001-O-001-001</t>
        </is>
      </c>
      <c r="F8" s="94" t="n">
        <v>46081</v>
      </c>
      <c r="G8" s="94" t="n">
        <v>46080</v>
      </c>
      <c r="H8" s="52">
        <f>IF(G8&lt;&gt;"","完了",IF(F8="","－",IF(F8&lt;=$L$2,"遅延","予定")))</f>
        <v/>
      </c>
      <c r="I8" s="94" t="n">
        <v>46083</v>
      </c>
      <c r="J8" s="94" t="n">
        <v>46082</v>
      </c>
      <c r="K8" s="52">
        <f>IF(J8&lt;&gt;"","完了",IF(I8="","－",IF(I8&lt;=$L$2,"遅延","予定")))</f>
        <v/>
      </c>
      <c r="L8" s="52">
        <f>IF(AND(H8="完了",K8="完了"),"完了",IF(OR(H8="遅延",K8="遅延"),"遅延","進行中"))</f>
        <v/>
      </c>
    </row>
    <row r="9">
      <c r="A9" s="52" t="n">
        <v>5</v>
      </c>
      <c r="B9" s="93" t="inlineStr">
        <is>
          <t>input/オンライン/ITB-EV001-SC001-O-001.xlsx</t>
        </is>
      </c>
      <c r="C9" s="93" t="inlineStr">
        <is>
          <t>ITB-EV001-SC001-O-001</t>
        </is>
      </c>
      <c r="D9" s="52" t="inlineStr">
        <is>
          <t>オンライン</t>
        </is>
      </c>
      <c r="E9" s="52" t="inlineStr">
        <is>
          <t>ITB-EV001-SC001-O-001-002</t>
        </is>
      </c>
      <c r="F9" s="94" t="n">
        <v>46083</v>
      </c>
      <c r="G9" s="94" t="n">
        <v>46083</v>
      </c>
      <c r="H9" s="52">
        <f>IF(G9&lt;&gt;"","完了",IF(F9="","－",IF(F9&lt;=$L$2,"遅延","予定")))</f>
        <v/>
      </c>
      <c r="I9" s="94" t="n">
        <v>46085</v>
      </c>
      <c r="J9" s="94" t="n">
        <v>46084</v>
      </c>
      <c r="K9" s="52">
        <f>IF(J9&lt;&gt;"","完了",IF(I9="","－",IF(I9&lt;=$L$2,"遅延","予定")))</f>
        <v/>
      </c>
      <c r="L9" s="52">
        <f>IF(AND(H9="完了",K9="完了"),"完了",IF(OR(H9="遅延",K9="遅延"),"遅延","進行中"))</f>
        <v/>
      </c>
    </row>
    <row r="10">
      <c r="A10" s="52" t="n">
        <v>6</v>
      </c>
      <c r="B10" s="93" t="inlineStr">
        <is>
          <t>input/オンライン/ITB-EV001-SC001-O-001.xlsx</t>
        </is>
      </c>
      <c r="C10" s="93" t="inlineStr">
        <is>
          <t>ITB-EV001-SC001-O-001</t>
        </is>
      </c>
      <c r="D10" s="52" t="inlineStr">
        <is>
          <t>オンライン</t>
        </is>
      </c>
      <c r="E10" s="52" t="inlineStr">
        <is>
          <t>ITB-EV001-SC001-O-001-003</t>
        </is>
      </c>
      <c r="F10" s="94" t="n">
        <v>46085</v>
      </c>
      <c r="G10" s="94" t="n">
        <v>46084</v>
      </c>
      <c r="H10" s="52">
        <f>IF(G10&lt;&gt;"","完了",IF(F10="","－",IF(F10&lt;=$L$2,"遅延","予定")))</f>
        <v/>
      </c>
      <c r="I10" s="94" t="n">
        <v>46087</v>
      </c>
      <c r="J10" s="94" t="n">
        <v>46086</v>
      </c>
      <c r="K10" s="52">
        <f>IF(J10&lt;&gt;"","完了",IF(I10="","－",IF(I10&lt;=$L$2,"遅延","予定")))</f>
        <v/>
      </c>
      <c r="L10" s="52">
        <f>IF(AND(H10="完了",K10="完了"),"完了",IF(OR(H10="遅延",K10="遅延"),"遅延","進行中"))</f>
        <v/>
      </c>
    </row>
    <row r="11">
      <c r="A11" s="52" t="n">
        <v>7</v>
      </c>
      <c r="B11" s="93" t="inlineStr">
        <is>
          <t>input/オンライン/ITB-EV001-SC001-O-001.xlsx</t>
        </is>
      </c>
      <c r="C11" s="93" t="inlineStr">
        <is>
          <t>ITB-EV001-SC001-O-001</t>
        </is>
      </c>
      <c r="D11" s="52" t="inlineStr">
        <is>
          <t>オンライン</t>
        </is>
      </c>
      <c r="E11" s="52" t="inlineStr">
        <is>
          <t>ITB-EV001-SC001-O-001-004</t>
        </is>
      </c>
      <c r="F11" s="94" t="n">
        <v>46087</v>
      </c>
      <c r="G11" s="94" t="n">
        <v>46086</v>
      </c>
      <c r="H11" s="52">
        <f>IF(G11&lt;&gt;"","完了",IF(F11="","－",IF(F11&lt;=$L$2,"遅延","予定")))</f>
        <v/>
      </c>
      <c r="I11" s="94" t="n">
        <v>46089</v>
      </c>
      <c r="J11" s="94" t="n">
        <v>46088</v>
      </c>
      <c r="K11" s="52">
        <f>IF(J11&lt;&gt;"","完了",IF(I11="","－",IF(I11&lt;=$L$2,"遅延","予定")))</f>
        <v/>
      </c>
      <c r="L11" s="52">
        <f>IF(AND(H11="完了",K11="完了"),"完了",IF(OR(H11="遅延",K11="遅延"),"遅延","進行中"))</f>
        <v/>
      </c>
    </row>
    <row r="12">
      <c r="A12" s="52" t="n">
        <v>8</v>
      </c>
      <c r="B12" s="93" t="inlineStr">
        <is>
          <t>input/オンライン/ITB-EV001-SC001-O-001.xlsx</t>
        </is>
      </c>
      <c r="C12" s="93" t="inlineStr">
        <is>
          <t>ITB-EV001-SC001-O-001</t>
        </is>
      </c>
      <c r="D12" s="52" t="inlineStr">
        <is>
          <t>オンライン</t>
        </is>
      </c>
      <c r="E12" s="52" t="inlineStr">
        <is>
          <t>ITB-EV001-SC001-O-001-005</t>
        </is>
      </c>
      <c r="F12" s="94" t="n">
        <v>46089</v>
      </c>
      <c r="G12" s="94" t="n">
        <v>46089</v>
      </c>
      <c r="H12" s="52">
        <f>IF(G12&lt;&gt;"","完了",IF(F12="","－",IF(F12&lt;=$L$2,"遅延","予定")))</f>
        <v/>
      </c>
      <c r="I12" s="94" t="n">
        <v>46091</v>
      </c>
      <c r="J12" s="94" t="n">
        <v>46090</v>
      </c>
      <c r="K12" s="52">
        <f>IF(J12&lt;&gt;"","完了",IF(I12="","－",IF(I12&lt;=$L$2,"遅延","予定")))</f>
        <v/>
      </c>
      <c r="L12" s="52">
        <f>IF(AND(H12="完了",K12="完了"),"完了",IF(OR(H12="遅延",K12="遅延"),"遅延","進行中"))</f>
        <v/>
      </c>
    </row>
    <row r="13">
      <c r="A13" s="52" t="n">
        <v>9</v>
      </c>
      <c r="B13" s="93" t="inlineStr">
        <is>
          <t>input/オンライン/ITB-EV001-SC001-O-001.xlsx</t>
        </is>
      </c>
      <c r="C13" s="93" t="inlineStr">
        <is>
          <t>ITB-EV001-SC001-O-001</t>
        </is>
      </c>
      <c r="D13" s="52" t="inlineStr">
        <is>
          <t>オンライン</t>
        </is>
      </c>
      <c r="E13" s="52" t="inlineStr">
        <is>
          <t>ITB-EV001-SC001-O-001-006</t>
        </is>
      </c>
      <c r="F13" s="94" t="n">
        <v>46091</v>
      </c>
      <c r="G13" s="94" t="n">
        <v>46090</v>
      </c>
      <c r="H13" s="52">
        <f>IF(G13&lt;&gt;"","完了",IF(F13="","－",IF(F13&lt;=$L$2,"遅延","予定")))</f>
        <v/>
      </c>
      <c r="I13" s="94" t="n">
        <v>46093</v>
      </c>
      <c r="J13" s="94" t="n">
        <v>46092</v>
      </c>
      <c r="K13" s="52">
        <f>IF(J13&lt;&gt;"","完了",IF(I13="","－",IF(I13&lt;=$L$2,"遅延","予定")))</f>
        <v/>
      </c>
      <c r="L13" s="52">
        <f>IF(AND(H13="完了",K13="完了"),"完了",IF(OR(H13="遅延",K13="遅延"),"遅延","進行中"))</f>
        <v/>
      </c>
    </row>
    <row r="14">
      <c r="A14" s="52" t="n">
        <v>10</v>
      </c>
      <c r="B14" s="93" t="inlineStr">
        <is>
          <t>input/オンライン/ITB-EV001-SC001-O-001.xlsx</t>
        </is>
      </c>
      <c r="C14" s="93" t="inlineStr">
        <is>
          <t>ITB-EV001-SC001-O-001</t>
        </is>
      </c>
      <c r="D14" s="52" t="inlineStr">
        <is>
          <t>オンライン</t>
        </is>
      </c>
      <c r="E14" s="52" t="inlineStr">
        <is>
          <t>ITB-EV001-SC001-O-001-007</t>
        </is>
      </c>
      <c r="F14" s="94" t="n">
        <v>46093</v>
      </c>
      <c r="G14" s="94" t="n">
        <v>46092</v>
      </c>
      <c r="H14" s="52">
        <f>IF(G14&lt;&gt;"","完了",IF(F14="","－",IF(F14&lt;=$L$2,"遅延","予定")))</f>
        <v/>
      </c>
      <c r="I14" s="94" t="n">
        <v>46095</v>
      </c>
      <c r="J14" s="94" t="n">
        <v>46094</v>
      </c>
      <c r="K14" s="52">
        <f>IF(J14&lt;&gt;"","完了",IF(I14="","－",IF(I14&lt;=$L$2,"遅延","予定")))</f>
        <v/>
      </c>
      <c r="L14" s="52">
        <f>IF(AND(H14="完了",K14="完了"),"完了",IF(OR(H14="遅延",K14="遅延"),"遅延","進行中"))</f>
        <v/>
      </c>
    </row>
    <row r="15">
      <c r="A15" s="52" t="n">
        <v>11</v>
      </c>
      <c r="B15" s="93" t="inlineStr">
        <is>
          <t>input/オンライン/ITB-EV001-SC001-O-001.xlsx</t>
        </is>
      </c>
      <c r="C15" s="93" t="inlineStr">
        <is>
          <t>ITB-EV001-SC001-O-001</t>
        </is>
      </c>
      <c r="D15" s="52" t="inlineStr">
        <is>
          <t>オンライン</t>
        </is>
      </c>
      <c r="E15" s="52" t="inlineStr">
        <is>
          <t>ITB-EV001-SC001-O-001-008</t>
        </is>
      </c>
      <c r="F15" s="94" t="n">
        <v>46095</v>
      </c>
      <c r="G15" s="94" t="n">
        <v>46094</v>
      </c>
      <c r="H15" s="52">
        <f>IF(G15&lt;&gt;"","完了",IF(F15="","－",IF(F15&lt;=$L$2,"遅延","予定")))</f>
        <v/>
      </c>
      <c r="I15" s="94" t="n">
        <v>46097</v>
      </c>
      <c r="J15" s="94" t="n">
        <v>46096</v>
      </c>
      <c r="K15" s="52">
        <f>IF(J15&lt;&gt;"","完了",IF(I15="","－",IF(I15&lt;=$L$2,"遅延","予定")))</f>
        <v/>
      </c>
      <c r="L15" s="52">
        <f>IF(AND(H15="完了",K15="完了"),"完了",IF(OR(H15="遅延",K15="遅延"),"遅延","進行中"))</f>
        <v/>
      </c>
    </row>
    <row r="16">
      <c r="A16" s="52" t="n">
        <v>12</v>
      </c>
      <c r="B16" s="93" t="inlineStr">
        <is>
          <t>input/オンライン/ITB-EV001-SC002-O-001.xlsx</t>
        </is>
      </c>
      <c r="C16" s="93" t="inlineStr">
        <is>
          <t>ITB-EV001-SC002-O-001</t>
        </is>
      </c>
      <c r="D16" s="52" t="inlineStr">
        <is>
          <t>オンライン</t>
        </is>
      </c>
      <c r="E16" s="52" t="inlineStr">
        <is>
          <t>ITB-EV001-SC002-O-001-001</t>
        </is>
      </c>
      <c r="F16" s="94" t="n">
        <v>46081</v>
      </c>
      <c r="G16" s="94" t="n">
        <v>46081</v>
      </c>
      <c r="H16" s="52">
        <f>IF(G16&lt;&gt;"","完了",IF(F16="","－",IF(F16&lt;=$L$2,"遅延","予定")))</f>
        <v/>
      </c>
      <c r="I16" s="94" t="n">
        <v>46083</v>
      </c>
      <c r="J16" s="94" t="n">
        <v>46082</v>
      </c>
      <c r="K16" s="52">
        <f>IF(J16&lt;&gt;"","完了",IF(I16="","－",IF(I16&lt;=$L$2,"遅延","予定")))</f>
        <v/>
      </c>
      <c r="L16" s="52">
        <f>IF(AND(H16="完了",K16="完了"),"完了",IF(OR(H16="遅延",K16="遅延"),"遅延","進行中"))</f>
        <v/>
      </c>
    </row>
    <row r="17">
      <c r="A17" s="52" t="n">
        <v>13</v>
      </c>
      <c r="B17" s="93" t="inlineStr">
        <is>
          <t>input/オンライン/ITB-EV001-SC002-O-001.xlsx</t>
        </is>
      </c>
      <c r="C17" s="93" t="inlineStr">
        <is>
          <t>ITB-EV001-SC002-O-001</t>
        </is>
      </c>
      <c r="D17" s="52" t="inlineStr">
        <is>
          <t>オンライン</t>
        </is>
      </c>
      <c r="E17" s="52" t="inlineStr">
        <is>
          <t>ITB-EV001-SC002-O-001-002</t>
        </is>
      </c>
      <c r="F17" s="94" t="n">
        <v>46083</v>
      </c>
      <c r="G17" s="94" t="n">
        <v>46083</v>
      </c>
      <c r="H17" s="52">
        <f>IF(G17&lt;&gt;"","完了",IF(F17="","－",IF(F17&lt;=$L$2,"遅延","予定")))</f>
        <v/>
      </c>
      <c r="I17" s="94" t="n">
        <v>46085</v>
      </c>
      <c r="J17" s="94" t="n">
        <v>46085</v>
      </c>
      <c r="K17" s="52">
        <f>IF(J17&lt;&gt;"","完了",IF(I17="","－",IF(I17&lt;=$L$2,"遅延","予定")))</f>
        <v/>
      </c>
      <c r="L17" s="52">
        <f>IF(AND(H17="完了",K17="完了"),"完了",IF(OR(H17="遅延",K17="遅延"),"遅延","進行中"))</f>
        <v/>
      </c>
    </row>
    <row r="18">
      <c r="A18" s="52" t="n">
        <v>14</v>
      </c>
      <c r="B18" s="93" t="inlineStr">
        <is>
          <t>input/オンライン/ITB-EV001-SC002-O-001.xlsx</t>
        </is>
      </c>
      <c r="C18" s="93" t="inlineStr">
        <is>
          <t>ITB-EV001-SC002-O-001</t>
        </is>
      </c>
      <c r="D18" s="52" t="inlineStr">
        <is>
          <t>オンライン</t>
        </is>
      </c>
      <c r="E18" s="52" t="inlineStr">
        <is>
          <t>ITB-EV001-SC002-O-001-003</t>
        </is>
      </c>
      <c r="F18" s="94" t="n">
        <v>46085</v>
      </c>
      <c r="G18" s="94" t="n">
        <v>46084</v>
      </c>
      <c r="H18" s="52">
        <f>IF(G18&lt;&gt;"","完了",IF(F18="","－",IF(F18&lt;=$L$2,"遅延","予定")))</f>
        <v/>
      </c>
      <c r="I18" s="94" t="n">
        <v>46087</v>
      </c>
      <c r="J18" s="94" t="n">
        <v>46086</v>
      </c>
      <c r="K18" s="52">
        <f>IF(J18&lt;&gt;"","完了",IF(I18="","－",IF(I18&lt;=$L$2,"遅延","予定")))</f>
        <v/>
      </c>
      <c r="L18" s="52">
        <f>IF(AND(H18="完了",K18="完了"),"完了",IF(OR(H18="遅延",K18="遅延"),"遅延","進行中"))</f>
        <v/>
      </c>
    </row>
    <row r="19">
      <c r="A19" s="52" t="n">
        <v>15</v>
      </c>
      <c r="B19" s="93" t="inlineStr">
        <is>
          <t>input/オンライン/ITB-EV001-SC002-O-001.xlsx</t>
        </is>
      </c>
      <c r="C19" s="93" t="inlineStr">
        <is>
          <t>ITB-EV001-SC002-O-001</t>
        </is>
      </c>
      <c r="D19" s="52" t="inlineStr">
        <is>
          <t>オンライン</t>
        </is>
      </c>
      <c r="E19" s="52" t="inlineStr">
        <is>
          <t>ITB-EV001-SC002-O-001-004</t>
        </is>
      </c>
      <c r="F19" s="94" t="n">
        <v>46087</v>
      </c>
      <c r="G19" s="94" t="n">
        <v>46087</v>
      </c>
      <c r="H19" s="52">
        <f>IF(G19&lt;&gt;"","完了",IF(F19="","－",IF(F19&lt;=$L$2,"遅延","予定")))</f>
        <v/>
      </c>
      <c r="I19" s="94" t="n">
        <v>46089</v>
      </c>
      <c r="J19" s="94" t="n">
        <v>46089</v>
      </c>
      <c r="K19" s="52">
        <f>IF(J19&lt;&gt;"","完了",IF(I19="","－",IF(I19&lt;=$L$2,"遅延","予定")))</f>
        <v/>
      </c>
      <c r="L19" s="52">
        <f>IF(AND(H19="完了",K19="完了"),"完了",IF(OR(H19="遅延",K19="遅延"),"遅延","進行中"))</f>
        <v/>
      </c>
    </row>
    <row r="20">
      <c r="A20" s="52" t="n">
        <v>16</v>
      </c>
      <c r="B20" s="93" t="inlineStr">
        <is>
          <t>input/オンライン/ITB-EV001-SC002-O-001.xlsx</t>
        </is>
      </c>
      <c r="C20" s="93" t="inlineStr">
        <is>
          <t>ITB-EV001-SC002-O-001</t>
        </is>
      </c>
      <c r="D20" s="52" t="inlineStr">
        <is>
          <t>オンライン</t>
        </is>
      </c>
      <c r="E20" s="52" t="inlineStr">
        <is>
          <t>ITB-EV001-SC002-O-001-005</t>
        </is>
      </c>
      <c r="F20" s="94" t="n">
        <v>46089</v>
      </c>
      <c r="G20" s="94" t="n">
        <v>46089</v>
      </c>
      <c r="H20" s="52">
        <f>IF(G20&lt;&gt;"","完了",IF(F20="","－",IF(F20&lt;=$L$2,"遅延","予定")))</f>
        <v/>
      </c>
      <c r="I20" s="94" t="n">
        <v>46091</v>
      </c>
      <c r="J20" s="94" t="n">
        <v>46090</v>
      </c>
      <c r="K20" s="52">
        <f>IF(J20&lt;&gt;"","完了",IF(I20="","－",IF(I20&lt;=$L$2,"遅延","予定")))</f>
        <v/>
      </c>
      <c r="L20" s="52">
        <f>IF(AND(H20="完了",K20="完了"),"完了",IF(OR(H20="遅延",K20="遅延"),"遅延","進行中"))</f>
        <v/>
      </c>
    </row>
    <row r="21">
      <c r="A21" s="52" t="n">
        <v>17</v>
      </c>
      <c r="B21" s="93" t="inlineStr">
        <is>
          <t>input/オンライン/ITB-EV001-SC002-O-001.xlsx</t>
        </is>
      </c>
      <c r="C21" s="93" t="inlineStr">
        <is>
          <t>ITB-EV001-SC002-O-001</t>
        </is>
      </c>
      <c r="D21" s="52" t="inlineStr">
        <is>
          <t>オンライン</t>
        </is>
      </c>
      <c r="E21" s="52" t="inlineStr">
        <is>
          <t>ITB-EV001-SC002-O-001-006</t>
        </is>
      </c>
      <c r="F21" s="94" t="n">
        <v>46091</v>
      </c>
      <c r="G21" s="94" t="n">
        <v>46090</v>
      </c>
      <c r="H21" s="52">
        <f>IF(G21&lt;&gt;"","完了",IF(F21="","－",IF(F21&lt;=$L$2,"遅延","予定")))</f>
        <v/>
      </c>
      <c r="I21" s="94" t="n">
        <v>46093</v>
      </c>
      <c r="J21" s="94" t="n">
        <v>46093</v>
      </c>
      <c r="K21" s="52">
        <f>IF(J21&lt;&gt;"","完了",IF(I21="","－",IF(I21&lt;=$L$2,"遅延","予定")))</f>
        <v/>
      </c>
      <c r="L21" s="52">
        <f>IF(AND(H21="完了",K21="完了"),"完了",IF(OR(H21="遅延",K21="遅延"),"遅延","進行中"))</f>
        <v/>
      </c>
    </row>
    <row r="22">
      <c r="A22" s="52" t="n">
        <v>18</v>
      </c>
      <c r="B22" s="93" t="inlineStr">
        <is>
          <t>input/オンライン/ITB-EV002-SC001-O-001.xlsx</t>
        </is>
      </c>
      <c r="C22" s="93" t="inlineStr">
        <is>
          <t>ITB-EV002-SC001-O-001</t>
        </is>
      </c>
      <c r="D22" s="52" t="inlineStr">
        <is>
          <t>オンライン</t>
        </is>
      </c>
      <c r="E22" s="52" t="inlineStr">
        <is>
          <t>ITB-EV002-SC001-O-001-001</t>
        </is>
      </c>
      <c r="F22" s="94" t="n">
        <v>46081</v>
      </c>
      <c r="G22" s="94" t="n">
        <v>46080</v>
      </c>
      <c r="H22" s="52">
        <f>IF(G22&lt;&gt;"","完了",IF(F22="","－",IF(F22&lt;=$L$2,"遅延","予定")))</f>
        <v/>
      </c>
      <c r="I22" s="94" t="n">
        <v>46083</v>
      </c>
      <c r="J22" s="94" t="n">
        <v>46082</v>
      </c>
      <c r="K22" s="52">
        <f>IF(J22&lt;&gt;"","完了",IF(I22="","－",IF(I22&lt;=$L$2,"遅延","予定")))</f>
        <v/>
      </c>
      <c r="L22" s="52">
        <f>IF(AND(H22="完了",K22="完了"),"完了",IF(OR(H22="遅延",K22="遅延"),"遅延","進行中"))</f>
        <v/>
      </c>
    </row>
    <row r="23">
      <c r="A23" s="52" t="n">
        <v>19</v>
      </c>
      <c r="B23" s="93" t="inlineStr">
        <is>
          <t>input/オンライン/ITB-EV002-SC001-O-001.xlsx</t>
        </is>
      </c>
      <c r="C23" s="93" t="inlineStr">
        <is>
          <t>ITB-EV002-SC001-O-001</t>
        </is>
      </c>
      <c r="D23" s="52" t="inlineStr">
        <is>
          <t>オンライン</t>
        </is>
      </c>
      <c r="E23" s="52" t="inlineStr">
        <is>
          <t>ITB-EV002-SC001-O-001-002</t>
        </is>
      </c>
      <c r="F23" s="94" t="n">
        <v>46083</v>
      </c>
      <c r="G23" s="94" t="n">
        <v>46083</v>
      </c>
      <c r="H23" s="52">
        <f>IF(G23&lt;&gt;"","完了",IF(F23="","－",IF(F23&lt;=$L$2,"遅延","予定")))</f>
        <v/>
      </c>
      <c r="I23" s="94" t="n">
        <v>46085</v>
      </c>
      <c r="J23" s="94" t="n">
        <v>46084</v>
      </c>
      <c r="K23" s="52">
        <f>IF(J23&lt;&gt;"","完了",IF(I23="","－",IF(I23&lt;=$L$2,"遅延","予定")))</f>
        <v/>
      </c>
      <c r="L23" s="52">
        <f>IF(AND(H23="完了",K23="完了"),"完了",IF(OR(H23="遅延",K23="遅延"),"遅延","進行中"))</f>
        <v/>
      </c>
    </row>
    <row r="24">
      <c r="A24" s="52" t="n">
        <v>20</v>
      </c>
      <c r="B24" s="93" t="inlineStr">
        <is>
          <t>input/オンライン/ITB-EV002-SC001-O-001.xlsx</t>
        </is>
      </c>
      <c r="C24" s="93" t="inlineStr">
        <is>
          <t>ITB-EV002-SC001-O-001</t>
        </is>
      </c>
      <c r="D24" s="52" t="inlineStr">
        <is>
          <t>オンライン</t>
        </is>
      </c>
      <c r="E24" s="52" t="inlineStr">
        <is>
          <t>ITB-EV002-SC001-O-001-003</t>
        </is>
      </c>
      <c r="F24" s="94" t="n">
        <v>46085</v>
      </c>
      <c r="G24" s="94" t="n">
        <v>46085</v>
      </c>
      <c r="H24" s="52">
        <f>IF(G24&lt;&gt;"","完了",IF(F24="","－",IF(F24&lt;=$L$2,"遅延","予定")))</f>
        <v/>
      </c>
      <c r="I24" s="94" t="n">
        <v>46087</v>
      </c>
      <c r="J24" s="94" t="n">
        <v>46087</v>
      </c>
      <c r="K24" s="52">
        <f>IF(J24&lt;&gt;"","完了",IF(I24="","－",IF(I24&lt;=$L$2,"遅延","予定")))</f>
        <v/>
      </c>
      <c r="L24" s="52">
        <f>IF(AND(H24="完了",K24="完了"),"完了",IF(OR(H24="遅延",K24="遅延"),"遅延","進行中"))</f>
        <v/>
      </c>
    </row>
    <row r="25">
      <c r="A25" s="52" t="n">
        <v>21</v>
      </c>
      <c r="B25" s="93" t="inlineStr">
        <is>
          <t>input/オンライン/ITB-EV002-SC001-O-001.xlsx</t>
        </is>
      </c>
      <c r="C25" s="93" t="inlineStr">
        <is>
          <t>ITB-EV002-SC001-O-001</t>
        </is>
      </c>
      <c r="D25" s="52" t="inlineStr">
        <is>
          <t>オンライン</t>
        </is>
      </c>
      <c r="E25" s="52" t="inlineStr">
        <is>
          <t>ITB-EV002-SC001-O-001-004</t>
        </is>
      </c>
      <c r="F25" s="94" t="n">
        <v>46087</v>
      </c>
      <c r="G25" s="94" t="n">
        <v>46087</v>
      </c>
      <c r="H25" s="52">
        <f>IF(G25&lt;&gt;"","完了",IF(F25="","－",IF(F25&lt;=$L$2,"遅延","予定")))</f>
        <v/>
      </c>
      <c r="I25" s="94" t="n">
        <v>46089</v>
      </c>
      <c r="J25" s="94" t="n">
        <v>46088</v>
      </c>
      <c r="K25" s="52">
        <f>IF(J25&lt;&gt;"","完了",IF(I25="","－",IF(I25&lt;=$L$2,"遅延","予定")))</f>
        <v/>
      </c>
      <c r="L25" s="52">
        <f>IF(AND(H25="完了",K25="完了"),"完了",IF(OR(H25="遅延",K25="遅延"),"遅延","進行中"))</f>
        <v/>
      </c>
    </row>
    <row r="26">
      <c r="A26" s="52" t="n">
        <v>22</v>
      </c>
      <c r="B26" s="93" t="inlineStr">
        <is>
          <t>input/オンライン/ITB-EV002-SC001-O-001.xlsx</t>
        </is>
      </c>
      <c r="C26" s="93" t="inlineStr">
        <is>
          <t>ITB-EV002-SC001-O-001</t>
        </is>
      </c>
      <c r="D26" s="52" t="inlineStr">
        <is>
          <t>オンライン</t>
        </is>
      </c>
      <c r="E26" s="52" t="inlineStr">
        <is>
          <t>ITB-EV002-SC001-O-001-005</t>
        </is>
      </c>
      <c r="F26" s="94" t="n">
        <v>46089</v>
      </c>
      <c r="G26" s="94" t="n">
        <v>46089</v>
      </c>
      <c r="H26" s="52">
        <f>IF(G26&lt;&gt;"","完了",IF(F26="","－",IF(F26&lt;=$L$2,"遅延","予定")))</f>
        <v/>
      </c>
      <c r="I26" s="94" t="n">
        <v>46091</v>
      </c>
      <c r="J26" s="94" t="n">
        <v>46090</v>
      </c>
      <c r="K26" s="52">
        <f>IF(J26&lt;&gt;"","完了",IF(I26="","－",IF(I26&lt;=$L$2,"遅延","予定")))</f>
        <v/>
      </c>
      <c r="L26" s="52">
        <f>IF(AND(H26="完了",K26="完了"),"完了",IF(OR(H26="遅延",K26="遅延"),"遅延","進行中"))</f>
        <v/>
      </c>
    </row>
    <row r="27">
      <c r="A27" s="52" t="n">
        <v>23</v>
      </c>
      <c r="B27" s="93" t="inlineStr">
        <is>
          <t>input/オンライン/ITB-EV002-SC002-O-001.xlsx</t>
        </is>
      </c>
      <c r="C27" s="93" t="inlineStr">
        <is>
          <t>ITB-EV002-SC002-O-001</t>
        </is>
      </c>
      <c r="D27" s="52" t="inlineStr">
        <is>
          <t>オンライン</t>
        </is>
      </c>
      <c r="E27" s="52" t="inlineStr">
        <is>
          <t>ITB-EV002-SC002-O-001-001</t>
        </is>
      </c>
      <c r="F27" s="94" t="n">
        <v>46081</v>
      </c>
      <c r="G27" s="94" t="n">
        <v>46081</v>
      </c>
      <c r="H27" s="52">
        <f>IF(G27&lt;&gt;"","完了",IF(F27="","－",IF(F27&lt;=$L$2,"遅延","予定")))</f>
        <v/>
      </c>
      <c r="I27" s="94" t="n">
        <v>46083</v>
      </c>
      <c r="J27" s="94" t="n">
        <v>46082</v>
      </c>
      <c r="K27" s="52">
        <f>IF(J27&lt;&gt;"","完了",IF(I27="","－",IF(I27&lt;=$L$2,"遅延","予定")))</f>
        <v/>
      </c>
      <c r="L27" s="52">
        <f>IF(AND(H27="完了",K27="完了"),"完了",IF(OR(H27="遅延",K27="遅延"),"遅延","進行中"))</f>
        <v/>
      </c>
    </row>
    <row r="28">
      <c r="A28" s="52" t="n">
        <v>24</v>
      </c>
      <c r="B28" s="93" t="inlineStr">
        <is>
          <t>input/オンライン/ITB-EV002-SC002-O-001.xlsx</t>
        </is>
      </c>
      <c r="C28" s="93" t="inlineStr">
        <is>
          <t>ITB-EV002-SC002-O-001</t>
        </is>
      </c>
      <c r="D28" s="52" t="inlineStr">
        <is>
          <t>オンライン</t>
        </is>
      </c>
      <c r="E28" s="52" t="inlineStr">
        <is>
          <t>ITB-EV002-SC002-O-001-002</t>
        </is>
      </c>
      <c r="F28" s="94" t="n">
        <v>46083</v>
      </c>
      <c r="G28" s="94" t="n">
        <v>46083</v>
      </c>
      <c r="H28" s="52">
        <f>IF(G28&lt;&gt;"","完了",IF(F28="","－",IF(F28&lt;=$L$2,"遅延","予定")))</f>
        <v/>
      </c>
      <c r="I28" s="94" t="n">
        <v>46085</v>
      </c>
      <c r="J28" s="94" t="n">
        <v>46085</v>
      </c>
      <c r="K28" s="52">
        <f>IF(J28&lt;&gt;"","完了",IF(I28="","－",IF(I28&lt;=$L$2,"遅延","予定")))</f>
        <v/>
      </c>
      <c r="L28" s="52">
        <f>IF(AND(H28="完了",K28="完了"),"完了",IF(OR(H28="遅延",K28="遅延"),"遅延","進行中"))</f>
        <v/>
      </c>
    </row>
    <row r="29">
      <c r="A29" s="52" t="n">
        <v>25</v>
      </c>
      <c r="B29" s="93" t="inlineStr">
        <is>
          <t>input/オンライン/ITB-EV002-SC002-O-001.xlsx</t>
        </is>
      </c>
      <c r="C29" s="93" t="inlineStr">
        <is>
          <t>ITB-EV002-SC002-O-001</t>
        </is>
      </c>
      <c r="D29" s="52" t="inlineStr">
        <is>
          <t>オンライン</t>
        </is>
      </c>
      <c r="E29" s="52" t="inlineStr">
        <is>
          <t>ITB-EV002-SC002-O-001-003</t>
        </is>
      </c>
      <c r="F29" s="94" t="n">
        <v>46085</v>
      </c>
      <c r="G29" s="94" t="n">
        <v>46084</v>
      </c>
      <c r="H29" s="52">
        <f>IF(G29&lt;&gt;"","完了",IF(F29="","－",IF(F29&lt;=$L$2,"遅延","予定")))</f>
        <v/>
      </c>
      <c r="I29" s="94" t="n">
        <v>46087</v>
      </c>
      <c r="J29" s="94" t="n">
        <v>46086</v>
      </c>
      <c r="K29" s="52">
        <f>IF(J29&lt;&gt;"","完了",IF(I29="","－",IF(I29&lt;=$L$2,"遅延","予定")))</f>
        <v/>
      </c>
      <c r="L29" s="52">
        <f>IF(AND(H29="完了",K29="完了"),"完了",IF(OR(H29="遅延",K29="遅延"),"遅延","進行中"))</f>
        <v/>
      </c>
    </row>
    <row r="30">
      <c r="A30" s="52" t="n">
        <v>26</v>
      </c>
      <c r="B30" s="93" t="inlineStr">
        <is>
          <t>input/オンライン/ITB-EV002-SC002-O-001.xlsx</t>
        </is>
      </c>
      <c r="C30" s="93" t="inlineStr">
        <is>
          <t>ITB-EV002-SC002-O-001</t>
        </is>
      </c>
      <c r="D30" s="52" t="inlineStr">
        <is>
          <t>オンライン</t>
        </is>
      </c>
      <c r="E30" s="52" t="inlineStr">
        <is>
          <t>ITB-EV002-SC002-O-001-004</t>
        </is>
      </c>
      <c r="F30" s="94" t="n">
        <v>46087</v>
      </c>
      <c r="G30" s="94" t="n">
        <v>46086</v>
      </c>
      <c r="H30" s="52">
        <f>IF(G30&lt;&gt;"","完了",IF(F30="","－",IF(F30&lt;=$L$2,"遅延","予定")))</f>
        <v/>
      </c>
      <c r="I30" s="94" t="n">
        <v>46089</v>
      </c>
      <c r="J30" s="94" t="n">
        <v>46088</v>
      </c>
      <c r="K30" s="52">
        <f>IF(J30&lt;&gt;"","完了",IF(I30="","－",IF(I30&lt;=$L$2,"遅延","予定")))</f>
        <v/>
      </c>
      <c r="L30" s="52">
        <f>IF(AND(H30="完了",K30="完了"),"完了",IF(OR(H30="遅延",K30="遅延"),"遅延","進行中"))</f>
        <v/>
      </c>
    </row>
    <row r="31">
      <c r="A31" s="52" t="n">
        <v>27</v>
      </c>
      <c r="B31" s="93" t="inlineStr">
        <is>
          <t>input/バッチ/ITB-EV003-SC001-B-001.xlsx</t>
        </is>
      </c>
      <c r="C31" s="93" t="inlineStr">
        <is>
          <t>ITB-EV003-SC001-B-001</t>
        </is>
      </c>
      <c r="D31" s="52" t="inlineStr">
        <is>
          <t>バッチ</t>
        </is>
      </c>
      <c r="E31" s="52" t="inlineStr">
        <is>
          <t>ITB-EV003-SC001-B-001-001</t>
        </is>
      </c>
      <c r="F31" s="94" t="n">
        <v>46085</v>
      </c>
      <c r="G31" s="94" t="n">
        <v>46085</v>
      </c>
      <c r="H31" s="52">
        <f>IF(G31&lt;&gt;"","完了",IF(F31="","－",IF(F31&lt;=$L$2,"遅延","予定")))</f>
        <v/>
      </c>
      <c r="I31" s="94" t="n">
        <v>46087</v>
      </c>
      <c r="J31" s="52" t="inlineStr"/>
      <c r="K31" s="52">
        <f>IF(J31&lt;&gt;"","完了",IF(I31="","－",IF(I31&lt;=$L$2,"遅延","予定")))</f>
        <v/>
      </c>
      <c r="L31" s="52">
        <f>IF(AND(H31="完了",K31="完了"),"完了",IF(OR(H31="遅延",K31="遅延"),"遅延","進行中"))</f>
        <v/>
      </c>
    </row>
    <row r="32">
      <c r="A32" s="52" t="n">
        <v>28</v>
      </c>
      <c r="B32" s="93" t="inlineStr">
        <is>
          <t>input/バッチ/ITB-EV003-SC001-B-001.xlsx</t>
        </is>
      </c>
      <c r="C32" s="93" t="inlineStr">
        <is>
          <t>ITB-EV003-SC001-B-001</t>
        </is>
      </c>
      <c r="D32" s="52" t="inlineStr">
        <is>
          <t>バッチ</t>
        </is>
      </c>
      <c r="E32" s="52" t="inlineStr">
        <is>
          <t>ITB-EV003-SC001-B-001-002</t>
        </is>
      </c>
      <c r="F32" s="94" t="n">
        <v>46090</v>
      </c>
      <c r="G32" s="94" t="n">
        <v>46091</v>
      </c>
      <c r="H32" s="52">
        <f>IF(G32&lt;&gt;"","完了",IF(F32="","－",IF(F32&lt;=$L$2,"遅延","予定")))</f>
        <v/>
      </c>
      <c r="I32" s="94" t="n">
        <v>46092</v>
      </c>
      <c r="J32" s="52" t="inlineStr"/>
      <c r="K32" s="52">
        <f>IF(J32&lt;&gt;"","完了",IF(I32="","－",IF(I32&lt;=$L$2,"遅延","予定")))</f>
        <v/>
      </c>
      <c r="L32" s="52">
        <f>IF(AND(H32="完了",K32="完了"),"完了",IF(OR(H32="遅延",K32="遅延"),"遅延","進行中"))</f>
        <v/>
      </c>
    </row>
    <row r="33">
      <c r="A33" s="52" t="n">
        <v>29</v>
      </c>
      <c r="B33" s="93" t="inlineStr">
        <is>
          <t>input/バッチ/ITB-EV003-SC001-B-001.xlsx</t>
        </is>
      </c>
      <c r="C33" s="93" t="inlineStr">
        <is>
          <t>ITB-EV003-SC001-B-001</t>
        </is>
      </c>
      <c r="D33" s="52" t="inlineStr">
        <is>
          <t>バッチ</t>
        </is>
      </c>
      <c r="E33" s="52" t="inlineStr">
        <is>
          <t>ITB-EV003-SC001-B-001-003</t>
        </is>
      </c>
      <c r="F33" s="94" t="n">
        <v>46082</v>
      </c>
      <c r="G33" s="94" t="n">
        <v>46081</v>
      </c>
      <c r="H33" s="52">
        <f>IF(G33&lt;&gt;"","完了",IF(F33="","－",IF(F33&lt;=$L$2,"遅延","予定")))</f>
        <v/>
      </c>
      <c r="I33" s="94" t="n">
        <v>46086</v>
      </c>
      <c r="J33" s="94" t="n">
        <v>46087</v>
      </c>
      <c r="K33" s="52">
        <f>IF(J33&lt;&gt;"","完了",IF(I33="","－",IF(I33&lt;=$L$2,"遅延","予定")))</f>
        <v/>
      </c>
      <c r="L33" s="52">
        <f>IF(AND(H33="完了",K33="完了"),"完了",IF(OR(H33="遅延",K33="遅延"),"遅延","進行中"))</f>
        <v/>
      </c>
    </row>
    <row r="34">
      <c r="A34" s="52" t="n">
        <v>30</v>
      </c>
      <c r="B34" s="93" t="inlineStr">
        <is>
          <t>input/バッチ/ITB-EV003-SC001-B-001.xlsx</t>
        </is>
      </c>
      <c r="C34" s="93" t="inlineStr">
        <is>
          <t>ITB-EV003-SC001-B-001</t>
        </is>
      </c>
      <c r="D34" s="52" t="inlineStr">
        <is>
          <t>バッチ</t>
        </is>
      </c>
      <c r="E34" s="52" t="inlineStr">
        <is>
          <t>ITB-EV003-SC001-B-001-004</t>
        </is>
      </c>
      <c r="F34" s="94" t="n">
        <v>46083</v>
      </c>
      <c r="G34" s="52" t="inlineStr"/>
      <c r="H34" s="52">
        <f>IF(G34&lt;&gt;"","完了",IF(F34="","－",IF(F34&lt;=$L$2,"遅延","予定")))</f>
        <v/>
      </c>
      <c r="I34" s="94" t="n">
        <v>46086</v>
      </c>
      <c r="J34" s="52" t="inlineStr"/>
      <c r="K34" s="52">
        <f>IF(J34&lt;&gt;"","完了",IF(I34="","－",IF(I34&lt;=$L$2,"遅延","予定")))</f>
        <v/>
      </c>
      <c r="L34" s="52">
        <f>IF(AND(H34="完了",K34="完了"),"完了",IF(OR(H34="遅延",K34="遅延"),"遅延","進行中"))</f>
        <v/>
      </c>
    </row>
    <row r="35">
      <c r="A35" s="52" t="n">
        <v>31</v>
      </c>
      <c r="B35" s="93" t="inlineStr">
        <is>
          <t>input/バッチ/ITB-EV003-SC001-B-001.xlsx</t>
        </is>
      </c>
      <c r="C35" s="93" t="inlineStr">
        <is>
          <t>ITB-EV003-SC001-B-001</t>
        </is>
      </c>
      <c r="D35" s="52" t="inlineStr">
        <is>
          <t>バッチ</t>
        </is>
      </c>
      <c r="E35" s="52" t="inlineStr">
        <is>
          <t>ITB-EV003-SC001-B-001-005</t>
        </is>
      </c>
      <c r="F35" s="94" t="n">
        <v>46084</v>
      </c>
      <c r="G35" s="94" t="n">
        <v>46084</v>
      </c>
      <c r="H35" s="52">
        <f>IF(G35&lt;&gt;"","完了",IF(F35="","－",IF(F35&lt;=$L$2,"遅延","予定")))</f>
        <v/>
      </c>
      <c r="I35" s="94" t="n">
        <v>46088</v>
      </c>
      <c r="J35" s="52" t="inlineStr"/>
      <c r="K35" s="52">
        <f>IF(J35&lt;&gt;"","完了",IF(I35="","－",IF(I35&lt;=$L$2,"遅延","予定")))</f>
        <v/>
      </c>
      <c r="L35" s="52">
        <f>IF(AND(H35="完了",K35="完了"),"完了",IF(OR(H35="遅延",K35="遅延"),"遅延","進行中"))</f>
        <v/>
      </c>
    </row>
    <row r="36">
      <c r="A36" s="52" t="n">
        <v>32</v>
      </c>
      <c r="B36" s="93" t="inlineStr">
        <is>
          <t>input/バッチ/ITB-EV003-SC001-B-001.xlsx</t>
        </is>
      </c>
      <c r="C36" s="93" t="inlineStr">
        <is>
          <t>ITB-EV003-SC001-B-001</t>
        </is>
      </c>
      <c r="D36" s="52" t="inlineStr">
        <is>
          <t>バッチ</t>
        </is>
      </c>
      <c r="E36" s="52" t="inlineStr">
        <is>
          <t>ITB-EV003-SC001-B-001-006</t>
        </is>
      </c>
      <c r="F36" s="94" t="n">
        <v>46077</v>
      </c>
      <c r="G36" s="52" t="inlineStr"/>
      <c r="H36" s="52">
        <f>IF(G36&lt;&gt;"","完了",IF(F36="","－",IF(F36&lt;=$L$2,"遅延","予定")))</f>
        <v/>
      </c>
      <c r="I36" s="94" t="n">
        <v>46079</v>
      </c>
      <c r="J36" s="52" t="inlineStr"/>
      <c r="K36" s="52">
        <f>IF(J36&lt;&gt;"","完了",IF(I36="","－",IF(I36&lt;=$L$2,"遅延","予定")))</f>
        <v/>
      </c>
      <c r="L36" s="52">
        <f>IF(AND(H36="完了",K36="完了"),"完了",IF(OR(H36="遅延",K36="遅延"),"遅延","進行中"))</f>
        <v/>
      </c>
    </row>
    <row r="37">
      <c r="A37" s="52" t="n">
        <v>33</v>
      </c>
      <c r="B37" s="93" t="inlineStr">
        <is>
          <t>input/バッチ/ITB-EV003-SC001-B-001.xlsx</t>
        </is>
      </c>
      <c r="C37" s="93" t="inlineStr">
        <is>
          <t>ITB-EV003-SC001-B-001</t>
        </is>
      </c>
      <c r="D37" s="52" t="inlineStr">
        <is>
          <t>バッチ</t>
        </is>
      </c>
      <c r="E37" s="52" t="inlineStr">
        <is>
          <t>ITB-EV003-SC001-B-001-007</t>
        </is>
      </c>
      <c r="F37" s="94" t="n">
        <v>46086</v>
      </c>
      <c r="G37" s="94" t="n">
        <v>46085</v>
      </c>
      <c r="H37" s="52">
        <f>IF(G37&lt;&gt;"","完了",IF(F37="","－",IF(F37&lt;=$L$2,"遅延","予定")))</f>
        <v/>
      </c>
      <c r="I37" s="94" t="n">
        <v>46088</v>
      </c>
      <c r="J37" s="94" t="n">
        <v>46089</v>
      </c>
      <c r="K37" s="52">
        <f>IF(J37&lt;&gt;"","完了",IF(I37="","－",IF(I37&lt;=$L$2,"遅延","予定")))</f>
        <v/>
      </c>
      <c r="L37" s="52">
        <f>IF(AND(H37="完了",K37="完了"),"完了",IF(OR(H37="遅延",K37="遅延"),"遅延","進行中"))</f>
        <v/>
      </c>
    </row>
    <row r="38">
      <c r="A38" s="52" t="n">
        <v>34</v>
      </c>
      <c r="B38" s="93" t="inlineStr">
        <is>
          <t>input/バッチ/ITB-EV003-SC001-B-001.xlsx</t>
        </is>
      </c>
      <c r="C38" s="93" t="inlineStr">
        <is>
          <t>ITB-EV003-SC001-B-001</t>
        </is>
      </c>
      <c r="D38" s="52" t="inlineStr">
        <is>
          <t>バッチ</t>
        </is>
      </c>
      <c r="E38" s="52" t="inlineStr">
        <is>
          <t>ITB-EV003-SC001-B-001-008</t>
        </is>
      </c>
      <c r="F38" s="94" t="n">
        <v>46086</v>
      </c>
      <c r="G38" s="52" t="inlineStr"/>
      <c r="H38" s="52">
        <f>IF(G38&lt;&gt;"","完了",IF(F38="","－",IF(F38&lt;=$L$2,"遅延","予定")))</f>
        <v/>
      </c>
      <c r="I38" s="94" t="n">
        <v>46089</v>
      </c>
      <c r="J38" s="52" t="inlineStr"/>
      <c r="K38" s="52">
        <f>IF(J38&lt;&gt;"","完了",IF(I38="","－",IF(I38&lt;=$L$2,"遅延","予定")))</f>
        <v/>
      </c>
      <c r="L38" s="52">
        <f>IF(AND(H38="完了",K38="完了"),"完了",IF(OR(H38="遅延",K38="遅延"),"遅延","進行中"))</f>
        <v/>
      </c>
    </row>
    <row r="39">
      <c r="A39" s="52" t="n">
        <v>35</v>
      </c>
      <c r="B39" s="93" t="inlineStr">
        <is>
          <t>input/バッチ/ITB-EV003-SC001-B-001.xlsx</t>
        </is>
      </c>
      <c r="C39" s="93" t="inlineStr">
        <is>
          <t>ITB-EV003-SC001-B-001</t>
        </is>
      </c>
      <c r="D39" s="52" t="inlineStr">
        <is>
          <t>バッチ</t>
        </is>
      </c>
      <c r="E39" s="52" t="inlineStr">
        <is>
          <t>ITB-EV003-SC001-B-001-009</t>
        </is>
      </c>
      <c r="F39" s="94" t="n">
        <v>46088</v>
      </c>
      <c r="G39" s="94" t="n">
        <v>46090</v>
      </c>
      <c r="H39" s="52">
        <f>IF(G39&lt;&gt;"","完了",IF(F39="","－",IF(F39&lt;=$L$2,"遅延","予定")))</f>
        <v/>
      </c>
      <c r="I39" s="94" t="n">
        <v>46090</v>
      </c>
      <c r="J39" s="52" t="inlineStr"/>
      <c r="K39" s="52">
        <f>IF(J39&lt;&gt;"","完了",IF(I39="","－",IF(I39&lt;=$L$2,"遅延","予定")))</f>
        <v/>
      </c>
      <c r="L39" s="52">
        <f>IF(AND(H39="完了",K39="完了"),"完了",IF(OR(H39="遅延",K39="遅延"),"遅延","進行中"))</f>
        <v/>
      </c>
    </row>
    <row r="40">
      <c r="A40" s="52" t="n">
        <v>36</v>
      </c>
      <c r="B40" s="93" t="inlineStr">
        <is>
          <t>input/バッチ/ITB-EV003-SC001-B-001.xlsx</t>
        </is>
      </c>
      <c r="C40" s="93" t="inlineStr">
        <is>
          <t>ITB-EV003-SC001-B-001</t>
        </is>
      </c>
      <c r="D40" s="52" t="inlineStr">
        <is>
          <t>バッチ</t>
        </is>
      </c>
      <c r="E40" s="52" t="inlineStr">
        <is>
          <t>ITB-EV003-SC001-B-001-010</t>
        </is>
      </c>
      <c r="F40" s="94" t="n">
        <v>46083</v>
      </c>
      <c r="G40" s="94" t="n">
        <v>46084</v>
      </c>
      <c r="H40" s="52">
        <f>IF(G40&lt;&gt;"","完了",IF(F40="","－",IF(F40&lt;=$L$2,"遅延","予定")))</f>
        <v/>
      </c>
      <c r="I40" s="94" t="n">
        <v>46087</v>
      </c>
      <c r="J40" s="94" t="n">
        <v>46088</v>
      </c>
      <c r="K40" s="52">
        <f>IF(J40&lt;&gt;"","完了",IF(I40="","－",IF(I40&lt;=$L$2,"遅延","予定")))</f>
        <v/>
      </c>
      <c r="L40" s="52">
        <f>IF(AND(H40="完了",K40="完了"),"完了",IF(OR(H40="遅延",K40="遅延"),"遅延","進行中"))</f>
        <v/>
      </c>
    </row>
    <row r="41">
      <c r="A41" s="52" t="n">
        <v>37</v>
      </c>
      <c r="B41" s="93" t="inlineStr">
        <is>
          <t>input/バッチ/ITB-EV003-SC002-B-001.xlsx</t>
        </is>
      </c>
      <c r="C41" s="93" t="inlineStr">
        <is>
          <t>ITB-EV003-SC002-B-001</t>
        </is>
      </c>
      <c r="D41" s="52" t="inlineStr">
        <is>
          <t>バッチ</t>
        </is>
      </c>
      <c r="E41" s="52" t="inlineStr">
        <is>
          <t>ITB-EV003-SC002-B-001-001</t>
        </is>
      </c>
      <c r="F41" s="94" t="n">
        <v>46088</v>
      </c>
      <c r="G41" s="94" t="n">
        <v>46088</v>
      </c>
      <c r="H41" s="52">
        <f>IF(G41&lt;&gt;"","完了",IF(F41="","－",IF(F41&lt;=$L$2,"遅延","予定")))</f>
        <v/>
      </c>
      <c r="I41" s="94" t="n">
        <v>46092</v>
      </c>
      <c r="J41" s="94" t="n">
        <v>46091</v>
      </c>
      <c r="K41" s="52">
        <f>IF(J41&lt;&gt;"","完了",IF(I41="","－",IF(I41&lt;=$L$2,"遅延","予定")))</f>
        <v/>
      </c>
      <c r="L41" s="52">
        <f>IF(AND(H41="完了",K41="完了"),"完了",IF(OR(H41="遅延",K41="遅延"),"遅延","進行中"))</f>
        <v/>
      </c>
    </row>
    <row r="42">
      <c r="A42" s="52" t="n">
        <v>38</v>
      </c>
      <c r="B42" s="93" t="inlineStr">
        <is>
          <t>input/バッチ/ITB-EV003-SC002-B-001.xlsx</t>
        </is>
      </c>
      <c r="C42" s="93" t="inlineStr">
        <is>
          <t>ITB-EV003-SC002-B-001</t>
        </is>
      </c>
      <c r="D42" s="52" t="inlineStr">
        <is>
          <t>バッチ</t>
        </is>
      </c>
      <c r="E42" s="52" t="inlineStr">
        <is>
          <t>ITB-EV003-SC002-B-001-002</t>
        </is>
      </c>
      <c r="F42" s="94" t="n">
        <v>46079</v>
      </c>
      <c r="G42" s="52" t="inlineStr"/>
      <c r="H42" s="52">
        <f>IF(G42&lt;&gt;"","完了",IF(F42="","－",IF(F42&lt;=$L$2,"遅延","予定")))</f>
        <v/>
      </c>
      <c r="I42" s="94" t="n">
        <v>46081</v>
      </c>
      <c r="J42" s="52" t="inlineStr"/>
      <c r="K42" s="52">
        <f>IF(J42&lt;&gt;"","完了",IF(I42="","－",IF(I42&lt;=$L$2,"遅延","予定")))</f>
        <v/>
      </c>
      <c r="L42" s="52">
        <f>IF(AND(H42="完了",K42="完了"),"完了",IF(OR(H42="遅延",K42="遅延"),"遅延","進行中"))</f>
        <v/>
      </c>
    </row>
    <row r="43">
      <c r="A43" s="52" t="n">
        <v>39</v>
      </c>
      <c r="B43" s="93" t="inlineStr">
        <is>
          <t>input/バッチ/ITB-EV003-SC002-B-001.xlsx</t>
        </is>
      </c>
      <c r="C43" s="93" t="inlineStr">
        <is>
          <t>ITB-EV003-SC002-B-001</t>
        </is>
      </c>
      <c r="D43" s="52" t="inlineStr">
        <is>
          <t>バッチ</t>
        </is>
      </c>
      <c r="E43" s="52" t="inlineStr">
        <is>
          <t>ITB-EV003-SC002-B-001-003</t>
        </is>
      </c>
      <c r="F43" s="94" t="n">
        <v>46089</v>
      </c>
      <c r="G43" s="94" t="n">
        <v>46091</v>
      </c>
      <c r="H43" s="52">
        <f>IF(G43&lt;&gt;"","完了",IF(F43="","－",IF(F43&lt;=$L$2,"遅延","予定")))</f>
        <v/>
      </c>
      <c r="I43" s="94" t="n">
        <v>46092</v>
      </c>
      <c r="J43" s="94" t="n">
        <v>46092</v>
      </c>
      <c r="K43" s="52">
        <f>IF(J43&lt;&gt;"","完了",IF(I43="","－",IF(I43&lt;=$L$2,"遅延","予定")))</f>
        <v/>
      </c>
      <c r="L43" s="52">
        <f>IF(AND(H43="完了",K43="完了"),"完了",IF(OR(H43="遅延",K43="遅延"),"遅延","進行中"))</f>
        <v/>
      </c>
    </row>
    <row r="44">
      <c r="A44" s="52" t="n">
        <v>40</v>
      </c>
      <c r="B44" s="93" t="inlineStr">
        <is>
          <t>input/バッチ/ITB-EV003-SC002-B-001.xlsx</t>
        </is>
      </c>
      <c r="C44" s="93" t="inlineStr">
        <is>
          <t>ITB-EV003-SC002-B-001</t>
        </is>
      </c>
      <c r="D44" s="52" t="inlineStr">
        <is>
          <t>バッチ</t>
        </is>
      </c>
      <c r="E44" s="52" t="inlineStr">
        <is>
          <t>ITB-EV003-SC002-B-001-004</t>
        </is>
      </c>
      <c r="F44" s="94" t="n">
        <v>46092</v>
      </c>
      <c r="G44" s="52" t="inlineStr"/>
      <c r="H44" s="52">
        <f>IF(G44&lt;&gt;"","完了",IF(F44="","－",IF(F44&lt;=$L$2,"遅延","予定")))</f>
        <v/>
      </c>
      <c r="I44" s="94" t="n">
        <v>46096</v>
      </c>
      <c r="J44" s="52" t="inlineStr"/>
      <c r="K44" s="52">
        <f>IF(J44&lt;&gt;"","完了",IF(I44="","－",IF(I44&lt;=$L$2,"遅延","予定")))</f>
        <v/>
      </c>
      <c r="L44" s="52">
        <f>IF(AND(H44="完了",K44="完了"),"完了",IF(OR(H44="遅延",K44="遅延"),"遅延","進行中"))</f>
        <v/>
      </c>
    </row>
    <row r="45">
      <c r="A45" s="52" t="n">
        <v>41</v>
      </c>
      <c r="B45" s="93" t="inlineStr">
        <is>
          <t>input/バッチ/ITB-EV003-SC002-B-001.xlsx</t>
        </is>
      </c>
      <c r="C45" s="93" t="inlineStr">
        <is>
          <t>ITB-EV003-SC002-B-001</t>
        </is>
      </c>
      <c r="D45" s="52" t="inlineStr">
        <is>
          <t>バッチ</t>
        </is>
      </c>
      <c r="E45" s="52" t="inlineStr">
        <is>
          <t>ITB-EV003-SC002-B-001-005</t>
        </is>
      </c>
      <c r="F45" s="94" t="n">
        <v>46076</v>
      </c>
      <c r="G45" s="94" t="n">
        <v>46075</v>
      </c>
      <c r="H45" s="52">
        <f>IF(G45&lt;&gt;"","完了",IF(F45="","－",IF(F45&lt;=$L$2,"遅延","予定")))</f>
        <v/>
      </c>
      <c r="I45" s="94" t="n">
        <v>46080</v>
      </c>
      <c r="J45" s="94" t="n">
        <v>46080</v>
      </c>
      <c r="K45" s="52">
        <f>IF(J45&lt;&gt;"","完了",IF(I45="","－",IF(I45&lt;=$L$2,"遅延","予定")))</f>
        <v/>
      </c>
      <c r="L45" s="52">
        <f>IF(AND(H45="完了",K45="完了"),"完了",IF(OR(H45="遅延",K45="遅延"),"遅延","進行中"))</f>
        <v/>
      </c>
    </row>
    <row r="46">
      <c r="A46" s="52" t="n">
        <v>42</v>
      </c>
      <c r="B46" s="93" t="inlineStr">
        <is>
          <t>input/バッチ/ITB-EV003-SC002-B-001.xlsx</t>
        </is>
      </c>
      <c r="C46" s="93" t="inlineStr">
        <is>
          <t>ITB-EV003-SC002-B-001</t>
        </is>
      </c>
      <c r="D46" s="52" t="inlineStr">
        <is>
          <t>バッチ</t>
        </is>
      </c>
      <c r="E46" s="52" t="inlineStr">
        <is>
          <t>ITB-EV003-SC002-B-001-006</t>
        </is>
      </c>
      <c r="F46" s="94" t="n">
        <v>46096</v>
      </c>
      <c r="G46" s="94" t="n">
        <v>46097</v>
      </c>
      <c r="H46" s="52">
        <f>IF(G46&lt;&gt;"","完了",IF(F46="","－",IF(F46&lt;=$L$2,"遅延","予定")))</f>
        <v/>
      </c>
      <c r="I46" s="94" t="n">
        <v>46099</v>
      </c>
      <c r="J46" s="52" t="inlineStr"/>
      <c r="K46" s="52">
        <f>IF(J46&lt;&gt;"","完了",IF(I46="","－",IF(I46&lt;=$L$2,"遅延","予定")))</f>
        <v/>
      </c>
      <c r="L46" s="52">
        <f>IF(AND(H46="完了",K46="完了"),"完了",IF(OR(H46="遅延",K46="遅延"),"遅延","進行中"))</f>
        <v/>
      </c>
    </row>
    <row r="47">
      <c r="A47" s="52" t="n">
        <v>43</v>
      </c>
      <c r="B47" s="93" t="inlineStr">
        <is>
          <t>input/バッチ/ITB-EV003-SC002-B-001.xlsx</t>
        </is>
      </c>
      <c r="C47" s="93" t="inlineStr">
        <is>
          <t>ITB-EV003-SC002-B-001</t>
        </is>
      </c>
      <c r="D47" s="52" t="inlineStr">
        <is>
          <t>バッチ</t>
        </is>
      </c>
      <c r="E47" s="52" t="inlineStr">
        <is>
          <t>ITB-EV003-SC002-B-001-007</t>
        </is>
      </c>
      <c r="F47" s="94" t="n">
        <v>46076</v>
      </c>
      <c r="G47" s="94" t="n">
        <v>46077</v>
      </c>
      <c r="H47" s="52">
        <f>IF(G47&lt;&gt;"","完了",IF(F47="","－",IF(F47&lt;=$L$2,"遅延","予定")))</f>
        <v/>
      </c>
      <c r="I47" s="94" t="n">
        <v>46080</v>
      </c>
      <c r="J47" s="94" t="n">
        <v>46081</v>
      </c>
      <c r="K47" s="52">
        <f>IF(J47&lt;&gt;"","完了",IF(I47="","－",IF(I47&lt;=$L$2,"遅延","予定")))</f>
        <v/>
      </c>
      <c r="L47" s="52">
        <f>IF(AND(H47="完了",K47="完了"),"完了",IF(OR(H47="遅延",K47="遅延"),"遅延","進行中"))</f>
        <v/>
      </c>
    </row>
    <row r="48">
      <c r="A48" s="52" t="n">
        <v>44</v>
      </c>
      <c r="B48" s="93" t="inlineStr">
        <is>
          <t>input/バッチ/ITB-EV003-SC002-B-001.xlsx</t>
        </is>
      </c>
      <c r="C48" s="93" t="inlineStr">
        <is>
          <t>ITB-EV003-SC002-B-001</t>
        </is>
      </c>
      <c r="D48" s="52" t="inlineStr">
        <is>
          <t>バッチ</t>
        </is>
      </c>
      <c r="E48" s="52" t="inlineStr">
        <is>
          <t>ITB-EV003-SC002-B-001-008</t>
        </is>
      </c>
      <c r="F48" s="94" t="n">
        <v>46079</v>
      </c>
      <c r="G48" s="94" t="n">
        <v>46080</v>
      </c>
      <c r="H48" s="52">
        <f>IF(G48&lt;&gt;"","完了",IF(F48="","－",IF(F48&lt;=$L$2,"遅延","予定")))</f>
        <v/>
      </c>
      <c r="I48" s="94" t="n">
        <v>46083</v>
      </c>
      <c r="J48" s="94" t="n">
        <v>46082</v>
      </c>
      <c r="K48" s="52">
        <f>IF(J48&lt;&gt;"","完了",IF(I48="","－",IF(I48&lt;=$L$2,"遅延","予定")))</f>
        <v/>
      </c>
      <c r="L48" s="52">
        <f>IF(AND(H48="完了",K48="完了"),"完了",IF(OR(H48="遅延",K48="遅延"),"遅延","進行中"))</f>
        <v/>
      </c>
    </row>
    <row r="49">
      <c r="A49" s="52" t="n">
        <v>45</v>
      </c>
      <c r="B49" s="93" t="inlineStr">
        <is>
          <t>input/バッチ/ITB-EV004-SC001-B-001.xlsx</t>
        </is>
      </c>
      <c r="C49" s="93" t="inlineStr">
        <is>
          <t>ITB-EV004-SC001-B-001</t>
        </is>
      </c>
      <c r="D49" s="52" t="inlineStr">
        <is>
          <t>バッチ</t>
        </is>
      </c>
      <c r="E49" s="52" t="inlineStr">
        <is>
          <t>ITB-EV004-SC001-B-001-001</t>
        </is>
      </c>
      <c r="F49" s="94" t="n">
        <v>46080</v>
      </c>
      <c r="G49" s="94" t="n">
        <v>46080</v>
      </c>
      <c r="H49" s="52">
        <f>IF(G49&lt;&gt;"","完了",IF(F49="","－",IF(F49&lt;=$L$2,"遅延","予定")))</f>
        <v/>
      </c>
      <c r="I49" s="94" t="n">
        <v>46084</v>
      </c>
      <c r="J49" s="94" t="n">
        <v>46085</v>
      </c>
      <c r="K49" s="52">
        <f>IF(J49&lt;&gt;"","完了",IF(I49="","－",IF(I49&lt;=$L$2,"遅延","予定")))</f>
        <v/>
      </c>
      <c r="L49" s="52">
        <f>IF(AND(H49="完了",K49="完了"),"完了",IF(OR(H49="遅延",K49="遅延"),"遅延","進行中"))</f>
        <v/>
      </c>
    </row>
    <row r="50">
      <c r="A50" s="52" t="n">
        <v>46</v>
      </c>
      <c r="B50" s="93" t="inlineStr">
        <is>
          <t>input/バッチ/ITB-EV004-SC001-B-001.xlsx</t>
        </is>
      </c>
      <c r="C50" s="93" t="inlineStr">
        <is>
          <t>ITB-EV004-SC001-B-001</t>
        </is>
      </c>
      <c r="D50" s="52" t="inlineStr">
        <is>
          <t>バッチ</t>
        </is>
      </c>
      <c r="E50" s="52" t="inlineStr">
        <is>
          <t>ITB-EV004-SC001-B-001-002</t>
        </is>
      </c>
      <c r="F50" s="94" t="n">
        <v>46076</v>
      </c>
      <c r="G50" s="94" t="n">
        <v>46078</v>
      </c>
      <c r="H50" s="52">
        <f>IF(G50&lt;&gt;"","完了",IF(F50="","－",IF(F50&lt;=$L$2,"遅延","予定")))</f>
        <v/>
      </c>
      <c r="I50" s="94" t="n">
        <v>46078</v>
      </c>
      <c r="J50" s="52" t="inlineStr"/>
      <c r="K50" s="52">
        <f>IF(J50&lt;&gt;"","完了",IF(I50="","－",IF(I50&lt;=$L$2,"遅延","予定")))</f>
        <v/>
      </c>
      <c r="L50" s="52">
        <f>IF(AND(H50="完了",K50="完了"),"完了",IF(OR(H50="遅延",K50="遅延"),"遅延","進行中"))</f>
        <v/>
      </c>
    </row>
    <row r="51">
      <c r="A51" s="52" t="n">
        <v>47</v>
      </c>
      <c r="B51" s="93" t="inlineStr">
        <is>
          <t>input/バッチ/ITB-EV004-SC001-B-001.xlsx</t>
        </is>
      </c>
      <c r="C51" s="93" t="inlineStr">
        <is>
          <t>ITB-EV004-SC001-B-001</t>
        </is>
      </c>
      <c r="D51" s="52" t="inlineStr">
        <is>
          <t>バッチ</t>
        </is>
      </c>
      <c r="E51" s="52" t="inlineStr">
        <is>
          <t>ITB-EV004-SC001-B-001-003</t>
        </is>
      </c>
      <c r="F51" s="94" t="n">
        <v>46087</v>
      </c>
      <c r="G51" s="94" t="n">
        <v>46088</v>
      </c>
      <c r="H51" s="52">
        <f>IF(G51&lt;&gt;"","完了",IF(F51="","－",IF(F51&lt;=$L$2,"遅延","予定")))</f>
        <v/>
      </c>
      <c r="I51" s="94" t="n">
        <v>46089</v>
      </c>
      <c r="J51" s="52" t="inlineStr"/>
      <c r="K51" s="52">
        <f>IF(J51&lt;&gt;"","完了",IF(I51="","－",IF(I51&lt;=$L$2,"遅延","予定")))</f>
        <v/>
      </c>
      <c r="L51" s="52">
        <f>IF(AND(H51="完了",K51="完了"),"完了",IF(OR(H51="遅延",K51="遅延"),"遅延","進行中"))</f>
        <v/>
      </c>
    </row>
    <row r="52">
      <c r="A52" s="52" t="n">
        <v>48</v>
      </c>
      <c r="B52" s="93" t="inlineStr">
        <is>
          <t>input/バッチ/ITB-EV004-SC001-B-001.xlsx</t>
        </is>
      </c>
      <c r="C52" s="93" t="inlineStr">
        <is>
          <t>ITB-EV004-SC001-B-001</t>
        </is>
      </c>
      <c r="D52" s="52" t="inlineStr">
        <is>
          <t>バッチ</t>
        </is>
      </c>
      <c r="E52" s="52" t="inlineStr">
        <is>
          <t>ITB-EV004-SC001-B-001-004</t>
        </is>
      </c>
      <c r="F52" s="94" t="n">
        <v>46094</v>
      </c>
      <c r="G52" s="94" t="n">
        <v>46093</v>
      </c>
      <c r="H52" s="52">
        <f>IF(G52&lt;&gt;"","完了",IF(F52="","－",IF(F52&lt;=$L$2,"遅延","予定")))</f>
        <v/>
      </c>
      <c r="I52" s="94" t="n">
        <v>46098</v>
      </c>
      <c r="J52" s="94" t="n">
        <v>46097</v>
      </c>
      <c r="K52" s="52">
        <f>IF(J52&lt;&gt;"","完了",IF(I52="","－",IF(I52&lt;=$L$2,"遅延","予定")))</f>
        <v/>
      </c>
      <c r="L52" s="52">
        <f>IF(AND(H52="完了",K52="完了"),"完了",IF(OR(H52="遅延",K52="遅延"),"遅延","進行中"))</f>
        <v/>
      </c>
    </row>
    <row r="53">
      <c r="A53" s="52" t="n">
        <v>49</v>
      </c>
      <c r="B53" s="93" t="inlineStr">
        <is>
          <t>input/バッチ/ITB-EV004-SC001-B-001.xlsx</t>
        </is>
      </c>
      <c r="C53" s="93" t="inlineStr">
        <is>
          <t>ITB-EV004-SC001-B-001</t>
        </is>
      </c>
      <c r="D53" s="52" t="inlineStr">
        <is>
          <t>バッチ</t>
        </is>
      </c>
      <c r="E53" s="52" t="inlineStr">
        <is>
          <t>ITB-EV004-SC001-B-001-005</t>
        </is>
      </c>
      <c r="F53" s="94" t="n">
        <v>46093</v>
      </c>
      <c r="G53" s="94" t="n">
        <v>46093</v>
      </c>
      <c r="H53" s="52">
        <f>IF(G53&lt;&gt;"","完了",IF(F53="","－",IF(F53&lt;=$L$2,"遅延","予定")))</f>
        <v/>
      </c>
      <c r="I53" s="94" t="n">
        <v>46097</v>
      </c>
      <c r="J53" s="94" t="n">
        <v>46098</v>
      </c>
      <c r="K53" s="52">
        <f>IF(J53&lt;&gt;"","完了",IF(I53="","－",IF(I53&lt;=$L$2,"遅延","予定")))</f>
        <v/>
      </c>
      <c r="L53" s="52">
        <f>IF(AND(H53="完了",K53="完了"),"完了",IF(OR(H53="遅延",K53="遅延"),"遅延","進行中"))</f>
        <v/>
      </c>
    </row>
    <row r="54">
      <c r="A54" s="52" t="n">
        <v>50</v>
      </c>
      <c r="B54" s="93" t="inlineStr">
        <is>
          <t>input/バッチ/ITB-EV004-SC001-B-001.xlsx</t>
        </is>
      </c>
      <c r="C54" s="93" t="inlineStr">
        <is>
          <t>ITB-EV004-SC001-B-001</t>
        </is>
      </c>
      <c r="D54" s="52" t="inlineStr">
        <is>
          <t>バッチ</t>
        </is>
      </c>
      <c r="E54" s="52" t="inlineStr">
        <is>
          <t>ITB-EV004-SC001-B-001-006</t>
        </is>
      </c>
      <c r="F54" s="94" t="n">
        <v>46081</v>
      </c>
      <c r="G54" s="52" t="inlineStr"/>
      <c r="H54" s="52">
        <f>IF(G54&lt;&gt;"","完了",IF(F54="","－",IF(F54&lt;=$L$2,"遅延","予定")))</f>
        <v/>
      </c>
      <c r="I54" s="94" t="n">
        <v>46085</v>
      </c>
      <c r="J54" s="52" t="inlineStr"/>
      <c r="K54" s="52">
        <f>IF(J54&lt;&gt;"","完了",IF(I54="","－",IF(I54&lt;=$L$2,"遅延","予定")))</f>
        <v/>
      </c>
      <c r="L54" s="52">
        <f>IF(AND(H54="完了",K54="完了"),"完了",IF(OR(H54="遅延",K54="遅延"),"遅延","進行中"))</f>
        <v/>
      </c>
    </row>
    <row r="55">
      <c r="A55" s="52" t="n">
        <v>51</v>
      </c>
      <c r="B55" s="93" t="inlineStr">
        <is>
          <t>input/基盤/ITB-EV005-SC001-I-001.xlsx</t>
        </is>
      </c>
      <c r="C55" s="93" t="inlineStr">
        <is>
          <t>ITB-EV005-SC001-I-001</t>
        </is>
      </c>
      <c r="D55" s="52" t="inlineStr">
        <is>
          <t>基盤</t>
        </is>
      </c>
      <c r="E55" s="52" t="inlineStr">
        <is>
          <t>ITB-EV005-SC001-I-001-001</t>
        </is>
      </c>
      <c r="F55" s="94" t="n">
        <v>46089</v>
      </c>
      <c r="G55" s="94" t="n">
        <v>46092</v>
      </c>
      <c r="H55" s="52">
        <f>IF(G55&lt;&gt;"","完了",IF(F55="","－",IF(F55&lt;=$L$2,"遅延","予定")))</f>
        <v/>
      </c>
      <c r="I55" s="94" t="n">
        <v>46092</v>
      </c>
      <c r="J55" s="94" t="n">
        <v>46093</v>
      </c>
      <c r="K55" s="52">
        <f>IF(J55&lt;&gt;"","完了",IF(I55="","－",IF(I55&lt;=$L$2,"遅延","予定")))</f>
        <v/>
      </c>
      <c r="L55" s="52">
        <f>IF(AND(H55="完了",K55="完了"),"完了",IF(OR(H55="遅延",K55="遅延"),"遅延","進行中"))</f>
        <v/>
      </c>
    </row>
    <row r="56">
      <c r="A56" s="52" t="n">
        <v>52</v>
      </c>
      <c r="B56" s="93" t="inlineStr">
        <is>
          <t>input/基盤/ITB-EV005-SC001-I-001.xlsx</t>
        </is>
      </c>
      <c r="C56" s="93" t="inlineStr">
        <is>
          <t>ITB-EV005-SC001-I-001</t>
        </is>
      </c>
      <c r="D56" s="52" t="inlineStr">
        <is>
          <t>基盤</t>
        </is>
      </c>
      <c r="E56" s="52" t="inlineStr">
        <is>
          <t>ITB-EV005-SC001-I-001-002</t>
        </is>
      </c>
      <c r="F56" s="94" t="n">
        <v>46085</v>
      </c>
      <c r="G56" s="94" t="n">
        <v>46088</v>
      </c>
      <c r="H56" s="52">
        <f>IF(G56&lt;&gt;"","完了",IF(F56="","－",IF(F56&lt;=$L$2,"遅延","予定")))</f>
        <v/>
      </c>
      <c r="I56" s="94" t="n">
        <v>46088</v>
      </c>
      <c r="J56" s="94" t="n">
        <v>46090</v>
      </c>
      <c r="K56" s="52">
        <f>IF(J56&lt;&gt;"","完了",IF(I56="","－",IF(I56&lt;=$L$2,"遅延","予定")))</f>
        <v/>
      </c>
      <c r="L56" s="52">
        <f>IF(AND(H56="完了",K56="完了"),"完了",IF(OR(H56="遅延",K56="遅延"),"遅延","進行中"))</f>
        <v/>
      </c>
    </row>
    <row r="57">
      <c r="A57" s="52" t="n">
        <v>53</v>
      </c>
      <c r="B57" s="93" t="inlineStr">
        <is>
          <t>input/基盤/ITB-EV005-SC001-I-001.xlsx</t>
        </is>
      </c>
      <c r="C57" s="93" t="inlineStr">
        <is>
          <t>ITB-EV005-SC001-I-001</t>
        </is>
      </c>
      <c r="D57" s="52" t="inlineStr">
        <is>
          <t>基盤</t>
        </is>
      </c>
      <c r="E57" s="52" t="inlineStr">
        <is>
          <t>ITB-EV005-SC001-I-001-003</t>
        </is>
      </c>
      <c r="F57" s="94" t="n">
        <v>46090</v>
      </c>
      <c r="G57" s="52" t="inlineStr"/>
      <c r="H57" s="52">
        <f>IF(G57&lt;&gt;"","完了",IF(F57="","－",IF(F57&lt;=$L$2,"遅延","予定")))</f>
        <v/>
      </c>
      <c r="I57" s="94" t="n">
        <v>46093</v>
      </c>
      <c r="J57" s="52" t="inlineStr"/>
      <c r="K57" s="52">
        <f>IF(J57&lt;&gt;"","完了",IF(I57="","－",IF(I57&lt;=$L$2,"遅延","予定")))</f>
        <v/>
      </c>
      <c r="L57" s="52">
        <f>IF(AND(H57="完了",K57="完了"),"完了",IF(OR(H57="遅延",K57="遅延"),"遅延","進行中"))</f>
        <v/>
      </c>
    </row>
    <row r="58">
      <c r="A58" s="52" t="n">
        <v>54</v>
      </c>
      <c r="B58" s="93" t="inlineStr">
        <is>
          <t>input/基盤/ITB-EV005-SC001-I-001.xlsx</t>
        </is>
      </c>
      <c r="C58" s="93" t="inlineStr">
        <is>
          <t>ITB-EV005-SC001-I-001</t>
        </is>
      </c>
      <c r="D58" s="52" t="inlineStr">
        <is>
          <t>基盤</t>
        </is>
      </c>
      <c r="E58" s="52" t="inlineStr">
        <is>
          <t>ITB-EV005-SC001-I-001-004</t>
        </is>
      </c>
      <c r="F58" s="94" t="n">
        <v>46083</v>
      </c>
      <c r="G58" s="52" t="inlineStr"/>
      <c r="H58" s="52">
        <f>IF(G58&lt;&gt;"","完了",IF(F58="","－",IF(F58&lt;=$L$2,"遅延","予定")))</f>
        <v/>
      </c>
      <c r="I58" s="94" t="n">
        <v>46086</v>
      </c>
      <c r="J58" s="52" t="inlineStr"/>
      <c r="K58" s="52">
        <f>IF(J58&lt;&gt;"","完了",IF(I58="","－",IF(I58&lt;=$L$2,"遅延","予定")))</f>
        <v/>
      </c>
      <c r="L58" s="52">
        <f>IF(AND(H58="完了",K58="完了"),"完了",IF(OR(H58="遅延",K58="遅延"),"遅延","進行中"))</f>
        <v/>
      </c>
    </row>
    <row r="59">
      <c r="A59" s="52" t="n">
        <v>55</v>
      </c>
      <c r="B59" s="93" t="inlineStr">
        <is>
          <t>input/基盤/ITB-EV005-SC001-I-001.xlsx</t>
        </is>
      </c>
      <c r="C59" s="93" t="inlineStr">
        <is>
          <t>ITB-EV005-SC001-I-001</t>
        </is>
      </c>
      <c r="D59" s="52" t="inlineStr">
        <is>
          <t>基盤</t>
        </is>
      </c>
      <c r="E59" s="52" t="inlineStr">
        <is>
          <t>ITB-EV005-SC001-I-001-005</t>
        </is>
      </c>
      <c r="F59" s="94" t="n">
        <v>46076</v>
      </c>
      <c r="G59" s="94" t="n">
        <v>46077</v>
      </c>
      <c r="H59" s="52">
        <f>IF(G59&lt;&gt;"","完了",IF(F59="","－",IF(F59&lt;=$L$2,"遅延","予定")))</f>
        <v/>
      </c>
      <c r="I59" s="94" t="n">
        <v>46079</v>
      </c>
      <c r="J59" s="94" t="n">
        <v>46080</v>
      </c>
      <c r="K59" s="52">
        <f>IF(J59&lt;&gt;"","完了",IF(I59="","－",IF(I59&lt;=$L$2,"遅延","予定")))</f>
        <v/>
      </c>
      <c r="L59" s="52">
        <f>IF(AND(H59="完了",K59="完了"),"完了",IF(OR(H59="遅延",K59="遅延"),"遅延","進行中"))</f>
        <v/>
      </c>
    </row>
    <row r="60">
      <c r="A60" s="52" t="n">
        <v>56</v>
      </c>
      <c r="B60" s="93" t="inlineStr">
        <is>
          <t>input/基盤/ITB-EV005-SC001-I-001.xlsx</t>
        </is>
      </c>
      <c r="C60" s="93" t="inlineStr">
        <is>
          <t>ITB-EV005-SC001-I-001</t>
        </is>
      </c>
      <c r="D60" s="52" t="inlineStr">
        <is>
          <t>基盤</t>
        </is>
      </c>
      <c r="E60" s="52" t="inlineStr">
        <is>
          <t>ITB-EV005-SC001-I-001-006</t>
        </is>
      </c>
      <c r="F60" s="94" t="n">
        <v>46078</v>
      </c>
      <c r="G60" s="94" t="n">
        <v>46079</v>
      </c>
      <c r="H60" s="52">
        <f>IF(G60&lt;&gt;"","完了",IF(F60="","－",IF(F60&lt;=$L$2,"遅延","予定")))</f>
        <v/>
      </c>
      <c r="I60" s="94" t="n">
        <v>46081</v>
      </c>
      <c r="J60" s="52" t="inlineStr"/>
      <c r="K60" s="52">
        <f>IF(J60&lt;&gt;"","完了",IF(I60="","－",IF(I60&lt;=$L$2,"遅延","予定")))</f>
        <v/>
      </c>
      <c r="L60" s="52">
        <f>IF(AND(H60="完了",K60="完了"),"完了",IF(OR(H60="遅延",K60="遅延"),"遅延","進行中"))</f>
        <v/>
      </c>
    </row>
    <row r="61">
      <c r="A61" s="52" t="n">
        <v>57</v>
      </c>
      <c r="B61" s="93" t="inlineStr">
        <is>
          <t>input/基盤/ITB-EV005-SC001-I-001.xlsx</t>
        </is>
      </c>
      <c r="C61" s="93" t="inlineStr">
        <is>
          <t>ITB-EV005-SC001-I-001</t>
        </is>
      </c>
      <c r="D61" s="52" t="inlineStr">
        <is>
          <t>基盤</t>
        </is>
      </c>
      <c r="E61" s="52" t="inlineStr">
        <is>
          <t>ITB-EV005-SC001-I-001-007</t>
        </is>
      </c>
      <c r="F61" s="94" t="n">
        <v>46077</v>
      </c>
      <c r="G61" s="94" t="n">
        <v>46078</v>
      </c>
      <c r="H61" s="52">
        <f>IF(G61&lt;&gt;"","完了",IF(F61="","－",IF(F61&lt;=$L$2,"遅延","予定")))</f>
        <v/>
      </c>
      <c r="I61" s="94" t="n">
        <v>46080</v>
      </c>
      <c r="J61" s="94" t="n">
        <v>46082</v>
      </c>
      <c r="K61" s="52">
        <f>IF(J61&lt;&gt;"","完了",IF(I61="","－",IF(I61&lt;=$L$2,"遅延","予定")))</f>
        <v/>
      </c>
      <c r="L61" s="52">
        <f>IF(AND(H61="完了",K61="完了"),"完了",IF(OR(H61="遅延",K61="遅延"),"遅延","進行中"))</f>
        <v/>
      </c>
    </row>
    <row r="62">
      <c r="A62" s="52" t="n">
        <v>58</v>
      </c>
      <c r="B62" s="93" t="inlineStr">
        <is>
          <t>input/基盤/ITB-EV005-SC002-I-001.xlsx</t>
        </is>
      </c>
      <c r="C62" s="93" t="inlineStr">
        <is>
          <t>ITB-EV005-SC002-I-001</t>
        </is>
      </c>
      <c r="D62" s="52" t="inlineStr">
        <is>
          <t>基盤</t>
        </is>
      </c>
      <c r="E62" s="52" t="inlineStr">
        <is>
          <t>ITB-EV005-SC002-I-001-001</t>
        </is>
      </c>
      <c r="F62" s="94" t="n">
        <v>46091</v>
      </c>
      <c r="G62" s="52" t="inlineStr"/>
      <c r="H62" s="52">
        <f>IF(G62&lt;&gt;"","完了",IF(F62="","－",IF(F62&lt;=$L$2,"遅延","予定")))</f>
        <v/>
      </c>
      <c r="I62" s="94" t="n">
        <v>46094</v>
      </c>
      <c r="J62" s="52" t="inlineStr"/>
      <c r="K62" s="52">
        <f>IF(J62&lt;&gt;"","完了",IF(I62="","－",IF(I62&lt;=$L$2,"遅延","予定")))</f>
        <v/>
      </c>
      <c r="L62" s="52">
        <f>IF(AND(H62="完了",K62="完了"),"完了",IF(OR(H62="遅延",K62="遅延"),"遅延","進行中"))</f>
        <v/>
      </c>
    </row>
    <row r="63">
      <c r="A63" s="52" t="n">
        <v>59</v>
      </c>
      <c r="B63" s="93" t="inlineStr">
        <is>
          <t>input/基盤/ITB-EV005-SC002-I-001.xlsx</t>
        </is>
      </c>
      <c r="C63" s="93" t="inlineStr">
        <is>
          <t>ITB-EV005-SC002-I-001</t>
        </is>
      </c>
      <c r="D63" s="52" t="inlineStr">
        <is>
          <t>基盤</t>
        </is>
      </c>
      <c r="E63" s="52" t="inlineStr">
        <is>
          <t>ITB-EV005-SC002-I-001-002</t>
        </is>
      </c>
      <c r="F63" s="94" t="n">
        <v>46080</v>
      </c>
      <c r="G63" s="94" t="n">
        <v>46083</v>
      </c>
      <c r="H63" s="52">
        <f>IF(G63&lt;&gt;"","完了",IF(F63="","－",IF(F63&lt;=$L$2,"遅延","予定")))</f>
        <v/>
      </c>
      <c r="I63" s="94" t="n">
        <v>46083</v>
      </c>
      <c r="J63" s="94" t="n">
        <v>46084</v>
      </c>
      <c r="K63" s="52">
        <f>IF(J63&lt;&gt;"","完了",IF(I63="","－",IF(I63&lt;=$L$2,"遅延","予定")))</f>
        <v/>
      </c>
      <c r="L63" s="52">
        <f>IF(AND(H63="完了",K63="完了"),"完了",IF(OR(H63="遅延",K63="遅延"),"遅延","進行中"))</f>
        <v/>
      </c>
    </row>
    <row r="64">
      <c r="A64" s="52" t="n">
        <v>60</v>
      </c>
      <c r="B64" s="93" t="inlineStr">
        <is>
          <t>input/基盤/ITB-EV005-SC002-I-001.xlsx</t>
        </is>
      </c>
      <c r="C64" s="93" t="inlineStr">
        <is>
          <t>ITB-EV005-SC002-I-001</t>
        </is>
      </c>
      <c r="D64" s="52" t="inlineStr">
        <is>
          <t>基盤</t>
        </is>
      </c>
      <c r="E64" s="52" t="inlineStr">
        <is>
          <t>ITB-EV005-SC002-I-001-003</t>
        </is>
      </c>
      <c r="F64" s="94" t="n">
        <v>46091</v>
      </c>
      <c r="G64" s="94" t="n">
        <v>46092</v>
      </c>
      <c r="H64" s="52">
        <f>IF(G64&lt;&gt;"","完了",IF(F64="","－",IF(F64&lt;=$L$2,"遅延","予定")))</f>
        <v/>
      </c>
      <c r="I64" s="94" t="n">
        <v>46094</v>
      </c>
      <c r="J64" s="52" t="inlineStr"/>
      <c r="K64" s="52">
        <f>IF(J64&lt;&gt;"","完了",IF(I64="","－",IF(I64&lt;=$L$2,"遅延","予定")))</f>
        <v/>
      </c>
      <c r="L64" s="52">
        <f>IF(AND(H64="完了",K64="完了"),"完了",IF(OR(H64="遅延",K64="遅延"),"遅延","進行中"))</f>
        <v/>
      </c>
    </row>
    <row r="65">
      <c r="A65" s="52" t="n">
        <v>61</v>
      </c>
      <c r="B65" s="93" t="inlineStr">
        <is>
          <t>input/基盤/ITB-EV005-SC002-I-001.xlsx</t>
        </is>
      </c>
      <c r="C65" s="93" t="inlineStr">
        <is>
          <t>ITB-EV005-SC002-I-001</t>
        </is>
      </c>
      <c r="D65" s="52" t="inlineStr">
        <is>
          <t>基盤</t>
        </is>
      </c>
      <c r="E65" s="52" t="inlineStr">
        <is>
          <t>ITB-EV005-SC002-I-001-004</t>
        </is>
      </c>
      <c r="F65" s="94" t="n">
        <v>46089</v>
      </c>
      <c r="G65" s="94" t="n">
        <v>46091</v>
      </c>
      <c r="H65" s="52">
        <f>IF(G65&lt;&gt;"","完了",IF(F65="","－",IF(F65&lt;=$L$2,"遅延","予定")))</f>
        <v/>
      </c>
      <c r="I65" s="94" t="n">
        <v>46092</v>
      </c>
      <c r="J65" s="94" t="n">
        <v>46093</v>
      </c>
      <c r="K65" s="52">
        <f>IF(J65&lt;&gt;"","完了",IF(I65="","－",IF(I65&lt;=$L$2,"遅延","予定")))</f>
        <v/>
      </c>
      <c r="L65" s="52">
        <f>IF(AND(H65="完了",K65="完了"),"完了",IF(OR(H65="遅延",K65="遅延"),"遅延","進行中"))</f>
        <v/>
      </c>
    </row>
    <row r="66">
      <c r="A66" s="52" t="n">
        <v>62</v>
      </c>
      <c r="B66" s="93" t="inlineStr">
        <is>
          <t>input/基盤/ITB-EV005-SC002-I-001.xlsx</t>
        </is>
      </c>
      <c r="C66" s="93" t="inlineStr">
        <is>
          <t>ITB-EV005-SC002-I-001</t>
        </is>
      </c>
      <c r="D66" s="52" t="inlineStr">
        <is>
          <t>基盤</t>
        </is>
      </c>
      <c r="E66" s="52" t="inlineStr">
        <is>
          <t>ITB-EV005-SC002-I-001-005</t>
        </is>
      </c>
      <c r="F66" s="94" t="n">
        <v>46079</v>
      </c>
      <c r="G66" s="52" t="inlineStr"/>
      <c r="H66" s="52">
        <f>IF(G66&lt;&gt;"","完了",IF(F66="","－",IF(F66&lt;=$L$2,"遅延","予定")))</f>
        <v/>
      </c>
      <c r="I66" s="94" t="n">
        <v>46082</v>
      </c>
      <c r="J66" s="52" t="inlineStr"/>
      <c r="K66" s="52">
        <f>IF(J66&lt;&gt;"","完了",IF(I66="","－",IF(I66&lt;=$L$2,"遅延","予定")))</f>
        <v/>
      </c>
      <c r="L66" s="52">
        <f>IF(AND(H66="完了",K66="完了"),"完了",IF(OR(H66="遅延",K66="遅延"),"遅延","進行中"))</f>
        <v/>
      </c>
    </row>
    <row r="67">
      <c r="A67" s="52" t="n">
        <v>63</v>
      </c>
      <c r="B67" s="93" t="inlineStr">
        <is>
          <t>input/運用/ITB-EV006-SC001-U-001.xlsx</t>
        </is>
      </c>
      <c r="C67" s="93" t="inlineStr">
        <is>
          <t>ITB-EV006-SC001-U-001</t>
        </is>
      </c>
      <c r="D67" s="52" t="inlineStr">
        <is>
          <t>運用</t>
        </is>
      </c>
      <c r="E67" s="52" t="inlineStr">
        <is>
          <t>ITB-EV006-SC001-U-001-001</t>
        </is>
      </c>
      <c r="F67" s="94" t="n">
        <v>46086</v>
      </c>
      <c r="G67" s="94" t="n">
        <v>46085</v>
      </c>
      <c r="H67" s="52">
        <f>IF(G67&lt;&gt;"","完了",IF(F67="","－",IF(F67&lt;=$L$2,"遅延","予定")))</f>
        <v/>
      </c>
      <c r="I67" s="94" t="n">
        <v>46088</v>
      </c>
      <c r="J67" s="52" t="inlineStr"/>
      <c r="K67" s="52">
        <f>IF(J67&lt;&gt;"","完了",IF(I67="","－",IF(I67&lt;=$L$2,"遅延","予定")))</f>
        <v/>
      </c>
      <c r="L67" s="52">
        <f>IF(AND(H67="完了",K67="完了"),"完了",IF(OR(H67="遅延",K67="遅延"),"遅延","進行中"))</f>
        <v/>
      </c>
    </row>
    <row r="68">
      <c r="A68" s="52" t="n">
        <v>64</v>
      </c>
      <c r="B68" s="93" t="inlineStr">
        <is>
          <t>input/運用/ITB-EV006-SC001-U-001.xlsx</t>
        </is>
      </c>
      <c r="C68" s="93" t="inlineStr">
        <is>
          <t>ITB-EV006-SC001-U-001</t>
        </is>
      </c>
      <c r="D68" s="52" t="inlineStr">
        <is>
          <t>運用</t>
        </is>
      </c>
      <c r="E68" s="52" t="inlineStr">
        <is>
          <t>ITB-EV006-SC001-U-001-002</t>
        </is>
      </c>
      <c r="F68" s="94" t="n">
        <v>46093</v>
      </c>
      <c r="G68" s="94" t="n">
        <v>46095</v>
      </c>
      <c r="H68" s="52">
        <f>IF(G68&lt;&gt;"","完了",IF(F68="","－",IF(F68&lt;=$L$2,"遅延","予定")))</f>
        <v/>
      </c>
      <c r="I68" s="94" t="n">
        <v>46095</v>
      </c>
      <c r="J68" s="52" t="inlineStr"/>
      <c r="K68" s="52">
        <f>IF(J68&lt;&gt;"","完了",IF(I68="","－",IF(I68&lt;=$L$2,"遅延","予定")))</f>
        <v/>
      </c>
      <c r="L68" s="52">
        <f>IF(AND(H68="完了",K68="完了"),"完了",IF(OR(H68="遅延",K68="遅延"),"遅延","進行中"))</f>
        <v/>
      </c>
    </row>
    <row r="69">
      <c r="A69" s="52" t="n">
        <v>65</v>
      </c>
      <c r="B69" s="93" t="inlineStr">
        <is>
          <t>input/運用/ITB-EV006-SC001-U-001.xlsx</t>
        </is>
      </c>
      <c r="C69" s="93" t="inlineStr">
        <is>
          <t>ITB-EV006-SC001-U-001</t>
        </is>
      </c>
      <c r="D69" s="52" t="inlineStr">
        <is>
          <t>運用</t>
        </is>
      </c>
      <c r="E69" s="52" t="inlineStr">
        <is>
          <t>ITB-EV006-SC001-U-001-003</t>
        </is>
      </c>
      <c r="F69" s="94" t="n">
        <v>46083</v>
      </c>
      <c r="G69" s="94" t="n">
        <v>46082</v>
      </c>
      <c r="H69" s="52">
        <f>IF(G69&lt;&gt;"","完了",IF(F69="","－",IF(F69&lt;=$L$2,"遅延","予定")))</f>
        <v/>
      </c>
      <c r="I69" s="94" t="n">
        <v>46086</v>
      </c>
      <c r="J69" s="94" t="n">
        <v>46087</v>
      </c>
      <c r="K69" s="52">
        <f>IF(J69&lt;&gt;"","完了",IF(I69="","－",IF(I69&lt;=$L$2,"遅延","予定")))</f>
        <v/>
      </c>
      <c r="L69" s="52">
        <f>IF(AND(H69="完了",K69="完了"),"完了",IF(OR(H69="遅延",K69="遅延"),"遅延","進行中"))</f>
        <v/>
      </c>
    </row>
    <row r="70">
      <c r="A70" s="52" t="n">
        <v>66</v>
      </c>
      <c r="B70" s="93" t="inlineStr">
        <is>
          <t>input/運用/ITB-EV006-SC001-U-001.xlsx</t>
        </is>
      </c>
      <c r="C70" s="93" t="inlineStr">
        <is>
          <t>ITB-EV006-SC001-U-001</t>
        </is>
      </c>
      <c r="D70" s="52" t="inlineStr">
        <is>
          <t>運用</t>
        </is>
      </c>
      <c r="E70" s="52" t="inlineStr">
        <is>
          <t>ITB-EV006-SC001-U-001-004</t>
        </is>
      </c>
      <c r="F70" s="94" t="n">
        <v>46079</v>
      </c>
      <c r="G70" s="52" t="inlineStr"/>
      <c r="H70" s="52">
        <f>IF(G70&lt;&gt;"","完了",IF(F70="","－",IF(F70&lt;=$L$2,"遅延","予定")))</f>
        <v/>
      </c>
      <c r="I70" s="94" t="n">
        <v>46083</v>
      </c>
      <c r="J70" s="52" t="inlineStr"/>
      <c r="K70" s="52">
        <f>IF(J70&lt;&gt;"","完了",IF(I70="","－",IF(I70&lt;=$L$2,"遅延","予定")))</f>
        <v/>
      </c>
      <c r="L70" s="52">
        <f>IF(AND(H70="完了",K70="完了"),"完了",IF(OR(H70="遅延",K70="遅延"),"遅延","進行中"))</f>
        <v/>
      </c>
    </row>
    <row r="71">
      <c r="A71" s="52" t="n">
        <v>67</v>
      </c>
      <c r="B71" s="93" t="inlineStr">
        <is>
          <t>input/運用/ITB-EV006-SC001-U-001.xlsx</t>
        </is>
      </c>
      <c r="C71" s="93" t="inlineStr">
        <is>
          <t>ITB-EV006-SC001-U-001</t>
        </is>
      </c>
      <c r="D71" s="52" t="inlineStr">
        <is>
          <t>運用</t>
        </is>
      </c>
      <c r="E71" s="52" t="inlineStr">
        <is>
          <t>ITB-EV006-SC001-U-001-005</t>
        </is>
      </c>
      <c r="F71" s="94" t="n">
        <v>46076</v>
      </c>
      <c r="G71" s="94" t="n">
        <v>46076</v>
      </c>
      <c r="H71" s="52">
        <f>IF(G71&lt;&gt;"","完了",IF(F71="","－",IF(F71&lt;=$L$2,"遅延","予定")))</f>
        <v/>
      </c>
      <c r="I71" s="94" t="n">
        <v>46078</v>
      </c>
      <c r="J71" s="94" t="n">
        <v>46078</v>
      </c>
      <c r="K71" s="52">
        <f>IF(J71&lt;&gt;"","完了",IF(I71="","－",IF(I71&lt;=$L$2,"遅延","予定")))</f>
        <v/>
      </c>
      <c r="L71" s="52">
        <f>IF(AND(H71="完了",K71="完了"),"完了",IF(OR(H71="遅延",K71="遅延"),"遅延","進行中"))</f>
        <v/>
      </c>
    </row>
    <row r="72">
      <c r="A72" s="52" t="n">
        <v>68</v>
      </c>
      <c r="B72" s="93" t="inlineStr">
        <is>
          <t>input/運用/ITB-EV006-SC001-U-001.xlsx</t>
        </is>
      </c>
      <c r="C72" s="93" t="inlineStr">
        <is>
          <t>ITB-EV006-SC001-U-001</t>
        </is>
      </c>
      <c r="D72" s="52" t="inlineStr">
        <is>
          <t>運用</t>
        </is>
      </c>
      <c r="E72" s="52" t="inlineStr">
        <is>
          <t>ITB-EV006-SC001-U-001-006</t>
        </is>
      </c>
      <c r="F72" s="94" t="n">
        <v>46082</v>
      </c>
      <c r="G72" s="94" t="n">
        <v>46081</v>
      </c>
      <c r="H72" s="52">
        <f>IF(G72&lt;&gt;"","完了",IF(F72="","－",IF(F72&lt;=$L$2,"遅延","予定")))</f>
        <v/>
      </c>
      <c r="I72" s="94" t="n">
        <v>46084</v>
      </c>
      <c r="J72" s="52" t="inlineStr"/>
      <c r="K72" s="52">
        <f>IF(J72&lt;&gt;"","完了",IF(I72="","－",IF(I72&lt;=$L$2,"遅延","予定")))</f>
        <v/>
      </c>
      <c r="L72" s="52">
        <f>IF(AND(H72="完了",K72="完了"),"完了",IF(OR(H72="遅延",K72="遅延"),"遅延","進行中"))</f>
        <v/>
      </c>
    </row>
    <row r="73">
      <c r="A73" s="52" t="n">
        <v>69</v>
      </c>
      <c r="B73" s="93" t="inlineStr">
        <is>
          <t>input/運用/ITB-EV006-SC002-U-001.xlsx</t>
        </is>
      </c>
      <c r="C73" s="93" t="inlineStr">
        <is>
          <t>ITB-EV006-SC002-U-001</t>
        </is>
      </c>
      <c r="D73" s="52" t="inlineStr">
        <is>
          <t>運用</t>
        </is>
      </c>
      <c r="E73" s="52" t="inlineStr">
        <is>
          <t>ITB-EV006-SC002-U-001-001</t>
        </is>
      </c>
      <c r="F73" s="94" t="n">
        <v>46088</v>
      </c>
      <c r="G73" s="52" t="inlineStr"/>
      <c r="H73" s="52">
        <f>IF(G73&lt;&gt;"","完了",IF(F73="","－",IF(F73&lt;=$L$2,"遅延","予定")))</f>
        <v/>
      </c>
      <c r="I73" s="94" t="n">
        <v>46091</v>
      </c>
      <c r="J73" s="52" t="inlineStr"/>
      <c r="K73" s="52">
        <f>IF(J73&lt;&gt;"","完了",IF(I73="","－",IF(I73&lt;=$L$2,"遅延","予定")))</f>
        <v/>
      </c>
      <c r="L73" s="52">
        <f>IF(AND(H73="完了",K73="完了"),"完了",IF(OR(H73="遅延",K73="遅延"),"遅延","進行中"))</f>
        <v/>
      </c>
    </row>
    <row r="74">
      <c r="A74" s="52" t="n">
        <v>70</v>
      </c>
      <c r="B74" s="93" t="inlineStr">
        <is>
          <t>input/運用/ITB-EV006-SC002-U-001.xlsx</t>
        </is>
      </c>
      <c r="C74" s="93" t="inlineStr">
        <is>
          <t>ITB-EV006-SC002-U-001</t>
        </is>
      </c>
      <c r="D74" s="52" t="inlineStr">
        <is>
          <t>運用</t>
        </is>
      </c>
      <c r="E74" s="52" t="inlineStr">
        <is>
          <t>ITB-EV006-SC002-U-001-002</t>
        </is>
      </c>
      <c r="F74" s="94" t="n">
        <v>46085</v>
      </c>
      <c r="G74" s="94" t="n">
        <v>46087</v>
      </c>
      <c r="H74" s="52">
        <f>IF(G74&lt;&gt;"","完了",IF(F74="","－",IF(F74&lt;=$L$2,"遅延","予定")))</f>
        <v/>
      </c>
      <c r="I74" s="94" t="n">
        <v>46087</v>
      </c>
      <c r="J74" s="52" t="inlineStr"/>
      <c r="K74" s="52">
        <f>IF(J74&lt;&gt;"","完了",IF(I74="","－",IF(I74&lt;=$L$2,"遅延","予定")))</f>
        <v/>
      </c>
      <c r="L74" s="52">
        <f>IF(AND(H74="完了",K74="完了"),"完了",IF(OR(H74="遅延",K74="遅延"),"遅延","進行中"))</f>
        <v/>
      </c>
    </row>
    <row r="75">
      <c r="A75" s="52" t="n">
        <v>71</v>
      </c>
      <c r="B75" s="93" t="inlineStr">
        <is>
          <t>input/運用/ITB-EV006-SC002-U-001.xlsx</t>
        </is>
      </c>
      <c r="C75" s="93" t="inlineStr">
        <is>
          <t>ITB-EV006-SC002-U-001</t>
        </is>
      </c>
      <c r="D75" s="52" t="inlineStr">
        <is>
          <t>運用</t>
        </is>
      </c>
      <c r="E75" s="52" t="inlineStr">
        <is>
          <t>ITB-EV006-SC002-U-001-003</t>
        </is>
      </c>
      <c r="F75" s="94" t="n">
        <v>46082</v>
      </c>
      <c r="G75" s="94" t="n">
        <v>46081</v>
      </c>
      <c r="H75" s="52">
        <f>IF(G75&lt;&gt;"","完了",IF(F75="","－",IF(F75&lt;=$L$2,"遅延","予定")))</f>
        <v/>
      </c>
      <c r="I75" s="94" t="n">
        <v>46086</v>
      </c>
      <c r="J75" s="52" t="inlineStr"/>
      <c r="K75" s="52">
        <f>IF(J75&lt;&gt;"","完了",IF(I75="","－",IF(I75&lt;=$L$2,"遅延","予定")))</f>
        <v/>
      </c>
      <c r="L75" s="52">
        <f>IF(AND(H75="完了",K75="完了"),"完了",IF(OR(H75="遅延",K75="遅延"),"遅延","進行中"))</f>
        <v/>
      </c>
    </row>
    <row r="76">
      <c r="A76" s="52" t="n">
        <v>72</v>
      </c>
      <c r="B76" s="93" t="inlineStr">
        <is>
          <t>input/運用/ITB-EV006-SC002-U-001.xlsx</t>
        </is>
      </c>
      <c r="C76" s="93" t="inlineStr">
        <is>
          <t>ITB-EV006-SC002-U-001</t>
        </is>
      </c>
      <c r="D76" s="52" t="inlineStr">
        <is>
          <t>運用</t>
        </is>
      </c>
      <c r="E76" s="52" t="inlineStr">
        <is>
          <t>ITB-EV006-SC002-U-001-004</t>
        </is>
      </c>
      <c r="F76" s="94" t="n">
        <v>46077</v>
      </c>
      <c r="G76" s="94" t="n">
        <v>46077</v>
      </c>
      <c r="H76" s="52">
        <f>IF(G76&lt;&gt;"","完了",IF(F76="","－",IF(F76&lt;=$L$2,"遅延","予定")))</f>
        <v/>
      </c>
      <c r="I76" s="94" t="n">
        <v>46079</v>
      </c>
      <c r="J76" s="94" t="n">
        <v>46078</v>
      </c>
      <c r="K76" s="52">
        <f>IF(J76&lt;&gt;"","完了",IF(I76="","－",IF(I76&lt;=$L$2,"遅延","予定")))</f>
        <v/>
      </c>
      <c r="L76" s="52">
        <f>IF(AND(H76="完了",K76="完了"),"完了",IF(OR(H76="遅延",K76="遅延"),"遅延","進行中"))</f>
        <v/>
      </c>
    </row>
  </sheetData>
  <mergeCells count="1">
    <mergeCell ref="A1:L1"/>
  </mergeCells>
  <conditionalFormatting sqref="H5:H76">
    <cfRule type="expression" priority="1" dxfId="1">
      <formula>H5="完了"</formula>
    </cfRule>
    <cfRule type="expression" priority="4" dxfId="0">
      <formula>H5="遅延"</formula>
    </cfRule>
    <cfRule type="expression" priority="7" dxfId="10">
      <formula>H5="予定"</formula>
    </cfRule>
  </conditionalFormatting>
  <conditionalFormatting sqref="K5:K76">
    <cfRule type="expression" priority="2" dxfId="1">
      <formula>K5="完了"</formula>
    </cfRule>
    <cfRule type="expression" priority="5" dxfId="0">
      <formula>K5="遅延"</formula>
    </cfRule>
    <cfRule type="expression" priority="8" dxfId="10">
      <formula>K5="予定"</formula>
    </cfRule>
  </conditionalFormatting>
  <conditionalFormatting sqref="L5:L76">
    <cfRule type="expression" priority="3" dxfId="1">
      <formula>L5="完了"</formula>
    </cfRule>
    <cfRule type="expression" priority="6" dxfId="0">
      <formula>L5="遅延"</formula>
    </cfRule>
    <cfRule type="expression" priority="9" dxfId="11">
      <formula>L5="進行中"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</cols>
  <sheetData>
    <row r="1" ht="25" customHeight="1">
      <c r="A1" s="90" t="inlineStr">
        <is>
          <t>祝日マスタ</t>
        </is>
      </c>
    </row>
    <row r="2">
      <c r="A2" s="95" t="inlineStr">
        <is>
          <t>※ 祝日を追加・編集してください。日付形式: YYYY/MM/DD</t>
        </is>
      </c>
    </row>
    <row r="4">
      <c r="A4" s="50" t="inlineStr">
        <is>
          <t>日付</t>
        </is>
      </c>
      <c r="B4" s="50" t="inlineStr">
        <is>
          <t>祝日名</t>
        </is>
      </c>
      <c r="C4" s="50" t="inlineStr">
        <is>
          <t>備考</t>
        </is>
      </c>
    </row>
    <row r="5">
      <c r="A5" s="4" t="inlineStr">
        <is>
          <t>2024/01/01</t>
        </is>
      </c>
      <c r="B5" s="4" t="inlineStr">
        <is>
          <t>元日</t>
        </is>
      </c>
      <c r="C5" s="4" t="inlineStr"/>
    </row>
    <row r="6">
      <c r="A6" s="4" t="inlineStr">
        <is>
          <t>2024/01/02</t>
        </is>
      </c>
      <c r="B6" s="4" t="inlineStr">
        <is>
          <t>年始休暇</t>
        </is>
      </c>
      <c r="C6" s="4" t="inlineStr"/>
    </row>
    <row r="7">
      <c r="A7" s="4" t="inlineStr">
        <is>
          <t>2024/01/03</t>
        </is>
      </c>
      <c r="B7" s="4" t="inlineStr">
        <is>
          <t>年始休暇</t>
        </is>
      </c>
      <c r="C7" s="4" t="inlineStr"/>
    </row>
    <row r="8">
      <c r="A8" s="4" t="inlineStr">
        <is>
          <t>2024/01/08</t>
        </is>
      </c>
      <c r="B8" s="4" t="inlineStr">
        <is>
          <t>成人の日</t>
        </is>
      </c>
      <c r="C8" s="4" t="inlineStr"/>
    </row>
    <row r="9">
      <c r="A9" s="4" t="inlineStr">
        <is>
          <t>2024/02/11</t>
        </is>
      </c>
      <c r="B9" s="4" t="inlineStr">
        <is>
          <t>建国記念の日</t>
        </is>
      </c>
      <c r="C9" s="4" t="inlineStr"/>
    </row>
    <row r="10">
      <c r="A10" s="4" t="inlineStr">
        <is>
          <t>2024/02/12</t>
        </is>
      </c>
      <c r="B10" s="4" t="inlineStr">
        <is>
          <t>振替休日</t>
        </is>
      </c>
      <c r="C10" s="4" t="inlineStr"/>
    </row>
    <row r="11">
      <c r="A11" s="4" t="inlineStr">
        <is>
          <t>2024/02/23</t>
        </is>
      </c>
      <c r="B11" s="4" t="inlineStr">
        <is>
          <t>天皇誕生日</t>
        </is>
      </c>
      <c r="C11" s="4" t="inlineStr"/>
    </row>
    <row r="12">
      <c r="A12" s="4" t="inlineStr">
        <is>
          <t>2024/03/20</t>
        </is>
      </c>
      <c r="B12" s="4" t="inlineStr">
        <is>
          <t>春分の日</t>
        </is>
      </c>
      <c r="C12" s="4" t="inlineStr"/>
    </row>
    <row r="13">
      <c r="A13" s="4" t="inlineStr">
        <is>
          <t>2024/04/29</t>
        </is>
      </c>
      <c r="B13" s="4" t="inlineStr">
        <is>
          <t>昭和の日</t>
        </is>
      </c>
      <c r="C13" s="4" t="inlineStr"/>
    </row>
    <row r="14">
      <c r="A14" s="4" t="inlineStr">
        <is>
          <t>2024/05/03</t>
        </is>
      </c>
      <c r="B14" s="4" t="inlineStr">
        <is>
          <t>憲法記念日</t>
        </is>
      </c>
      <c r="C14" s="4" t="inlineStr"/>
    </row>
    <row r="15">
      <c r="A15" s="4" t="inlineStr">
        <is>
          <t>2024/05/04</t>
        </is>
      </c>
      <c r="B15" s="4" t="inlineStr">
        <is>
          <t>みどりの日</t>
        </is>
      </c>
      <c r="C15" s="4" t="inlineStr"/>
    </row>
    <row r="16">
      <c r="A16" s="4" t="inlineStr">
        <is>
          <t>2024/05/05</t>
        </is>
      </c>
      <c r="B16" s="4" t="inlineStr">
        <is>
          <t>こどもの日</t>
        </is>
      </c>
      <c r="C16" s="4" t="inlineStr"/>
    </row>
    <row r="17">
      <c r="A17" s="4" t="inlineStr">
        <is>
          <t>2024/05/06</t>
        </is>
      </c>
      <c r="B17" s="4" t="inlineStr">
        <is>
          <t>振替休日</t>
        </is>
      </c>
      <c r="C17" s="4" t="inlineStr"/>
    </row>
    <row r="18">
      <c r="A18" s="4" t="inlineStr">
        <is>
          <t>2024/07/15</t>
        </is>
      </c>
      <c r="B18" s="4" t="inlineStr">
        <is>
          <t>海の日</t>
        </is>
      </c>
      <c r="C18" s="4" t="inlineStr"/>
    </row>
    <row r="19">
      <c r="A19" s="4" t="inlineStr">
        <is>
          <t>2024/08/11</t>
        </is>
      </c>
      <c r="B19" s="4" t="inlineStr">
        <is>
          <t>山の日</t>
        </is>
      </c>
      <c r="C19" s="4" t="inlineStr"/>
    </row>
    <row r="20">
      <c r="A20" s="4" t="inlineStr">
        <is>
          <t>2024/08/12</t>
        </is>
      </c>
      <c r="B20" s="4" t="inlineStr">
        <is>
          <t>振替休日</t>
        </is>
      </c>
      <c r="C20" s="4" t="inlineStr"/>
    </row>
    <row r="21">
      <c r="A21" s="4" t="inlineStr">
        <is>
          <t>2024/09/16</t>
        </is>
      </c>
      <c r="B21" s="4" t="inlineStr">
        <is>
          <t>敬老の日</t>
        </is>
      </c>
      <c r="C21" s="4" t="inlineStr"/>
    </row>
    <row r="22">
      <c r="A22" s="4" t="inlineStr">
        <is>
          <t>2024/09/22</t>
        </is>
      </c>
      <c r="B22" s="4" t="inlineStr">
        <is>
          <t>秋分の日</t>
        </is>
      </c>
      <c r="C22" s="4" t="inlineStr"/>
    </row>
    <row r="23">
      <c r="A23" s="4" t="inlineStr">
        <is>
          <t>2024/09/23</t>
        </is>
      </c>
      <c r="B23" s="4" t="inlineStr">
        <is>
          <t>振替休日</t>
        </is>
      </c>
      <c r="C23" s="4" t="inlineStr"/>
    </row>
    <row r="24">
      <c r="A24" s="4" t="inlineStr">
        <is>
          <t>2024/10/14</t>
        </is>
      </c>
      <c r="B24" s="4" t="inlineStr">
        <is>
          <t>スポーツの日</t>
        </is>
      </c>
      <c r="C24" s="4" t="inlineStr"/>
    </row>
    <row r="25">
      <c r="A25" s="4" t="inlineStr">
        <is>
          <t>2024/11/03</t>
        </is>
      </c>
      <c r="B25" s="4" t="inlineStr">
        <is>
          <t>文化の日</t>
        </is>
      </c>
      <c r="C25" s="4" t="inlineStr"/>
    </row>
    <row r="26">
      <c r="A26" s="4" t="inlineStr">
        <is>
          <t>2024/11/04</t>
        </is>
      </c>
      <c r="B26" s="4" t="inlineStr">
        <is>
          <t>振替休日</t>
        </is>
      </c>
      <c r="C26" s="4" t="inlineStr"/>
    </row>
    <row r="27">
      <c r="A27" s="4" t="inlineStr">
        <is>
          <t>2024/11/23</t>
        </is>
      </c>
      <c r="B27" s="4" t="inlineStr">
        <is>
          <t>勤労感謝の日</t>
        </is>
      </c>
      <c r="C27" s="4" t="inlineStr"/>
    </row>
    <row r="28">
      <c r="A28" s="4" t="inlineStr">
        <is>
          <t>2024/12/30</t>
        </is>
      </c>
      <c r="B28" s="4" t="inlineStr">
        <is>
          <t>年末休暇</t>
        </is>
      </c>
      <c r="C28" s="4" t="inlineStr"/>
    </row>
    <row r="29">
      <c r="A29" s="4" t="inlineStr">
        <is>
          <t>2024/12/31</t>
        </is>
      </c>
      <c r="B29" s="4" t="inlineStr">
        <is>
          <t>年末休暇</t>
        </is>
      </c>
      <c r="C29" s="4" t="inlineStr"/>
    </row>
    <row r="30">
      <c r="A30" s="4" t="inlineStr">
        <is>
          <t>2025/01/01</t>
        </is>
      </c>
      <c r="B30" s="4" t="inlineStr">
        <is>
          <t>元日</t>
        </is>
      </c>
      <c r="C30" s="4" t="inlineStr"/>
    </row>
    <row r="31">
      <c r="A31" s="4" t="inlineStr">
        <is>
          <t>2025/01/02</t>
        </is>
      </c>
      <c r="B31" s="4" t="inlineStr">
        <is>
          <t>年始休暇</t>
        </is>
      </c>
      <c r="C31" s="4" t="inlineStr"/>
    </row>
    <row r="32">
      <c r="A32" s="4" t="inlineStr">
        <is>
          <t>2025/01/03</t>
        </is>
      </c>
      <c r="B32" s="4" t="inlineStr">
        <is>
          <t>年始休暇</t>
        </is>
      </c>
      <c r="C32" s="4" t="inlineStr"/>
    </row>
    <row r="33">
      <c r="A33" s="4" t="inlineStr">
        <is>
          <t>2025/01/13</t>
        </is>
      </c>
      <c r="B33" s="4" t="inlineStr">
        <is>
          <t>成人の日</t>
        </is>
      </c>
      <c r="C33" s="4" t="inlineStr"/>
    </row>
    <row r="34">
      <c r="A34" s="4" t="inlineStr">
        <is>
          <t>2025/02/11</t>
        </is>
      </c>
      <c r="B34" s="4" t="inlineStr">
        <is>
          <t>建国記念の日</t>
        </is>
      </c>
      <c r="C34" s="4" t="inlineStr"/>
    </row>
    <row r="35">
      <c r="A35" s="4" t="inlineStr">
        <is>
          <t>2025/02/23</t>
        </is>
      </c>
      <c r="B35" s="4" t="inlineStr">
        <is>
          <t>天皇誕生日</t>
        </is>
      </c>
      <c r="C35" s="4" t="inlineStr"/>
    </row>
    <row r="36">
      <c r="A36" s="4" t="inlineStr">
        <is>
          <t>2025/02/24</t>
        </is>
      </c>
      <c r="B36" s="4" t="inlineStr">
        <is>
          <t>振替休日</t>
        </is>
      </c>
      <c r="C36" s="4" t="inlineStr"/>
    </row>
    <row r="37">
      <c r="A37" s="4" t="inlineStr">
        <is>
          <t>2025/03/20</t>
        </is>
      </c>
      <c r="B37" s="4" t="inlineStr">
        <is>
          <t>春分の日</t>
        </is>
      </c>
      <c r="C37" s="4" t="inlineStr"/>
    </row>
    <row r="38">
      <c r="A38" s="4" t="inlineStr">
        <is>
          <t>2025/04/29</t>
        </is>
      </c>
      <c r="B38" s="4" t="inlineStr">
        <is>
          <t>昭和の日</t>
        </is>
      </c>
      <c r="C38" s="4" t="inlineStr"/>
    </row>
    <row r="39">
      <c r="A39" s="4" t="inlineStr">
        <is>
          <t>2025/05/03</t>
        </is>
      </c>
      <c r="B39" s="4" t="inlineStr">
        <is>
          <t>憲法記念日</t>
        </is>
      </c>
      <c r="C39" s="4" t="inlineStr"/>
    </row>
    <row r="40">
      <c r="A40" s="4" t="inlineStr">
        <is>
          <t>2025/05/04</t>
        </is>
      </c>
      <c r="B40" s="4" t="inlineStr">
        <is>
          <t>みどりの日</t>
        </is>
      </c>
      <c r="C40" s="4" t="inlineStr"/>
    </row>
    <row r="41">
      <c r="A41" s="4" t="inlineStr">
        <is>
          <t>2025/05/05</t>
        </is>
      </c>
      <c r="B41" s="4" t="inlineStr">
        <is>
          <t>こどもの日</t>
        </is>
      </c>
      <c r="C41" s="4" t="inlineStr"/>
    </row>
    <row r="42">
      <c r="A42" s="4" t="inlineStr">
        <is>
          <t>2025/05/06</t>
        </is>
      </c>
      <c r="B42" s="4" t="inlineStr">
        <is>
          <t>振替休日</t>
        </is>
      </c>
      <c r="C42" s="4" t="inlineStr"/>
    </row>
    <row r="43">
      <c r="A43" s="4" t="inlineStr">
        <is>
          <t>2025/07/21</t>
        </is>
      </c>
      <c r="B43" s="4" t="inlineStr">
        <is>
          <t>海の日</t>
        </is>
      </c>
      <c r="C43" s="4" t="inlineStr"/>
    </row>
    <row r="44">
      <c r="A44" s="4" t="inlineStr">
        <is>
          <t>2025/08/11</t>
        </is>
      </c>
      <c r="B44" s="4" t="inlineStr">
        <is>
          <t>山の日</t>
        </is>
      </c>
      <c r="C44" s="4" t="inlineStr"/>
    </row>
    <row r="45">
      <c r="A45" s="4" t="inlineStr">
        <is>
          <t>2025/09/15</t>
        </is>
      </c>
      <c r="B45" s="4" t="inlineStr">
        <is>
          <t>敬老の日</t>
        </is>
      </c>
      <c r="C45" s="4" t="inlineStr"/>
    </row>
    <row r="46">
      <c r="A46" s="4" t="inlineStr">
        <is>
          <t>2025/09/23</t>
        </is>
      </c>
      <c r="B46" s="4" t="inlineStr">
        <is>
          <t>秋分の日</t>
        </is>
      </c>
      <c r="C46" s="4" t="inlineStr"/>
    </row>
    <row r="47">
      <c r="A47" s="4" t="inlineStr">
        <is>
          <t>2025/10/13</t>
        </is>
      </c>
      <c r="B47" s="4" t="inlineStr">
        <is>
          <t>スポーツの日</t>
        </is>
      </c>
      <c r="C47" s="4" t="inlineStr"/>
    </row>
    <row r="48">
      <c r="A48" s="4" t="inlineStr">
        <is>
          <t>2025/11/03</t>
        </is>
      </c>
      <c r="B48" s="4" t="inlineStr">
        <is>
          <t>文化の日</t>
        </is>
      </c>
      <c r="C48" s="4" t="inlineStr"/>
    </row>
    <row r="49">
      <c r="A49" s="4" t="inlineStr">
        <is>
          <t>2025/11/23</t>
        </is>
      </c>
      <c r="B49" s="4" t="inlineStr">
        <is>
          <t>勤労感謝の日</t>
        </is>
      </c>
      <c r="C49" s="4" t="inlineStr"/>
    </row>
    <row r="50">
      <c r="A50" s="4" t="inlineStr">
        <is>
          <t>2025/11/24</t>
        </is>
      </c>
      <c r="B50" s="4" t="inlineStr">
        <is>
          <t>振替休日</t>
        </is>
      </c>
      <c r="C50" s="4" t="inlineStr"/>
    </row>
    <row r="51">
      <c r="A51" s="4" t="inlineStr">
        <is>
          <t>2025/12/30</t>
        </is>
      </c>
      <c r="B51" s="4" t="inlineStr">
        <is>
          <t>年末休暇</t>
        </is>
      </c>
      <c r="C51" s="4" t="inlineStr"/>
    </row>
    <row r="52">
      <c r="A52" s="4" t="inlineStr">
        <is>
          <t>2025/12/31</t>
        </is>
      </c>
      <c r="B52" s="4" t="inlineStr">
        <is>
          <t>年末休暇</t>
        </is>
      </c>
      <c r="C52" s="4" t="inlineStr"/>
    </row>
    <row r="53">
      <c r="A53" s="4" t="inlineStr">
        <is>
          <t>2026/01/01</t>
        </is>
      </c>
      <c r="B53" s="4" t="inlineStr">
        <is>
          <t>元日</t>
        </is>
      </c>
      <c r="C53" s="4" t="inlineStr"/>
    </row>
    <row r="54">
      <c r="A54" s="4" t="inlineStr">
        <is>
          <t>2026/01/02</t>
        </is>
      </c>
      <c r="B54" s="4" t="inlineStr">
        <is>
          <t>年始休暇</t>
        </is>
      </c>
      <c r="C54" s="4" t="inlineStr"/>
    </row>
    <row r="55">
      <c r="A55" s="4" t="inlineStr">
        <is>
          <t>2026/01/03</t>
        </is>
      </c>
      <c r="B55" s="4" t="inlineStr">
        <is>
          <t>年始休暇</t>
        </is>
      </c>
      <c r="C55" s="4" t="inlineStr"/>
    </row>
    <row r="56">
      <c r="A56" s="4" t="inlineStr">
        <is>
          <t>2026/01/12</t>
        </is>
      </c>
      <c r="B56" s="4" t="inlineStr">
        <is>
          <t>成人の日</t>
        </is>
      </c>
      <c r="C56" s="4" t="inlineStr"/>
    </row>
    <row r="57">
      <c r="A57" s="4" t="inlineStr">
        <is>
          <t>2026/02/11</t>
        </is>
      </c>
      <c r="B57" s="4" t="inlineStr">
        <is>
          <t>建国記念の日</t>
        </is>
      </c>
      <c r="C57" s="4" t="inlineStr"/>
    </row>
    <row r="58">
      <c r="A58" s="4" t="inlineStr">
        <is>
          <t>2026/02/23</t>
        </is>
      </c>
      <c r="B58" s="4" t="inlineStr">
        <is>
          <t>天皇誕生日</t>
        </is>
      </c>
      <c r="C58" s="4" t="inlineStr"/>
    </row>
    <row r="59">
      <c r="A59" s="4" t="inlineStr">
        <is>
          <t>2026/03/20</t>
        </is>
      </c>
      <c r="B59" s="4" t="inlineStr">
        <is>
          <t>春分の日</t>
        </is>
      </c>
      <c r="C59" s="4" t="inlineStr"/>
    </row>
    <row r="60">
      <c r="A60" s="4" t="inlineStr">
        <is>
          <t>2026/04/29</t>
        </is>
      </c>
      <c r="B60" s="4" t="inlineStr">
        <is>
          <t>昭和の日</t>
        </is>
      </c>
      <c r="C60" s="4" t="inlineStr"/>
    </row>
    <row r="61">
      <c r="A61" s="4" t="inlineStr">
        <is>
          <t>2026/05/03</t>
        </is>
      </c>
      <c r="B61" s="4" t="inlineStr">
        <is>
          <t>憲法記念日</t>
        </is>
      </c>
      <c r="C61" s="4" t="inlineStr"/>
    </row>
    <row r="62">
      <c r="A62" s="4" t="inlineStr">
        <is>
          <t>2026/05/04</t>
        </is>
      </c>
      <c r="B62" s="4" t="inlineStr">
        <is>
          <t>みどりの日</t>
        </is>
      </c>
      <c r="C62" s="4" t="inlineStr"/>
    </row>
    <row r="63">
      <c r="A63" s="4" t="inlineStr">
        <is>
          <t>2026/05/05</t>
        </is>
      </c>
      <c r="B63" s="4" t="inlineStr">
        <is>
          <t>こどもの日</t>
        </is>
      </c>
      <c r="C63" s="4" t="inlineStr"/>
    </row>
    <row r="64">
      <c r="A64" s="4" t="inlineStr">
        <is>
          <t>2026/05/06</t>
        </is>
      </c>
      <c r="B64" s="4" t="inlineStr">
        <is>
          <t>振替休日</t>
        </is>
      </c>
      <c r="C64" s="4" t="inlineStr"/>
    </row>
    <row r="65">
      <c r="A65" s="4" t="inlineStr">
        <is>
          <t>2026/07/20</t>
        </is>
      </c>
      <c r="B65" s="4" t="inlineStr">
        <is>
          <t>海の日</t>
        </is>
      </c>
      <c r="C65" s="4" t="inlineStr"/>
    </row>
    <row r="66">
      <c r="A66" s="4" t="inlineStr">
        <is>
          <t>2026/08/11</t>
        </is>
      </c>
      <c r="B66" s="4" t="inlineStr">
        <is>
          <t>山の日</t>
        </is>
      </c>
      <c r="C66" s="4" t="inlineStr"/>
    </row>
    <row r="67">
      <c r="A67" s="4" t="inlineStr">
        <is>
          <t>2026/09/21</t>
        </is>
      </c>
      <c r="B67" s="4" t="inlineStr">
        <is>
          <t>敬老の日</t>
        </is>
      </c>
      <c r="C67" s="4" t="inlineStr"/>
    </row>
    <row r="68">
      <c r="A68" s="4" t="inlineStr">
        <is>
          <t>2026/09/22</t>
        </is>
      </c>
      <c r="B68" s="4" t="inlineStr">
        <is>
          <t>国民の休日</t>
        </is>
      </c>
      <c r="C68" s="4" t="inlineStr"/>
    </row>
    <row r="69">
      <c r="A69" s="4" t="inlineStr">
        <is>
          <t>2026/09/23</t>
        </is>
      </c>
      <c r="B69" s="4" t="inlineStr">
        <is>
          <t>秋分の日</t>
        </is>
      </c>
      <c r="C69" s="4" t="inlineStr"/>
    </row>
    <row r="70">
      <c r="A70" s="4" t="inlineStr">
        <is>
          <t>2026/10/12</t>
        </is>
      </c>
      <c r="B70" s="4" t="inlineStr">
        <is>
          <t>スポーツの日</t>
        </is>
      </c>
      <c r="C70" s="4" t="inlineStr"/>
    </row>
    <row r="71">
      <c r="A71" s="4" t="inlineStr">
        <is>
          <t>2026/11/03</t>
        </is>
      </c>
      <c r="B71" s="4" t="inlineStr">
        <is>
          <t>文化の日</t>
        </is>
      </c>
      <c r="C71" s="4" t="inlineStr"/>
    </row>
    <row r="72">
      <c r="A72" s="4" t="inlineStr">
        <is>
          <t>2026/11/23</t>
        </is>
      </c>
      <c r="B72" s="4" t="inlineStr">
        <is>
          <t>勤労感謝の日</t>
        </is>
      </c>
      <c r="C72" s="4" t="inlineStr"/>
    </row>
    <row r="73">
      <c r="A73" s="4" t="inlineStr">
        <is>
          <t>2026/12/30</t>
        </is>
      </c>
      <c r="B73" s="4" t="inlineStr">
        <is>
          <t>年末休暇</t>
        </is>
      </c>
      <c r="C73" s="4" t="inlineStr"/>
    </row>
    <row r="74">
      <c r="A74" s="4" t="inlineStr">
        <is>
          <t>2026/12/31</t>
        </is>
      </c>
      <c r="B74" s="4" t="inlineStr">
        <is>
          <t>年末休暇</t>
        </is>
      </c>
      <c r="C74" s="4" t="inlineStr"/>
    </row>
    <row r="75">
      <c r="A75" s="4" t="inlineStr">
        <is>
          <t>2027/01/01</t>
        </is>
      </c>
      <c r="B75" s="4" t="inlineStr">
        <is>
          <t>元日</t>
        </is>
      </c>
      <c r="C75" s="4" t="inlineStr"/>
    </row>
    <row r="76">
      <c r="A76" s="4" t="inlineStr">
        <is>
          <t>2027/01/02</t>
        </is>
      </c>
      <c r="B76" s="4" t="inlineStr">
        <is>
          <t>年始休暇</t>
        </is>
      </c>
      <c r="C76" s="4" t="inlineStr"/>
    </row>
    <row r="77">
      <c r="A77" s="4" t="inlineStr">
        <is>
          <t>2027/01/03</t>
        </is>
      </c>
      <c r="B77" s="4" t="inlineStr">
        <is>
          <t>年始休暇</t>
        </is>
      </c>
      <c r="C77" s="4" t="inlineStr"/>
    </row>
    <row r="78">
      <c r="A78" s="4" t="inlineStr">
        <is>
          <t>2027/01/11</t>
        </is>
      </c>
      <c r="B78" s="4" t="inlineStr">
        <is>
          <t>成人の日</t>
        </is>
      </c>
      <c r="C78" s="4" t="inlineStr"/>
    </row>
    <row r="79">
      <c r="A79" s="4" t="inlineStr">
        <is>
          <t>2027/02/11</t>
        </is>
      </c>
      <c r="B79" s="4" t="inlineStr">
        <is>
          <t>建国記念の日</t>
        </is>
      </c>
      <c r="C79" s="4" t="inlineStr"/>
    </row>
    <row r="80">
      <c r="A80" s="4" t="inlineStr">
        <is>
          <t>2027/02/23</t>
        </is>
      </c>
      <c r="B80" s="4" t="inlineStr">
        <is>
          <t>天皇誕生日</t>
        </is>
      </c>
      <c r="C80" s="4" t="inlineStr"/>
    </row>
    <row r="81">
      <c r="A81" s="4" t="inlineStr">
        <is>
          <t>2027/03/21</t>
        </is>
      </c>
      <c r="B81" s="4" t="inlineStr">
        <is>
          <t>春分の日</t>
        </is>
      </c>
      <c r="C81" s="4" t="inlineStr"/>
    </row>
    <row r="82">
      <c r="A82" s="4" t="inlineStr">
        <is>
          <t>2027/03/22</t>
        </is>
      </c>
      <c r="B82" s="4" t="inlineStr">
        <is>
          <t>振替休日</t>
        </is>
      </c>
      <c r="C82" s="4" t="inlineStr"/>
    </row>
    <row r="83">
      <c r="A83" s="4" t="inlineStr">
        <is>
          <t>2027/04/29</t>
        </is>
      </c>
      <c r="B83" s="4" t="inlineStr">
        <is>
          <t>昭和の日</t>
        </is>
      </c>
      <c r="C83" s="4" t="inlineStr"/>
    </row>
    <row r="84">
      <c r="A84" s="4" t="inlineStr">
        <is>
          <t>2027/05/03</t>
        </is>
      </c>
      <c r="B84" s="4" t="inlineStr">
        <is>
          <t>憲法記念日</t>
        </is>
      </c>
      <c r="C84" s="4" t="inlineStr"/>
    </row>
    <row r="85">
      <c r="A85" s="4" t="inlineStr">
        <is>
          <t>2027/05/04</t>
        </is>
      </c>
      <c r="B85" s="4" t="inlineStr">
        <is>
          <t>みどりの日</t>
        </is>
      </c>
      <c r="C85" s="4" t="inlineStr"/>
    </row>
    <row r="86">
      <c r="A86" s="4" t="inlineStr">
        <is>
          <t>2027/05/05</t>
        </is>
      </c>
      <c r="B86" s="4" t="inlineStr">
        <is>
          <t>こどもの日</t>
        </is>
      </c>
      <c r="C86" s="4" t="inlineStr"/>
    </row>
    <row r="87">
      <c r="A87" s="4" t="inlineStr">
        <is>
          <t>2027/07/19</t>
        </is>
      </c>
      <c r="B87" s="4" t="inlineStr">
        <is>
          <t>海の日</t>
        </is>
      </c>
      <c r="C87" s="4" t="inlineStr"/>
    </row>
    <row r="88">
      <c r="A88" s="4" t="inlineStr">
        <is>
          <t>2027/08/11</t>
        </is>
      </c>
      <c r="B88" s="4" t="inlineStr">
        <is>
          <t>山の日</t>
        </is>
      </c>
      <c r="C88" s="4" t="inlineStr"/>
    </row>
    <row r="89">
      <c r="A89" s="4" t="inlineStr">
        <is>
          <t>2027/09/20</t>
        </is>
      </c>
      <c r="B89" s="4" t="inlineStr">
        <is>
          <t>敬老の日</t>
        </is>
      </c>
      <c r="C89" s="4" t="inlineStr"/>
    </row>
    <row r="90">
      <c r="A90" s="4" t="inlineStr">
        <is>
          <t>2027/09/23</t>
        </is>
      </c>
      <c r="B90" s="4" t="inlineStr">
        <is>
          <t>秋分の日</t>
        </is>
      </c>
      <c r="C90" s="4" t="inlineStr"/>
    </row>
    <row r="91">
      <c r="A91" s="4" t="inlineStr">
        <is>
          <t>2027/10/11</t>
        </is>
      </c>
      <c r="B91" s="4" t="inlineStr">
        <is>
          <t>スポーツの日</t>
        </is>
      </c>
      <c r="C91" s="4" t="inlineStr"/>
    </row>
    <row r="92">
      <c r="A92" s="4" t="inlineStr">
        <is>
          <t>2027/11/03</t>
        </is>
      </c>
      <c r="B92" s="4" t="inlineStr">
        <is>
          <t>文化の日</t>
        </is>
      </c>
      <c r="C92" s="4" t="inlineStr"/>
    </row>
    <row r="93">
      <c r="A93" s="4" t="inlineStr">
        <is>
          <t>2027/11/23</t>
        </is>
      </c>
      <c r="B93" s="4" t="inlineStr">
        <is>
          <t>勤労感謝の日</t>
        </is>
      </c>
      <c r="C93" s="4" t="inlineStr"/>
    </row>
    <row r="94">
      <c r="A94" s="4" t="inlineStr">
        <is>
          <t>2027/12/30</t>
        </is>
      </c>
      <c r="B94" s="4" t="inlineStr">
        <is>
          <t>年末休暇</t>
        </is>
      </c>
      <c r="C94" s="4" t="inlineStr"/>
    </row>
    <row r="95">
      <c r="A95" s="4" t="inlineStr">
        <is>
          <t>2027/12/31</t>
        </is>
      </c>
      <c r="B95" s="4" t="inlineStr">
        <is>
          <t>年末休暇</t>
        </is>
      </c>
      <c r="C95" s="4" t="inlineStr"/>
    </row>
    <row r="96">
      <c r="A96" s="4" t="inlineStr">
        <is>
          <t>2028/01/01</t>
        </is>
      </c>
      <c r="B96" s="4" t="inlineStr">
        <is>
          <t>元日</t>
        </is>
      </c>
      <c r="C96" s="4" t="inlineStr"/>
    </row>
    <row r="97">
      <c r="A97" s="4" t="inlineStr">
        <is>
          <t>2028/01/02</t>
        </is>
      </c>
      <c r="B97" s="4" t="inlineStr">
        <is>
          <t>年始休暇</t>
        </is>
      </c>
      <c r="C97" s="4" t="inlineStr"/>
    </row>
    <row r="98">
      <c r="A98" s="4" t="inlineStr">
        <is>
          <t>2028/01/03</t>
        </is>
      </c>
      <c r="B98" s="4" t="inlineStr">
        <is>
          <t>年始休暇</t>
        </is>
      </c>
      <c r="C98" s="4" t="inlineStr"/>
    </row>
    <row r="99">
      <c r="A99" s="4" t="inlineStr">
        <is>
          <t>2028/01/10</t>
        </is>
      </c>
      <c r="B99" s="4" t="inlineStr">
        <is>
          <t>成人の日</t>
        </is>
      </c>
      <c r="C99" s="4" t="inlineStr"/>
    </row>
    <row r="100">
      <c r="A100" s="4" t="inlineStr">
        <is>
          <t>2028/02/11</t>
        </is>
      </c>
      <c r="B100" s="4" t="inlineStr">
        <is>
          <t>建国記念の日</t>
        </is>
      </c>
      <c r="C100" s="4" t="inlineStr"/>
    </row>
    <row r="101">
      <c r="A101" s="4" t="inlineStr">
        <is>
          <t>2028/02/23</t>
        </is>
      </c>
      <c r="B101" s="4" t="inlineStr">
        <is>
          <t>天皇誕生日</t>
        </is>
      </c>
      <c r="C101" s="4" t="inlineStr"/>
    </row>
    <row r="102">
      <c r="A102" s="4" t="inlineStr">
        <is>
          <t>2028/03/20</t>
        </is>
      </c>
      <c r="B102" s="4" t="inlineStr">
        <is>
          <t>春分の日</t>
        </is>
      </c>
      <c r="C102" s="4" t="inlineStr"/>
    </row>
    <row r="103">
      <c r="A103" s="4" t="inlineStr">
        <is>
          <t>2028/04/29</t>
        </is>
      </c>
      <c r="B103" s="4" t="inlineStr">
        <is>
          <t>昭和の日</t>
        </is>
      </c>
      <c r="C103" s="4" t="inlineStr"/>
    </row>
    <row r="104">
      <c r="A104" s="4" t="inlineStr">
        <is>
          <t>2028/05/03</t>
        </is>
      </c>
      <c r="B104" s="4" t="inlineStr">
        <is>
          <t>憲法記念日</t>
        </is>
      </c>
      <c r="C104" s="4" t="inlineStr"/>
    </row>
    <row r="105">
      <c r="A105" s="4" t="inlineStr">
        <is>
          <t>2028/05/04</t>
        </is>
      </c>
      <c r="B105" s="4" t="inlineStr">
        <is>
          <t>みどりの日</t>
        </is>
      </c>
      <c r="C105" s="4" t="inlineStr"/>
    </row>
    <row r="106">
      <c r="A106" s="4" t="inlineStr">
        <is>
          <t>2028/05/05</t>
        </is>
      </c>
      <c r="B106" s="4" t="inlineStr">
        <is>
          <t>こどもの日</t>
        </is>
      </c>
      <c r="C106" s="4" t="inlineStr"/>
    </row>
    <row r="107">
      <c r="A107" s="4" t="inlineStr">
        <is>
          <t>2028/07/17</t>
        </is>
      </c>
      <c r="B107" s="4" t="inlineStr">
        <is>
          <t>海の日</t>
        </is>
      </c>
      <c r="C107" s="4" t="inlineStr"/>
    </row>
    <row r="108">
      <c r="A108" s="4" t="inlineStr">
        <is>
          <t>2028/08/11</t>
        </is>
      </c>
      <c r="B108" s="4" t="inlineStr">
        <is>
          <t>山の日</t>
        </is>
      </c>
      <c r="C108" s="4" t="inlineStr"/>
    </row>
    <row r="109">
      <c r="A109" s="4" t="inlineStr">
        <is>
          <t>2028/09/18</t>
        </is>
      </c>
      <c r="B109" s="4" t="inlineStr">
        <is>
          <t>敬老の日</t>
        </is>
      </c>
      <c r="C109" s="4" t="inlineStr"/>
    </row>
    <row r="110">
      <c r="A110" s="4" t="inlineStr">
        <is>
          <t>2028/09/22</t>
        </is>
      </c>
      <c r="B110" s="4" t="inlineStr">
        <is>
          <t>秋分の日</t>
        </is>
      </c>
      <c r="C110" s="4" t="inlineStr"/>
    </row>
    <row r="111">
      <c r="A111" s="4" t="inlineStr">
        <is>
          <t>2028/10/09</t>
        </is>
      </c>
      <c r="B111" s="4" t="inlineStr">
        <is>
          <t>スポーツの日</t>
        </is>
      </c>
      <c r="C111" s="4" t="inlineStr"/>
    </row>
    <row r="112">
      <c r="A112" s="4" t="inlineStr">
        <is>
          <t>2028/11/03</t>
        </is>
      </c>
      <c r="B112" s="4" t="inlineStr">
        <is>
          <t>文化の日</t>
        </is>
      </c>
      <c r="C112" s="4" t="inlineStr"/>
    </row>
    <row r="113">
      <c r="A113" s="4" t="inlineStr">
        <is>
          <t>2028/11/23</t>
        </is>
      </c>
      <c r="B113" s="4" t="inlineStr">
        <is>
          <t>勤労感謝の日</t>
        </is>
      </c>
      <c r="C113" s="4" t="inlineStr"/>
    </row>
    <row r="114">
      <c r="A114" s="4" t="inlineStr">
        <is>
          <t>2028/12/30</t>
        </is>
      </c>
      <c r="B114" s="4" t="inlineStr">
        <is>
          <t>年末休暇</t>
        </is>
      </c>
      <c r="C114" s="4" t="inlineStr"/>
    </row>
    <row r="115">
      <c r="A115" s="4" t="inlineStr">
        <is>
          <t>2028/12/31</t>
        </is>
      </c>
      <c r="B115" s="4" t="inlineStr">
        <is>
          <t>年末休暇</t>
        </is>
      </c>
      <c r="C115" s="4" t="inlineStr"/>
    </row>
    <row r="116">
      <c r="A116" s="4" t="inlineStr">
        <is>
          <t>2029/01/01</t>
        </is>
      </c>
      <c r="B116" s="4" t="inlineStr">
        <is>
          <t>元日</t>
        </is>
      </c>
      <c r="C116" s="4" t="inlineStr"/>
    </row>
    <row r="117">
      <c r="A117" s="4" t="inlineStr">
        <is>
          <t>2029/01/02</t>
        </is>
      </c>
      <c r="B117" s="4" t="inlineStr">
        <is>
          <t>年始休暇</t>
        </is>
      </c>
      <c r="C117" s="4" t="inlineStr"/>
    </row>
    <row r="118">
      <c r="A118" s="4" t="inlineStr">
        <is>
          <t>2029/01/03</t>
        </is>
      </c>
      <c r="B118" s="4" t="inlineStr">
        <is>
          <t>年始休暇</t>
        </is>
      </c>
      <c r="C118" s="4" t="inlineStr"/>
    </row>
    <row r="119">
      <c r="A119" s="4" t="inlineStr">
        <is>
          <t>2029/01/08</t>
        </is>
      </c>
      <c r="B119" s="4" t="inlineStr">
        <is>
          <t>成人の日</t>
        </is>
      </c>
      <c r="C119" s="4" t="inlineStr"/>
    </row>
    <row r="120">
      <c r="A120" s="4" t="inlineStr">
        <is>
          <t>2029/02/11</t>
        </is>
      </c>
      <c r="B120" s="4" t="inlineStr">
        <is>
          <t>建国記念の日</t>
        </is>
      </c>
      <c r="C120" s="4" t="inlineStr"/>
    </row>
    <row r="121">
      <c r="A121" s="4" t="inlineStr">
        <is>
          <t>2029/02/12</t>
        </is>
      </c>
      <c r="B121" s="4" t="inlineStr">
        <is>
          <t>振替休日</t>
        </is>
      </c>
      <c r="C121" s="4" t="inlineStr"/>
    </row>
    <row r="122">
      <c r="A122" s="4" t="inlineStr">
        <is>
          <t>2029/02/23</t>
        </is>
      </c>
      <c r="B122" s="4" t="inlineStr">
        <is>
          <t>天皇誕生日</t>
        </is>
      </c>
      <c r="C122" s="4" t="inlineStr"/>
    </row>
    <row r="123">
      <c r="A123" s="4" t="inlineStr">
        <is>
          <t>2029/03/20</t>
        </is>
      </c>
      <c r="B123" s="4" t="inlineStr">
        <is>
          <t>春分の日</t>
        </is>
      </c>
      <c r="C123" s="4" t="inlineStr"/>
    </row>
    <row r="124">
      <c r="A124" s="4" t="inlineStr">
        <is>
          <t>2029/04/29</t>
        </is>
      </c>
      <c r="B124" s="4" t="inlineStr">
        <is>
          <t>昭和の日</t>
        </is>
      </c>
      <c r="C124" s="4" t="inlineStr"/>
    </row>
    <row r="125">
      <c r="A125" s="4" t="inlineStr">
        <is>
          <t>2029/04/30</t>
        </is>
      </c>
      <c r="B125" s="4" t="inlineStr">
        <is>
          <t>振替休日</t>
        </is>
      </c>
      <c r="C125" s="4" t="inlineStr"/>
    </row>
    <row r="126">
      <c r="A126" s="4" t="inlineStr">
        <is>
          <t>2029/05/03</t>
        </is>
      </c>
      <c r="B126" s="4" t="inlineStr">
        <is>
          <t>憲法記念日</t>
        </is>
      </c>
      <c r="C126" s="4" t="inlineStr"/>
    </row>
    <row r="127">
      <c r="A127" s="4" t="inlineStr">
        <is>
          <t>2029/05/04</t>
        </is>
      </c>
      <c r="B127" s="4" t="inlineStr">
        <is>
          <t>みどりの日</t>
        </is>
      </c>
      <c r="C127" s="4" t="inlineStr"/>
    </row>
    <row r="128">
      <c r="A128" s="4" t="inlineStr">
        <is>
          <t>2029/05/05</t>
        </is>
      </c>
      <c r="B128" s="4" t="inlineStr">
        <is>
          <t>こどもの日</t>
        </is>
      </c>
      <c r="C128" s="4" t="inlineStr"/>
    </row>
    <row r="129">
      <c r="A129" s="4" t="inlineStr">
        <is>
          <t>2029/07/16</t>
        </is>
      </c>
      <c r="B129" s="4" t="inlineStr">
        <is>
          <t>海の日</t>
        </is>
      </c>
      <c r="C129" s="4" t="inlineStr"/>
    </row>
    <row r="130">
      <c r="A130" s="4" t="inlineStr">
        <is>
          <t>2029/08/11</t>
        </is>
      </c>
      <c r="B130" s="4" t="inlineStr">
        <is>
          <t>山の日</t>
        </is>
      </c>
      <c r="C130" s="4" t="inlineStr"/>
    </row>
    <row r="131">
      <c r="A131" s="4" t="inlineStr">
        <is>
          <t>2029/09/17</t>
        </is>
      </c>
      <c r="B131" s="4" t="inlineStr">
        <is>
          <t>敬老の日</t>
        </is>
      </c>
      <c r="C131" s="4" t="inlineStr"/>
    </row>
    <row r="132">
      <c r="A132" s="4" t="inlineStr">
        <is>
          <t>2029/09/23</t>
        </is>
      </c>
      <c r="B132" s="4" t="inlineStr">
        <is>
          <t>秋分の日</t>
        </is>
      </c>
      <c r="C132" s="4" t="inlineStr"/>
    </row>
    <row r="133">
      <c r="A133" s="4" t="inlineStr">
        <is>
          <t>2029/09/24</t>
        </is>
      </c>
      <c r="B133" s="4" t="inlineStr">
        <is>
          <t>振替休日</t>
        </is>
      </c>
      <c r="C133" s="4" t="inlineStr"/>
    </row>
    <row r="134">
      <c r="A134" s="4" t="inlineStr">
        <is>
          <t>2029/10/08</t>
        </is>
      </c>
      <c r="B134" s="4" t="inlineStr">
        <is>
          <t>スポーツの日</t>
        </is>
      </c>
      <c r="C134" s="4" t="inlineStr"/>
    </row>
    <row r="135">
      <c r="A135" s="4" t="inlineStr">
        <is>
          <t>2029/11/03</t>
        </is>
      </c>
      <c r="B135" s="4" t="inlineStr">
        <is>
          <t>文化の日</t>
        </is>
      </c>
      <c r="C135" s="4" t="inlineStr"/>
    </row>
    <row r="136">
      <c r="A136" s="4" t="inlineStr">
        <is>
          <t>2029/11/23</t>
        </is>
      </c>
      <c r="B136" s="4" t="inlineStr">
        <is>
          <t>勤労感謝の日</t>
        </is>
      </c>
      <c r="C136" s="4" t="inlineStr"/>
    </row>
    <row r="137">
      <c r="A137" s="4" t="inlineStr">
        <is>
          <t>2029/12/30</t>
        </is>
      </c>
      <c r="B137" s="4" t="inlineStr">
        <is>
          <t>年末休暇</t>
        </is>
      </c>
      <c r="C137" s="4" t="inlineStr"/>
    </row>
    <row r="138">
      <c r="A138" s="4" t="inlineStr">
        <is>
          <t>2029/12/31</t>
        </is>
      </c>
      <c r="B138" s="4" t="inlineStr">
        <is>
          <t>年末休暇</t>
        </is>
      </c>
      <c r="C138" s="4" t="inlineStr"/>
    </row>
    <row r="139">
      <c r="A139" s="4" t="inlineStr">
        <is>
          <t>2030/01/01</t>
        </is>
      </c>
      <c r="B139" s="4" t="inlineStr">
        <is>
          <t>元日</t>
        </is>
      </c>
      <c r="C139" s="4" t="inlineStr"/>
    </row>
    <row r="140">
      <c r="A140" s="4" t="inlineStr">
        <is>
          <t>2030/01/02</t>
        </is>
      </c>
      <c r="B140" s="4" t="inlineStr">
        <is>
          <t>年始休暇</t>
        </is>
      </c>
      <c r="C140" s="4" t="inlineStr"/>
    </row>
    <row r="141">
      <c r="A141" s="4" t="inlineStr">
        <is>
          <t>2030/01/03</t>
        </is>
      </c>
      <c r="B141" s="4" t="inlineStr">
        <is>
          <t>年始休暇</t>
        </is>
      </c>
      <c r="C141" s="4" t="inlineStr"/>
    </row>
    <row r="142">
      <c r="A142" s="4" t="inlineStr">
        <is>
          <t>2030/01/14</t>
        </is>
      </c>
      <c r="B142" s="4" t="inlineStr">
        <is>
          <t>成人の日</t>
        </is>
      </c>
      <c r="C142" s="4" t="inlineStr"/>
    </row>
    <row r="143">
      <c r="A143" s="4" t="inlineStr">
        <is>
          <t>2030/02/11</t>
        </is>
      </c>
      <c r="B143" s="4" t="inlineStr">
        <is>
          <t>建国記念の日</t>
        </is>
      </c>
      <c r="C143" s="4" t="inlineStr"/>
    </row>
    <row r="144">
      <c r="A144" s="4" t="inlineStr">
        <is>
          <t>2030/02/23</t>
        </is>
      </c>
      <c r="B144" s="4" t="inlineStr">
        <is>
          <t>天皇誕生日</t>
        </is>
      </c>
      <c r="C144" s="4" t="inlineStr"/>
    </row>
    <row r="145">
      <c r="A145" s="4" t="inlineStr">
        <is>
          <t>2030/03/20</t>
        </is>
      </c>
      <c r="B145" s="4" t="inlineStr">
        <is>
          <t>春分の日</t>
        </is>
      </c>
      <c r="C145" s="4" t="inlineStr"/>
    </row>
    <row r="146">
      <c r="A146" s="4" t="inlineStr">
        <is>
          <t>2030/04/29</t>
        </is>
      </c>
      <c r="B146" s="4" t="inlineStr">
        <is>
          <t>昭和の日</t>
        </is>
      </c>
      <c r="C146" s="4" t="inlineStr"/>
    </row>
    <row r="147">
      <c r="A147" s="4" t="inlineStr">
        <is>
          <t>2030/05/03</t>
        </is>
      </c>
      <c r="B147" s="4" t="inlineStr">
        <is>
          <t>憲法記念日</t>
        </is>
      </c>
      <c r="C147" s="4" t="inlineStr"/>
    </row>
    <row r="148">
      <c r="A148" s="4" t="inlineStr">
        <is>
          <t>2030/05/04</t>
        </is>
      </c>
      <c r="B148" s="4" t="inlineStr">
        <is>
          <t>みどりの日</t>
        </is>
      </c>
      <c r="C148" s="4" t="inlineStr"/>
    </row>
    <row r="149">
      <c r="A149" s="4" t="inlineStr">
        <is>
          <t>2030/05/05</t>
        </is>
      </c>
      <c r="B149" s="4" t="inlineStr">
        <is>
          <t>こどもの日</t>
        </is>
      </c>
      <c r="C149" s="4" t="inlineStr"/>
    </row>
    <row r="150">
      <c r="A150" s="4" t="inlineStr">
        <is>
          <t>2030/05/06</t>
        </is>
      </c>
      <c r="B150" s="4" t="inlineStr">
        <is>
          <t>振替休日</t>
        </is>
      </c>
      <c r="C150" s="4" t="inlineStr"/>
    </row>
    <row r="151">
      <c r="A151" s="4" t="inlineStr">
        <is>
          <t>2030/07/15</t>
        </is>
      </c>
      <c r="B151" s="4" t="inlineStr">
        <is>
          <t>海の日</t>
        </is>
      </c>
      <c r="C151" s="4" t="inlineStr"/>
    </row>
    <row r="152">
      <c r="A152" s="4" t="inlineStr">
        <is>
          <t>2030/08/11</t>
        </is>
      </c>
      <c r="B152" s="4" t="inlineStr">
        <is>
          <t>山の日</t>
        </is>
      </c>
      <c r="C152" s="4" t="inlineStr"/>
    </row>
    <row r="153">
      <c r="A153" s="4" t="inlineStr">
        <is>
          <t>2030/08/12</t>
        </is>
      </c>
      <c r="B153" s="4" t="inlineStr">
        <is>
          <t>振替休日</t>
        </is>
      </c>
      <c r="C153" s="4" t="inlineStr"/>
    </row>
    <row r="154">
      <c r="A154" s="4" t="inlineStr">
        <is>
          <t>2030/09/16</t>
        </is>
      </c>
      <c r="B154" s="4" t="inlineStr">
        <is>
          <t>敬老の日</t>
        </is>
      </c>
      <c r="C154" s="4" t="inlineStr"/>
    </row>
    <row r="155">
      <c r="A155" s="4" t="inlineStr">
        <is>
          <t>2030/09/23</t>
        </is>
      </c>
      <c r="B155" s="4" t="inlineStr">
        <is>
          <t>秋分の日</t>
        </is>
      </c>
      <c r="C155" s="4" t="inlineStr"/>
    </row>
    <row r="156">
      <c r="A156" s="4" t="inlineStr">
        <is>
          <t>2030/10/14</t>
        </is>
      </c>
      <c r="B156" s="4" t="inlineStr">
        <is>
          <t>スポーツの日</t>
        </is>
      </c>
      <c r="C156" s="4" t="inlineStr"/>
    </row>
    <row r="157">
      <c r="A157" s="4" t="inlineStr">
        <is>
          <t>2030/11/03</t>
        </is>
      </c>
      <c r="B157" s="4" t="inlineStr">
        <is>
          <t>文化の日</t>
        </is>
      </c>
      <c r="C157" s="4" t="inlineStr"/>
    </row>
    <row r="158">
      <c r="A158" s="4" t="inlineStr">
        <is>
          <t>2030/11/04</t>
        </is>
      </c>
      <c r="B158" s="4" t="inlineStr">
        <is>
          <t>振替休日</t>
        </is>
      </c>
      <c r="C158" s="4" t="inlineStr"/>
    </row>
    <row r="159">
      <c r="A159" s="4" t="inlineStr">
        <is>
          <t>2030/11/23</t>
        </is>
      </c>
      <c r="B159" s="4" t="inlineStr">
        <is>
          <t>勤労感謝の日</t>
        </is>
      </c>
      <c r="C159" s="4" t="inlineStr"/>
    </row>
    <row r="160">
      <c r="A160" s="4" t="inlineStr">
        <is>
          <t>2030/12/30</t>
        </is>
      </c>
      <c r="B160" s="4" t="inlineStr">
        <is>
          <t>年末休暇</t>
        </is>
      </c>
      <c r="C160" s="4" t="inlineStr"/>
    </row>
    <row r="161">
      <c r="A161" s="4" t="inlineStr">
        <is>
          <t>2030/12/31</t>
        </is>
      </c>
      <c r="B161" s="4" t="inlineStr">
        <is>
          <t>年末休暇</t>
        </is>
      </c>
      <c r="C161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2026-03-05T06:38:17Z</dcterms:created>
  <dcterms:modified xsi:type="dcterms:W3CDTF">2026-03-05T06:38:18Z</dcterms:modified>
</cp:coreProperties>
</file>