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2.xml" ContentType="application/vnd.openxmlformats-officedocument.spreadsheetml.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欠陥ダッシュボード" sheetId="2" state="visible" r:id="rId2"/>
    <sheet name="要対応一覧" sheetId="3" state="visible" r:id="rId3"/>
    <sheet name="進捗サマリー_ALL" sheetId="4" state="visible" r:id="rId4"/>
    <sheet name="進捗サマリー_その他" sheetId="5" state="visible" r:id="rId5"/>
    <sheet name="進捗サマリー_オンライン" sheetId="6" state="visible" r:id="rId6"/>
    <sheet name="進捗サマリー_バッチ" sheetId="7" state="visible" r:id="rId7"/>
    <sheet name="進捗サマリー_基盤" sheetId="8" state="visible" r:id="rId8"/>
    <sheet name="進捗サマリー_運用" sheetId="9" state="visible" r:id="rId9"/>
    <sheet name="欠陥サマリー_ALL" sheetId="10" state="visible" r:id="rId10"/>
    <sheet name="欠陥サマリー_オンライン" sheetId="11" state="visible" r:id="rId11"/>
    <sheet name="欠陥サマリー_バッチ" sheetId="12" state="visible" r:id="rId12"/>
    <sheet name="欠陥サマリー_基盤" sheetId="13" state="visible" r:id="rId13"/>
    <sheet name="欠陥サマリー_運用" sheetId="14" state="visible" r:id="rId14"/>
    <sheet name="欠陥詳細_ALL" sheetId="15" state="visible" r:id="rId15"/>
    <sheet name="欠陥詳細_オンライン" sheetId="16" state="visible" r:id="rId16"/>
    <sheet name="欠陥詳細_バッチ" sheetId="17" state="visible" r:id="rId17"/>
    <sheet name="欠陥詳細_基盤" sheetId="18" state="visible" r:id="rId18"/>
    <sheet name="欠陥詳細_運用" sheetId="19" state="visible" r:id="rId19"/>
    <sheet name="明細" sheetId="20" state="visible" r:id="rId20"/>
    <sheet name="祝日マスタ" sheetId="21" state="visible" r:id="rId21"/>
  </sheets>
  <definedNames>
    <definedName name="_xlnm.Print_Titles" localSheetId="0">'ダッシュボード'!$1:$2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/MM/DD"/>
    <numFmt numFmtId="166" formatCode="0.0%"/>
    <numFmt numFmtId="167" formatCode="yyyy-mm-dd"/>
    <numFmt numFmtId="168" formatCode="YYYY/MM/DD (AAA)"/>
  </numFmts>
  <fonts count="25">
    <font>
      <name val="Calibri"/>
      <family val="2"/>
      <color theme="1"/>
      <sz val="11"/>
      <scheme val="minor"/>
    </font>
    <font>
      <name val="游ゴシック"/>
      <b val="1"/>
      <color rgb="00333333"/>
      <sz val="14"/>
    </font>
    <font>
      <name val="游ゴシック"/>
      <color rgb="00666666"/>
      <sz val="9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color rgb="00FFFFFF"/>
      <sz val="12"/>
    </font>
    <font>
      <name val="游ゴシック"/>
      <sz val="10"/>
    </font>
    <font>
      <name val="游ゴシック"/>
      <b val="1"/>
      <color rgb="008B0000"/>
      <sz val="14"/>
    </font>
    <font>
      <name val="游ゴシック"/>
      <color rgb="00666666"/>
      <sz val="11"/>
    </font>
    <font>
      <name val="游ゴシック"/>
      <b val="1"/>
      <color rgb="00505050"/>
      <sz val="12"/>
    </font>
    <font>
      <name val="游ゴシック"/>
      <b val="1"/>
      <color rgb="009C0006"/>
      <sz val="10"/>
    </font>
    <font>
      <name val="游ゴシック"/>
      <b val="1"/>
      <color rgb="00FFFFFF"/>
      <sz val="14"/>
    </font>
    <font>
      <name val="游ゴシック"/>
      <color rgb="00333333"/>
      <sz val="10"/>
    </font>
    <font>
      <name val="游ゴシック"/>
      <b val="1"/>
      <color rgb="00333333"/>
      <sz val="10"/>
    </font>
    <font>
      <name val="游ゴシック"/>
      <b val="1"/>
      <sz val="14"/>
    </font>
    <font>
      <name val="游ゴシック"/>
      <b val="1"/>
      <sz val="10"/>
    </font>
    <font>
      <name val="游ゴシック"/>
      <b val="1"/>
      <color rgb="00FFFFFF"/>
      <sz val="10"/>
    </font>
    <font>
      <name val="游ゴシック"/>
      <b val="1"/>
      <color rgb="001B3A5C"/>
      <sz val="18"/>
    </font>
    <font>
      <name val="游ゴシック"/>
      <b val="1"/>
      <color rgb="00505050"/>
      <sz val="11"/>
    </font>
    <font>
      <name val="游ゴシック"/>
      <b val="1"/>
      <color rgb="002B5797"/>
      <sz val="11"/>
    </font>
    <font>
      <name val="游ゴシック"/>
      <color rgb="00505050"/>
      <sz val="10"/>
    </font>
    <font>
      <name val="游ゴシック"/>
      <b val="1"/>
      <color rgb="002B5797"/>
      <sz val="9"/>
    </font>
    <font>
      <name val="游ゴシック"/>
      <b val="1"/>
      <color rgb="00FFFFFF"/>
      <sz val="9"/>
    </font>
    <font>
      <name val="游ゴシック"/>
      <color rgb="00666666"/>
      <sz val="10"/>
    </font>
    <font>
      <name val="游ゴシック"/>
      <b val="1"/>
      <color rgb="008B0000"/>
      <sz val="12"/>
    </font>
  </fonts>
  <fills count="2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505050"/>
        <bgColor rgb="00505050"/>
      </patternFill>
    </fill>
    <fill>
      <patternFill patternType="solid">
        <fgColor rgb="00FFE5E5"/>
        <bgColor rgb="00FFE5E5"/>
      </patternFill>
    </fill>
    <fill>
      <patternFill patternType="solid">
        <fgColor rgb="008B0000"/>
        <bgColor rgb="008B0000"/>
      </patternFill>
    </fill>
    <fill>
      <patternFill patternType="solid">
        <fgColor rgb="00FFC7CE"/>
        <bgColor rgb="00FFC7CE"/>
      </patternFill>
    </fill>
    <fill>
      <patternFill patternType="solid">
        <fgColor rgb="001B3A5C"/>
        <bgColor rgb="001B3A5C"/>
      </patternFill>
    </fill>
    <fill>
      <patternFill patternType="solid">
        <fgColor rgb="00E8EEF4"/>
        <bgColor rgb="00E8EEF4"/>
      </patternFill>
    </fill>
    <fill>
      <patternFill patternType="solid">
        <fgColor rgb="002B5797"/>
        <bgColor rgb="002B5797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6D6D6D"/>
        <bgColor rgb="006D6D6D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  <fill>
      <patternFill patternType="solid">
        <fgColor rgb="00D9E2F3"/>
        <bgColor rgb="00D9E2F3"/>
      </patternFill>
    </fill>
    <fill>
      <patternFill patternType="solid">
        <fgColor rgb="00E0E0E0"/>
        <bgColor rgb="00E0E0E0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388E3C"/>
        <bgColor rgb="00388E3C"/>
      </patternFill>
    </fill>
    <fill>
      <patternFill patternType="solid">
        <fgColor rgb="00E8F5E9"/>
        <bgColor rgb="00E8F5E9"/>
      </patternFill>
    </fill>
    <fill>
      <patternFill patternType="solid">
        <fgColor rgb="00C00000"/>
        <bgColor rgb="00C00000"/>
      </patternFill>
    </fill>
    <fill>
      <patternFill patternType="solid">
        <fgColor rgb="00F0F0F0"/>
        <bgColor rgb="00F0F0F0"/>
      </patternFill>
    </fill>
  </fills>
  <borders count="26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  <border>
      <left style="thin">
        <color rgb="00000000"/>
      </left>
      <right style="medium">
        <color rgb="00FFFFFF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double">
        <color rgb="00000000"/>
      </bottom>
    </border>
    <border>
      <left style="medium">
        <color rgb="00000000"/>
      </left>
      <right style="thin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hair">
        <color rgb="00000000"/>
      </left>
      <right style="thin"/>
      <top style="thin"/>
      <bottom style="thin"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168" fontId="1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0" borderId="0" applyAlignment="1" pivotButton="0" quotePrefix="0" xfId="0">
      <alignment horizontal="right" vertical="center"/>
    </xf>
    <xf numFmtId="165" fontId="21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  <xf numFmtId="0" fontId="16" fillId="13" borderId="17" applyAlignment="1" pivotButton="0" quotePrefix="0" xfId="0">
      <alignment horizontal="center" vertical="center"/>
    </xf>
    <xf numFmtId="0" fontId="0" fillId="13" borderId="16" pivotButton="0" quotePrefix="0" xfId="0"/>
    <xf numFmtId="0" fontId="16" fillId="18" borderId="1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6" pivotButton="0" quotePrefix="0" xfId="0"/>
    <xf numFmtId="0" fontId="0" fillId="0" borderId="24" pivotButton="0" quotePrefix="0" xfId="0"/>
    <xf numFmtId="0" fontId="22" fillId="13" borderId="17" applyAlignment="1" pivotButton="0" quotePrefix="0" xfId="0">
      <alignment horizontal="center" vertical="center" wrapText="1"/>
    </xf>
    <xf numFmtId="0" fontId="22" fillId="13" borderId="16" applyAlignment="1" pivotButton="0" quotePrefix="0" xfId="0">
      <alignment horizontal="center" vertical="center" wrapText="1"/>
    </xf>
    <xf numFmtId="0" fontId="22" fillId="18" borderId="17" applyAlignment="1" pivotButton="0" quotePrefix="0" xfId="0">
      <alignment horizontal="center" vertical="center" wrapText="1"/>
    </xf>
    <xf numFmtId="0" fontId="22" fillId="18" borderId="1" applyAlignment="1" pivotButton="0" quotePrefix="0" xfId="0">
      <alignment horizontal="center" vertical="center" wrapText="1"/>
    </xf>
    <xf numFmtId="0" fontId="22" fillId="18" borderId="16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/>
    </xf>
    <xf numFmtId="0" fontId="0" fillId="19" borderId="16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166" fontId="0" fillId="19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16" fillId="14" borderId="17" applyAlignment="1" pivotButton="0" quotePrefix="0" xfId="0">
      <alignment horizontal="center" vertical="center"/>
    </xf>
    <xf numFmtId="0" fontId="0" fillId="14" borderId="16" pivotButton="0" quotePrefix="0" xfId="0"/>
    <xf numFmtId="0" fontId="16" fillId="20" borderId="17" applyAlignment="1" pivotButton="0" quotePrefix="0" xfId="0">
      <alignment horizontal="center" vertical="center"/>
    </xf>
    <xf numFmtId="0" fontId="22" fillId="14" borderId="17" applyAlignment="1" pivotButton="0" quotePrefix="0" xfId="0">
      <alignment horizontal="center" vertical="center" wrapText="1"/>
    </xf>
    <xf numFmtId="0" fontId="22" fillId="14" borderId="16" applyAlignment="1" pivotButton="0" quotePrefix="0" xfId="0">
      <alignment horizontal="center" vertical="center" wrapText="1"/>
    </xf>
    <xf numFmtId="0" fontId="22" fillId="20" borderId="17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2" fillId="20" borderId="16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/>
    </xf>
    <xf numFmtId="0" fontId="0" fillId="21" borderId="17" applyAlignment="1" pivotButton="0" quotePrefix="0" xfId="0">
      <alignment horizontal="center" vertical="center"/>
    </xf>
    <xf numFmtId="0" fontId="0" fillId="21" borderId="16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166" fontId="0" fillId="2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7" fillId="0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16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3" fillId="22" borderId="25" applyAlignment="1" pivotButton="0" quotePrefix="0" xfId="0">
      <alignment horizontal="center" vertical="center" wrapText="1"/>
    </xf>
    <xf numFmtId="0" fontId="15" fillId="23" borderId="1" applyAlignment="1" pivotButton="0" quotePrefix="0" xfId="0">
      <alignment horizontal="center" vertical="center"/>
    </xf>
    <xf numFmtId="0" fontId="15" fillId="23" borderId="2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15" fillId="23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8" borderId="2" pivotButton="0" quotePrefix="0" xfId="0"/>
    <xf numFmtId="0" fontId="0" fillId="8" borderId="2" pivotButton="0" quotePrefix="0" xfId="0"/>
    <xf numFmtId="0" fontId="13" fillId="8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2" borderId="7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3" borderId="7" applyAlignment="1" pivotButton="0" quotePrefix="0" xfId="0">
      <alignment horizontal="center" vertical="center" wrapText="1"/>
    </xf>
    <xf numFmtId="0" fontId="3" fillId="14" borderId="5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7" applyAlignment="1" pivotButton="0" quotePrefix="0" xfId="0">
      <alignment horizontal="center" vertical="center" wrapText="1"/>
    </xf>
    <xf numFmtId="0" fontId="3" fillId="15" borderId="5" applyAlignment="1" pivotButton="0" quotePrefix="0" xfId="0">
      <alignment horizontal="center" vertical="center" wrapText="1"/>
    </xf>
    <xf numFmtId="0" fontId="3" fillId="15" borderId="7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/>
    </xf>
    <xf numFmtId="0" fontId="4" fillId="16" borderId="9" applyAlignment="1" pivotButton="0" quotePrefix="0" xfId="0">
      <alignment horizontal="center" vertical="center"/>
    </xf>
    <xf numFmtId="0" fontId="4" fillId="16" borderId="10" applyAlignment="1" pivotButton="0" quotePrefix="0" xfId="0">
      <alignment horizontal="center" vertical="center"/>
    </xf>
    <xf numFmtId="3" fontId="4" fillId="16" borderId="8" applyAlignment="1" pivotButton="0" quotePrefix="0" xfId="0">
      <alignment horizontal="center" vertical="center"/>
    </xf>
    <xf numFmtId="3" fontId="4" fillId="16" borderId="9" applyAlignment="1" pivotButton="0" quotePrefix="0" xfId="0">
      <alignment horizontal="center" vertical="center"/>
    </xf>
    <xf numFmtId="166" fontId="4" fillId="16" borderId="9" applyAlignment="1" pivotButton="0" quotePrefix="0" xfId="0">
      <alignment horizontal="center" vertical="center"/>
    </xf>
    <xf numFmtId="3" fontId="4" fillId="16" borderId="10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3" fontId="6" fillId="0" borderId="14" applyAlignment="1" pivotButton="0" quotePrefix="0" xfId="0">
      <alignment horizontal="center" vertical="center"/>
    </xf>
    <xf numFmtId="3" fontId="6" fillId="0" borderId="12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3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3" fontId="6" fillId="0" borderId="13" applyAlignment="1" pivotButton="0" quotePrefix="0" xfId="0">
      <alignment horizontal="center" vertical="center"/>
    </xf>
    <xf numFmtId="0" fontId="14" fillId="0" borderId="0" pivotButton="0" quotePrefix="0" xfId="0"/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3" fontId="0" fillId="17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12">
    <dxf>
      <font>
        <name val="游ゴシック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游ゴシック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游ゴシック"/>
        <b val="1"/>
        <color rgb="002F5597"/>
        <sz val="10"/>
      </font>
      <fill>
        <patternFill patternType="solid">
          <fgColor rgb="00D6E4F0"/>
          <bgColor rgb="00D6E4F0"/>
        </patternFill>
      </fill>
    </dxf>
    <dxf>
      <font>
        <b val="1"/>
        <color rgb="00D32F2F"/>
      </font>
      <fill>
        <patternFill patternType="solid">
          <fgColor rgb="00FFE0E0"/>
          <bgColor rgb="00FFE0E0"/>
        </patternFill>
      </fill>
    </dxf>
    <dxf>
      <font>
        <b val="1"/>
        <color rgb="001565C0"/>
      </font>
      <fill>
        <patternFill patternType="solid">
          <fgColor rgb="00E3F2FD"/>
          <bgColor rgb="00E3F2FD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color rgb="009E9E9E"/>
      </font>
      <fill>
        <patternFill patternType="solid">
          <fgColor rgb="00F5F5F5"/>
          <bgColor rgb="00F5F5F5"/>
        </patternFill>
      </fill>
    </dxf>
    <dxf>
      <font>
        <color rgb="00BDBDBD"/>
      </font>
      <fill>
        <patternFill patternType="solid">
          <fgColor rgb="00FAFAFA"/>
          <bgColor rgb="00FAFAFA"/>
        </patternFill>
      </fill>
    </dxf>
    <dxf>
      <font>
        <b val="1"/>
        <color rgb="00E65100"/>
      </font>
      <fill>
        <patternFill patternType="solid">
          <fgColor rgb="00FFF9C4"/>
          <bgColor rgb="00FFF9C4"/>
        </patternFill>
      </fill>
    </dxf>
    <dxf>
      <fill>
        <patternFill patternType="solid">
          <fgColor rgb="00F2F2F2"/>
          <bgColor rgb="00F2F2F2"/>
        </patternFill>
      </fill>
    </dxf>
    <dxf>
      <font>
        <name val="游ゴシック"/>
        <color rgb="00808080"/>
        <sz val="10"/>
      </font>
      <fill>
        <patternFill patternType="solid">
          <fgColor rgb="00F2F2F2"/>
          <bgColor rgb="00F2F2F2"/>
        </patternFill>
      </fill>
    </dxf>
    <dxf>
      <font>
        <name val="游ゴシック"/>
        <b val="1"/>
        <color rgb="009C5700"/>
        <sz val="1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'進捗サマリー_ALL'!$A$6:$A$191</f>
            </numRef>
          </cat>
          <val>
            <numRef>
              <f>'進捗サマリー_ALL'!$G$6:$G$191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'進捗サマリー_ALL'!$A$6:$A$191</f>
            </numRef>
          </cat>
          <val>
            <numRef>
              <f>'進捗サマリー_ALL'!$H$6:$H$191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'進捗サマリー_ALL'!$A$6:$A$191</f>
            </numRef>
          </cat>
          <val>
            <numRef>
              <f>'進捗サマリー_ALL'!$N$6:$N$191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'進捗サマリー_ALL'!$A$6:$A$191</f>
            </numRef>
          </cat>
          <val>
            <numRef>
              <f>'進捗サマリー_ALL'!$O$6:$O$191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'進捗サマリー_オンライン'!$A$6:$A$189</f>
            </numRef>
          </cat>
          <val>
            <numRef>
              <f>'進捗サマリー_オンライン'!$G$6:$G$189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'進捗サマリー_オンライン'!$A$6:$A$189</f>
            </numRef>
          </cat>
          <val>
            <numRef>
              <f>'進捗サマリー_オンライン'!$H$6:$H$189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'進捗サマリー_オンライン'!$A$6:$A$189</f>
            </numRef>
          </cat>
          <val>
            <numRef>
              <f>'進捗サマリー_オンライン'!$N$6:$N$189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'進捗サマリー_オンライン'!$A$6:$A$189</f>
            </numRef>
          </cat>
          <val>
            <numRef>
              <f>'進捗サマリー_オンライン'!$O$6:$O$189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'進捗サマリー_バッチ'!$A$6:$A$182</f>
            </numRef>
          </cat>
          <val>
            <numRef>
              <f>'進捗サマリー_バッチ'!$G$6:$G$182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'進捗サマリー_バッチ'!$A$6:$A$182</f>
            </numRef>
          </cat>
          <val>
            <numRef>
              <f>'進捗サマリー_バッチ'!$H$6:$H$182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'進捗サマリー_バッチ'!$A$6:$A$182</f>
            </numRef>
          </cat>
          <val>
            <numRef>
              <f>'進捗サマリー_バッチ'!$N$6:$N$182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'進捗サマリー_バッチ'!$A$6:$A$182</f>
            </numRef>
          </cat>
          <val>
            <numRef>
              <f>'進捗サマリー_バッチ'!$O$6:$O$182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'進捗サマリー_基盤'!$A$6:$A$183</f>
            </numRef>
          </cat>
          <val>
            <numRef>
              <f>'進捗サマリー_基盤'!$G$6:$G$183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'進捗サマリー_基盤'!$A$6:$A$183</f>
            </numRef>
          </cat>
          <val>
            <numRef>
              <f>'進捗サマリー_基盤'!$H$6:$H$183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'進捗サマリー_基盤'!$A$6:$A$183</f>
            </numRef>
          </cat>
          <val>
            <numRef>
              <f>'進捗サマリー_基盤'!$N$6:$N$183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'進捗サマリー_基盤'!$A$6:$A$183</f>
            </numRef>
          </cat>
          <val>
            <numRef>
              <f>'進捗サマリー_基盤'!$O$6:$O$183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'進捗サマリー_運用'!$A$6:$A$184</f>
            </numRef>
          </cat>
          <val>
            <numRef>
              <f>'進捗サマリー_運用'!$G$6:$G$184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'進捗サマリー_運用'!$A$6:$A$184</f>
            </numRef>
          </cat>
          <val>
            <numRef>
              <f>'進捗サマリー_運用'!$H$6:$H$184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'進捗サマリー_運用'!$A$6:$A$184</f>
            </numRef>
          </cat>
          <val>
            <numRef>
              <f>'進捗サマリー_運用'!$N$6:$N$184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'進捗サマリー_運用'!$A$6:$A$184</f>
            </numRef>
          </cat>
          <val>
            <numRef>
              <f>'進捗サマリー_運用'!$O$6:$O$184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その他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'進捗サマリー_その他'!$A$6:$A$171</f>
            </numRef>
          </cat>
          <val>
            <numRef>
              <f>'進捗サマリー_その他'!$G$6:$G$171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'進捗サマリー_その他'!$A$6:$A$171</f>
            </numRef>
          </cat>
          <val>
            <numRef>
              <f>'進捗サマリー_その他'!$H$6:$H$171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その他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'進捗サマリー_その他'!$A$6:$A$171</f>
            </numRef>
          </cat>
          <val>
            <numRef>
              <f>'進捗サマリー_その他'!$N$6:$N$171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'進捗サマリー_その他'!$A$6:$A$171</f>
            </numRef>
          </cat>
          <val>
            <numRef>
              <f>'進捗サマリー_その他'!$O$6:$O$171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業務機能分類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'欠陥ダッシュボード'!$A$37:$A$49</f>
            </numRef>
          </cat>
          <val>
            <numRef>
              <f>'欠陥ダッシュボード'!$B$37:$B$49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業務機能分類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'欠陥ダッシュボード'!$A$37:$A$49</f>
            </numRef>
          </cat>
          <val>
            <numRef>
              <f>'欠陥ダッシュボード'!$C$37:$C$49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業務機能分類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'欠陥ダッシュボード'!$A$37:$A$49</f>
            </numRef>
          </cat>
          <val>
            <numRef>
              <f>'欠陥ダッシュボード'!$D$37:$D$49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業務機能分類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'欠陥ダッシュボード'!$A$37:$A$49</f>
            </numRef>
          </cat>
          <val>
            <numRef>
              <f>'欠陥ダッシュボード'!$E$37:$E$49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業務機能分類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'欠陥ダッシュボード'!$A$37:$A$49</f>
            </numRef>
          </cat>
          <val>
            <numRef>
              <f>'欠陥ダッシュボード'!$F$37:$F$49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欠陥原因（深層）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'欠陥ダッシュボード'!$A$180:$A$189</f>
            </numRef>
          </cat>
          <val>
            <numRef>
              <f>'欠陥ダッシュボード'!$B$180:$B$189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欠陥原因（深層）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'欠陥ダッシュボード'!$A$180:$A$189</f>
            </numRef>
          </cat>
          <val>
            <numRef>
              <f>'欠陥ダッシュボード'!$C$180:$C$189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欠陥原因（深層）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'欠陥ダッシュボード'!$A$180:$A$189</f>
            </numRef>
          </cat>
          <val>
            <numRef>
              <f>'欠陥ダッシュボード'!$D$180:$D$189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欠陥原因（深層）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'欠陥ダッシュボード'!$A$180:$A$189</f>
            </numRef>
          </cat>
          <val>
            <numRef>
              <f>'欠陥ダッシュボード'!$E$180:$E$189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欠陥原因（深層）</a:t>
            </a:r>
          </a:p>
        </rich>
      </tx>
      <txPr>
        <a:bodyPr/>
        <a:p>
          <a:pPr>
            <a:defRPr sz="1400" b="1">
              <a:latin typeface="游ゴシック"/>
            </a:defRPr>
          </a:pPr>
          <a:r>
            <a:t/>
          </a:r>
          <a:endParaRPr sz="1400" b="1">
            <a:latin typeface="游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5"/>
          <y val="0.15"/>
          <w val="0.7"/>
          <h val="0.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'欠陥ダッシュボード'!$A$180:$A$189</f>
            </numRef>
          </cat>
          <val>
            <numRef>
              <f>'欠陥ダッシュボード'!$F$180:$F$189</f>
            </numRef>
          </val>
        </ser>
        <dLbls>
          <numFmt formatCode="0%;;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Relationship Type="http://schemas.openxmlformats.org/officeDocument/2006/relationships/chart" Target="/xl/charts/chart17.xml" Id="rId5" /><Relationship Type="http://schemas.openxmlformats.org/officeDocument/2006/relationships/chart" Target="/xl/charts/chart18.xml" Id="rId6" /><Relationship Type="http://schemas.openxmlformats.org/officeDocument/2006/relationships/chart" Target="/xl/charts/chart19.xml" Id="rId7" /><Relationship Type="http://schemas.openxmlformats.org/officeDocument/2006/relationships/chart" Target="/xl/charts/chart20.xml" Id="rId8" /><Relationship Type="http://schemas.openxmlformats.org/officeDocument/2006/relationships/chart" Target="/xl/charts/chart21.xml" Id="rId9" /><Relationship Type="http://schemas.openxmlformats.org/officeDocument/2006/relationships/chart" Target="/xl/charts/chart2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6350000"/>
    <ext cx="4826000" cy="40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  <absoluteAnchor>
    <pos x="4927600" y="6350000"/>
    <ext cx="5715000" cy="40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absoluteAnchor>
  <absoluteAnchor>
    <pos x="0" y="10515600"/>
    <ext cx="4826000" cy="40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absoluteAnchor>
  <absoluteAnchor>
    <pos x="4927600" y="10515600"/>
    <ext cx="5715000" cy="40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absoluteAnchor>
  <absoluteAnchor>
    <pos x="0" y="14681200"/>
    <ext cx="4826000" cy="40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absoluteAnchor>
  <absoluteAnchor>
    <pos x="4927600" y="14681200"/>
    <ext cx="5715000" cy="40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absoluteAnchor>
  <absoluteAnchor>
    <pos x="0" y="18846800"/>
    <ext cx="4826000" cy="4064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absoluteAnchor>
  <absoluteAnchor>
    <pos x="4927600" y="18846800"/>
    <ext cx="5715000" cy="4064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absoluteAnchor>
  <absoluteAnchor>
    <pos x="0" y="23012400"/>
    <ext cx="4826000" cy="4064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absoluteAnchor>
  <absoluteAnchor>
    <pos x="4927600" y="23012400"/>
    <ext cx="5715000" cy="4064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absoluteAnchor>
  <absoluteAnchor>
    <pos x="0" y="27178000"/>
    <ext cx="4826000" cy="4064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absoluteAnchor>
  <absoluteAnchor>
    <pos x="4927600" y="27178000"/>
    <ext cx="5715000" cy="4064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absolute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127000" y="12001500"/>
    <ext cx="6985000" cy="635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  <absoluteAnchor>
    <pos x="127000" y="18986500"/>
    <ext cx="6985000" cy="635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absoluteAnchor>
  <absoluteAnchor>
    <pos x="7620000" y="18986500"/>
    <ext cx="6985000" cy="635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absoluteAnchor>
  <absoluteAnchor>
    <pos x="127000" y="25971500"/>
    <ext cx="6985000" cy="635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absoluteAnchor>
  <absoluteAnchor>
    <pos x="7620000" y="25971500"/>
    <ext cx="6985000" cy="635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absoluteAnchor>
  <absoluteAnchor>
    <pos x="127000" y="38671500"/>
    <ext cx="6985000" cy="635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absoluteAnchor>
  <absoluteAnchor>
    <pos x="127000" y="45656500"/>
    <ext cx="6985000" cy="635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absoluteAnchor>
  <absoluteAnchor>
    <pos x="7620000" y="45656500"/>
    <ext cx="6985000" cy="635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absoluteAnchor>
  <absoluteAnchor>
    <pos x="127000" y="52641500"/>
    <ext cx="6985000" cy="635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absoluteAnchor>
  <absoluteAnchor>
    <pos x="7620000" y="52641500"/>
    <ext cx="6985000" cy="635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遅延一覧テーブル" displayName="遅延一覧テーブル" ref="A10:H71" headerRowCount="1">
  <autoFilter ref="A10:H71"/>
  <tableColumns count="8">
    <tableColumn id="1" name="No."/>
    <tableColumn id="2" name="チーム名"/>
    <tableColumn id="3" name="シート名"/>
    <tableColumn id="4" name="テストID"/>
    <tableColumn id="5" name="実施予定"/>
    <tableColumn id="6" name="実施実績"/>
    <tableColumn id="7" name="検証予定"/>
    <tableColumn id="8" name="検証実績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明細テーブル" displayName="明細テーブル" ref="A4:L363" headerRowCount="1">
  <autoFilter ref="A4:L363"/>
  <tableColumns count="12">
    <tableColumn id="1" name="No."/>
    <tableColumn id="2" name="ファイル名"/>
    <tableColumn id="3" name="シート名"/>
    <tableColumn id="4" name="チーム名"/>
    <tableColumn id="5" name="テストID"/>
    <tableColumn id="6" name="実施者_予定"/>
    <tableColumn id="7" name="実施者_実績"/>
    <tableColumn id="8" name="実施者_状況"/>
    <tableColumn id="9" name="検証者_予定"/>
    <tableColumn id="10" name="検証者_実績"/>
    <tableColumn id="11" name="検証者_状況"/>
    <tableColumn id="12" name="進捗状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R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8" customWidth="1" min="15" max="15"/>
    <col width="8" customWidth="1" min="16" max="16"/>
  </cols>
  <sheetData>
    <row r="1" ht="35" customHeight="1">
      <c r="A1" s="1" t="inlineStr">
        <is>
          <t>テスト進捗ダッシュボード</t>
        </is>
      </c>
    </row>
    <row r="2" ht="22" customHeight="1">
      <c r="A2" s="2" t="inlineStr">
        <is>
          <t>基準日:</t>
        </is>
      </c>
      <c r="B2" s="3" t="n">
        <v>46091</v>
      </c>
      <c r="C2" s="4" t="n"/>
      <c r="D2" s="4" t="n"/>
      <c r="F2" s="5" t="inlineStr">
        <is>
          <t>週範囲From:</t>
        </is>
      </c>
      <c r="G2" s="6" t="inlineStr">
        <is>
          <t>2026/03/01</t>
        </is>
      </c>
      <c r="H2" s="5" t="inlineStr">
        <is>
          <t>To:</t>
        </is>
      </c>
      <c r="I2" s="6" t="inlineStr">
        <is>
          <t>2026/03/07</t>
        </is>
      </c>
    </row>
    <row r="4" ht="24" customHeight="1">
      <c r="A4" s="7" t="inlineStr">
        <is>
          <t>■ 実施進捗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0" customHeight="1">
      <c r="A5" s="8" t="inlineStr">
        <is>
          <t>チーム</t>
        </is>
      </c>
      <c r="B5" s="9" t="inlineStr">
        <is>
          <t>日次</t>
        </is>
      </c>
      <c r="C5" s="10" t="n"/>
      <c r="D5" s="11" t="inlineStr">
        <is>
          <t>週次</t>
        </is>
      </c>
      <c r="E5" s="12" t="n"/>
      <c r="F5" s="12" t="n"/>
      <c r="G5" s="13" t="n"/>
      <c r="H5" s="9" t="inlineStr">
        <is>
          <t>総計</t>
        </is>
      </c>
      <c r="I5" s="12" t="n"/>
      <c r="J5" s="12" t="n"/>
      <c r="K5" s="12" t="n"/>
      <c r="L5" s="12" t="n"/>
      <c r="M5" s="12" t="n"/>
      <c r="N5" s="12" t="n"/>
      <c r="O5" s="12" t="n"/>
      <c r="P5" s="13" t="n"/>
    </row>
    <row r="6" ht="22" customHeight="1">
      <c r="A6" s="14" t="n"/>
      <c r="B6" s="15" t="inlineStr">
        <is>
          <t>予定</t>
        </is>
      </c>
      <c r="C6" s="16" t="inlineStr">
        <is>
          <t>実績</t>
        </is>
      </c>
      <c r="D6" s="17" t="inlineStr">
        <is>
          <t>予定</t>
        </is>
      </c>
      <c r="E6" s="18" t="inlineStr">
        <is>
          <t>実績</t>
        </is>
      </c>
      <c r="F6" s="18" t="inlineStr">
        <is>
          <t>残数</t>
        </is>
      </c>
      <c r="G6" s="19" t="inlineStr">
        <is>
          <t>遅延</t>
        </is>
      </c>
      <c r="H6" s="15" t="inlineStr">
        <is>
          <t>総数</t>
        </is>
      </c>
      <c r="I6" s="20" t="inlineStr">
        <is>
          <t>予定累計</t>
        </is>
      </c>
      <c r="J6" s="20" t="inlineStr">
        <is>
          <t>実績累計</t>
        </is>
      </c>
      <c r="K6" s="20" t="inlineStr">
        <is>
          <t>残数</t>
        </is>
      </c>
      <c r="L6" s="20" t="inlineStr">
        <is>
          <t>遅延</t>
        </is>
      </c>
      <c r="M6" s="20" t="inlineStr">
        <is>
          <t>予定消化率</t>
        </is>
      </c>
      <c r="N6" s="20" t="inlineStr">
        <is>
          <t>実績消化率</t>
        </is>
      </c>
      <c r="O6" s="20" t="inlineStr">
        <is>
          <t>乖離</t>
        </is>
      </c>
      <c r="P6" s="16" t="inlineStr">
        <is>
          <t>状態</t>
        </is>
      </c>
    </row>
    <row r="7">
      <c r="A7" s="21" t="inlineStr">
        <is>
          <t>全体</t>
        </is>
      </c>
      <c r="B7" s="22">
        <f>IFERROR(INDEX('進捗サマリー_ALL'!D6:D191,MATCH($B$2,'進捗サマリー_ALL'!A6:A191,0)),0)</f>
        <v/>
      </c>
      <c r="C7" s="23">
        <f>IFERROR(INDEX('進捗サマリー_ALL'!E6:E191,MATCH($B$2,'進捗サマリー_ALL'!A6:A191,0)),0)</f>
        <v/>
      </c>
      <c r="D7" s="22">
        <f>IF(OR($G$2="",$I$2=""),"-",SUMIFS('進捗サマリー_ALL'!D6:D191,'進捗サマリー_ALL'!A6:A191,"&gt;="&amp;$G$2,'進捗サマリー_ALL'!A6:A191,"&lt;="&amp;$I$2))</f>
        <v/>
      </c>
      <c r="E7" s="24">
        <f>IF(OR($G$2="",$I$2=""),"-",SUMIFS('進捗サマリー_ALL'!E6:E191,'進捗サマリー_ALL'!A6:A191,"&gt;="&amp;$G$2,'進捗サマリー_ALL'!A6:A191,"&lt;="&amp;$I$2))</f>
        <v/>
      </c>
      <c r="F7" s="24">
        <f>IF(OR($G$2="",$I$2=""),"-",D7-E7)</f>
        <v/>
      </c>
      <c r="G7" s="23">
        <f>IF(OR($G$2="",$I$2=""),"-",IF(F7&gt;0,F7,0))</f>
        <v/>
      </c>
      <c r="H7" s="22">
        <f>'進捗サマリー_ALL'!D5</f>
        <v/>
      </c>
      <c r="I7" s="24">
        <f>IFERROR(INDEX('進捗サマリー_ALL'!G6:G191,MATCH($B$2,'進捗サマリー_ALL'!A6:A191,0)),0)</f>
        <v/>
      </c>
      <c r="J7" s="24">
        <f>IFERROR(INDEX('進捗サマリー_ALL'!H6:H191,MATCH($B$2,'進捗サマリー_ALL'!A6:A191,0)),0)</f>
        <v/>
      </c>
      <c r="K7" s="24">
        <f>H7-J7</f>
        <v/>
      </c>
      <c r="L7" s="24">
        <f>I7-J7</f>
        <v/>
      </c>
      <c r="M7" s="25">
        <f>IF(H7=0,0,I7/H7)</f>
        <v/>
      </c>
      <c r="N7" s="25">
        <f>IF(H7=0,0,J7/H7)</f>
        <v/>
      </c>
      <c r="O7" s="25">
        <f>N7-M7</f>
        <v/>
      </c>
      <c r="P7" s="23">
        <f>IF(J7&gt;=H7,"完了",IF(L7&gt;0,"遅延","順調"))</f>
        <v/>
      </c>
    </row>
    <row r="8">
      <c r="A8" s="26" t="inlineStr">
        <is>
          <t>その他</t>
        </is>
      </c>
      <c r="B8" s="27">
        <f>IFERROR(INDEX('進捗サマリー_その他'!D6:D171,MATCH($B$2,'進捗サマリー_その他'!A6:A171,0)),0)</f>
        <v/>
      </c>
      <c r="C8" s="28">
        <f>IFERROR(INDEX('進捗サマリー_その他'!E6:E171,MATCH($B$2,'進捗サマリー_その他'!A6:A171,0)),0)</f>
        <v/>
      </c>
      <c r="D8" s="27">
        <f>IF(OR($G$2="",$I$2=""),"-",SUMIFS('進捗サマリー_その他'!D6:D171,'進捗サマリー_その他'!A6:A171,"&gt;="&amp;$G$2,'進捗サマリー_その他'!A6:A171,"&lt;="&amp;$I$2))</f>
        <v/>
      </c>
      <c r="E8" s="29">
        <f>IF(OR($G$2="",$I$2=""),"-",SUMIFS('進捗サマリー_その他'!E6:E171,'進捗サマリー_その他'!A6:A171,"&gt;="&amp;$G$2,'進捗サマリー_その他'!A6:A171,"&lt;="&amp;$I$2))</f>
        <v/>
      </c>
      <c r="F8" s="29">
        <f>IF(OR($G$2="",$I$2=""),"-",D8-E8)</f>
        <v/>
      </c>
      <c r="G8" s="28">
        <f>IF(OR($G$2="",$I$2=""),"-",IF(F8&gt;0,F8,0))</f>
        <v/>
      </c>
      <c r="H8" s="27">
        <f>'進捗サマリー_その他'!D5</f>
        <v/>
      </c>
      <c r="I8" s="29">
        <f>IFERROR(INDEX('進捗サマリー_その他'!G6:G171,MATCH($B$2,'進捗サマリー_その他'!A6:A171,0)),0)</f>
        <v/>
      </c>
      <c r="J8" s="29">
        <f>IFERROR(INDEX('進捗サマリー_その他'!H6:H171,MATCH($B$2,'進捗サマリー_その他'!A6:A171,0)),0)</f>
        <v/>
      </c>
      <c r="K8" s="29">
        <f>H8-J8</f>
        <v/>
      </c>
      <c r="L8" s="29">
        <f>I8-J8</f>
        <v/>
      </c>
      <c r="M8" s="30">
        <f>IF(H8=0,0,I8/H8)</f>
        <v/>
      </c>
      <c r="N8" s="30">
        <f>IF(H8=0,0,J8/H8)</f>
        <v/>
      </c>
      <c r="O8" s="30">
        <f>N8-M8</f>
        <v/>
      </c>
      <c r="P8" s="28">
        <f>IF(J8&gt;=H8,"完了",IF(L8&gt;0,"遅延","順調"))</f>
        <v/>
      </c>
    </row>
    <row r="9">
      <c r="A9" s="26" t="inlineStr">
        <is>
          <t>オンライン</t>
        </is>
      </c>
      <c r="B9" s="27">
        <f>IFERROR(INDEX('進捗サマリー_オンライン'!D6:D189,MATCH($B$2,'進捗サマリー_オンライン'!A6:A189,0)),0)</f>
        <v/>
      </c>
      <c r="C9" s="28">
        <f>IFERROR(INDEX('進捗サマリー_オンライン'!E6:E189,MATCH($B$2,'進捗サマリー_オンライン'!A6:A189,0)),0)</f>
        <v/>
      </c>
      <c r="D9" s="27">
        <f>IF(OR($G$2="",$I$2=""),"-",SUMIFS('進捗サマリー_オンライン'!D6:D189,'進捗サマリー_オンライン'!A6:A189,"&gt;="&amp;$G$2,'進捗サマリー_オンライン'!A6:A189,"&lt;="&amp;$I$2))</f>
        <v/>
      </c>
      <c r="E9" s="29">
        <f>IF(OR($G$2="",$I$2=""),"-",SUMIFS('進捗サマリー_オンライン'!E6:E189,'進捗サマリー_オンライン'!A6:A189,"&gt;="&amp;$G$2,'進捗サマリー_オンライン'!A6:A189,"&lt;="&amp;$I$2))</f>
        <v/>
      </c>
      <c r="F9" s="29">
        <f>IF(OR($G$2="",$I$2=""),"-",D9-E9)</f>
        <v/>
      </c>
      <c r="G9" s="28">
        <f>IF(OR($G$2="",$I$2=""),"-",IF(F9&gt;0,F9,0))</f>
        <v/>
      </c>
      <c r="H9" s="27">
        <f>'進捗サマリー_オンライン'!D5</f>
        <v/>
      </c>
      <c r="I9" s="29">
        <f>IFERROR(INDEX('進捗サマリー_オンライン'!G6:G189,MATCH($B$2,'進捗サマリー_オンライン'!A6:A189,0)),0)</f>
        <v/>
      </c>
      <c r="J9" s="29">
        <f>IFERROR(INDEX('進捗サマリー_オンライン'!H6:H189,MATCH($B$2,'進捗サマリー_オンライン'!A6:A189,0)),0)</f>
        <v/>
      </c>
      <c r="K9" s="29">
        <f>H9-J9</f>
        <v/>
      </c>
      <c r="L9" s="29">
        <f>I9-J9</f>
        <v/>
      </c>
      <c r="M9" s="30">
        <f>IF(H9=0,0,I9/H9)</f>
        <v/>
      </c>
      <c r="N9" s="30">
        <f>IF(H9=0,0,J9/H9)</f>
        <v/>
      </c>
      <c r="O9" s="30">
        <f>N9-M9</f>
        <v/>
      </c>
      <c r="P9" s="28">
        <f>IF(J9&gt;=H9,"完了",IF(L9&gt;0,"遅延","順調"))</f>
        <v/>
      </c>
    </row>
    <row r="10">
      <c r="A10" s="26" t="inlineStr">
        <is>
          <t>バッチ</t>
        </is>
      </c>
      <c r="B10" s="27">
        <f>IFERROR(INDEX('進捗サマリー_バッチ'!D6:D182,MATCH($B$2,'進捗サマリー_バッチ'!A6:A182,0)),0)</f>
        <v/>
      </c>
      <c r="C10" s="28">
        <f>IFERROR(INDEX('進捗サマリー_バッチ'!E6:E182,MATCH($B$2,'進捗サマリー_バッチ'!A6:A182,0)),0)</f>
        <v/>
      </c>
      <c r="D10" s="27">
        <f>IF(OR($G$2="",$I$2=""),"-",SUMIFS('進捗サマリー_バッチ'!D6:D182,'進捗サマリー_バッチ'!A6:A182,"&gt;="&amp;$G$2,'進捗サマリー_バッチ'!A6:A182,"&lt;="&amp;$I$2))</f>
        <v/>
      </c>
      <c r="E10" s="29">
        <f>IF(OR($G$2="",$I$2=""),"-",SUMIFS('進捗サマリー_バッチ'!E6:E182,'進捗サマリー_バッチ'!A6:A182,"&gt;="&amp;$G$2,'進捗サマリー_バッチ'!A6:A182,"&lt;="&amp;$I$2))</f>
        <v/>
      </c>
      <c r="F10" s="29">
        <f>IF(OR($G$2="",$I$2=""),"-",D10-E10)</f>
        <v/>
      </c>
      <c r="G10" s="28">
        <f>IF(OR($G$2="",$I$2=""),"-",IF(F10&gt;0,F10,0))</f>
        <v/>
      </c>
      <c r="H10" s="27">
        <f>'進捗サマリー_バッチ'!D5</f>
        <v/>
      </c>
      <c r="I10" s="29">
        <f>IFERROR(INDEX('進捗サマリー_バッチ'!G6:G182,MATCH($B$2,'進捗サマリー_バッチ'!A6:A182,0)),0)</f>
        <v/>
      </c>
      <c r="J10" s="29">
        <f>IFERROR(INDEX('進捗サマリー_バッチ'!H6:H182,MATCH($B$2,'進捗サマリー_バッチ'!A6:A182,0)),0)</f>
        <v/>
      </c>
      <c r="K10" s="29">
        <f>H10-J10</f>
        <v/>
      </c>
      <c r="L10" s="29">
        <f>I10-J10</f>
        <v/>
      </c>
      <c r="M10" s="30">
        <f>IF(H10=0,0,I10/H10)</f>
        <v/>
      </c>
      <c r="N10" s="30">
        <f>IF(H10=0,0,J10/H10)</f>
        <v/>
      </c>
      <c r="O10" s="30">
        <f>N10-M10</f>
        <v/>
      </c>
      <c r="P10" s="28">
        <f>IF(J10&gt;=H10,"完了",IF(L10&gt;0,"遅延","順調"))</f>
        <v/>
      </c>
    </row>
    <row r="11">
      <c r="A11" s="26" t="inlineStr">
        <is>
          <t>基盤</t>
        </is>
      </c>
      <c r="B11" s="27">
        <f>IFERROR(INDEX('進捗サマリー_基盤'!D6:D183,MATCH($B$2,'進捗サマリー_基盤'!A6:A183,0)),0)</f>
        <v/>
      </c>
      <c r="C11" s="28">
        <f>IFERROR(INDEX('進捗サマリー_基盤'!E6:E183,MATCH($B$2,'進捗サマリー_基盤'!A6:A183,0)),0)</f>
        <v/>
      </c>
      <c r="D11" s="27">
        <f>IF(OR($G$2="",$I$2=""),"-",SUMIFS('進捗サマリー_基盤'!D6:D183,'進捗サマリー_基盤'!A6:A183,"&gt;="&amp;$G$2,'進捗サマリー_基盤'!A6:A183,"&lt;="&amp;$I$2))</f>
        <v/>
      </c>
      <c r="E11" s="29">
        <f>IF(OR($G$2="",$I$2=""),"-",SUMIFS('進捗サマリー_基盤'!E6:E183,'進捗サマリー_基盤'!A6:A183,"&gt;="&amp;$G$2,'進捗サマリー_基盤'!A6:A183,"&lt;="&amp;$I$2))</f>
        <v/>
      </c>
      <c r="F11" s="29">
        <f>IF(OR($G$2="",$I$2=""),"-",D11-E11)</f>
        <v/>
      </c>
      <c r="G11" s="28">
        <f>IF(OR($G$2="",$I$2=""),"-",IF(F11&gt;0,F11,0))</f>
        <v/>
      </c>
      <c r="H11" s="27">
        <f>'進捗サマリー_基盤'!D5</f>
        <v/>
      </c>
      <c r="I11" s="29">
        <f>IFERROR(INDEX('進捗サマリー_基盤'!G6:G183,MATCH($B$2,'進捗サマリー_基盤'!A6:A183,0)),0)</f>
        <v/>
      </c>
      <c r="J11" s="29">
        <f>IFERROR(INDEX('進捗サマリー_基盤'!H6:H183,MATCH($B$2,'進捗サマリー_基盤'!A6:A183,0)),0)</f>
        <v/>
      </c>
      <c r="K11" s="29">
        <f>H11-J11</f>
        <v/>
      </c>
      <c r="L11" s="29">
        <f>I11-J11</f>
        <v/>
      </c>
      <c r="M11" s="30">
        <f>IF(H11=0,0,I11/H11)</f>
        <v/>
      </c>
      <c r="N11" s="30">
        <f>IF(H11=0,0,J11/H11)</f>
        <v/>
      </c>
      <c r="O11" s="30">
        <f>N11-M11</f>
        <v/>
      </c>
      <c r="P11" s="28">
        <f>IF(J11&gt;=H11,"完了",IF(L11&gt;0,"遅延","順調"))</f>
        <v/>
      </c>
    </row>
    <row r="12">
      <c r="A12" s="26" t="inlineStr">
        <is>
          <t>運用</t>
        </is>
      </c>
      <c r="B12" s="27">
        <f>IFERROR(INDEX('進捗サマリー_運用'!D6:D184,MATCH($B$2,'進捗サマリー_運用'!A6:A184,0)),0)</f>
        <v/>
      </c>
      <c r="C12" s="28">
        <f>IFERROR(INDEX('進捗サマリー_運用'!E6:E184,MATCH($B$2,'進捗サマリー_運用'!A6:A184,0)),0)</f>
        <v/>
      </c>
      <c r="D12" s="27">
        <f>IF(OR($G$2="",$I$2=""),"-",SUMIFS('進捗サマリー_運用'!D6:D184,'進捗サマリー_運用'!A6:A184,"&gt;="&amp;$G$2,'進捗サマリー_運用'!A6:A184,"&lt;="&amp;$I$2))</f>
        <v/>
      </c>
      <c r="E12" s="29">
        <f>IF(OR($G$2="",$I$2=""),"-",SUMIFS('進捗サマリー_運用'!E6:E184,'進捗サマリー_運用'!A6:A184,"&gt;="&amp;$G$2,'進捗サマリー_運用'!A6:A184,"&lt;="&amp;$I$2))</f>
        <v/>
      </c>
      <c r="F12" s="29">
        <f>IF(OR($G$2="",$I$2=""),"-",D12-E12)</f>
        <v/>
      </c>
      <c r="G12" s="28">
        <f>IF(OR($G$2="",$I$2=""),"-",IF(F12&gt;0,F12,0))</f>
        <v/>
      </c>
      <c r="H12" s="27">
        <f>'進捗サマリー_運用'!D5</f>
        <v/>
      </c>
      <c r="I12" s="29">
        <f>IFERROR(INDEX('進捗サマリー_運用'!G6:G184,MATCH($B$2,'進捗サマリー_運用'!A6:A184,0)),0)</f>
        <v/>
      </c>
      <c r="J12" s="29">
        <f>IFERROR(INDEX('進捗サマリー_運用'!H6:H184,MATCH($B$2,'進捗サマリー_運用'!A6:A184,0)),0)</f>
        <v/>
      </c>
      <c r="K12" s="29">
        <f>H12-J12</f>
        <v/>
      </c>
      <c r="L12" s="29">
        <f>I12-J12</f>
        <v/>
      </c>
      <c r="M12" s="30">
        <f>IF(H12=0,0,I12/H12)</f>
        <v/>
      </c>
      <c r="N12" s="30">
        <f>IF(H12=0,0,J12/H12)</f>
        <v/>
      </c>
      <c r="O12" s="30">
        <f>N12-M12</f>
        <v/>
      </c>
      <c r="P12" s="28">
        <f>IF(J12&gt;=H12,"完了",IF(L12&gt;0,"遅延","順調"))</f>
        <v/>
      </c>
    </row>
    <row r="14" ht="24" customHeight="1">
      <c r="A14" s="31" t="inlineStr">
        <is>
          <t>■ 検証進捗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0" customHeight="1">
      <c r="A15" s="32" t="inlineStr">
        <is>
          <t>チーム</t>
        </is>
      </c>
      <c r="B15" s="33" t="inlineStr">
        <is>
          <t>日次</t>
        </is>
      </c>
      <c r="C15" s="34" t="n"/>
      <c r="D15" s="35" t="inlineStr">
        <is>
          <t>週次</t>
        </is>
      </c>
      <c r="E15" s="12" t="n"/>
      <c r="F15" s="12" t="n"/>
      <c r="G15" s="13" t="n"/>
      <c r="H15" s="33" t="inlineStr">
        <is>
          <t>総計</t>
        </is>
      </c>
      <c r="I15" s="12" t="n"/>
      <c r="J15" s="12" t="n"/>
      <c r="K15" s="12" t="n"/>
      <c r="L15" s="12" t="n"/>
      <c r="M15" s="12" t="n"/>
      <c r="N15" s="12" t="n"/>
      <c r="O15" s="12" t="n"/>
      <c r="P15" s="13" t="n"/>
    </row>
    <row r="16" ht="22" customHeight="1">
      <c r="A16" s="14" t="n"/>
      <c r="B16" s="36" t="inlineStr">
        <is>
          <t>予定</t>
        </is>
      </c>
      <c r="C16" s="37" t="inlineStr">
        <is>
          <t>実績</t>
        </is>
      </c>
      <c r="D16" s="38" t="inlineStr">
        <is>
          <t>予定</t>
        </is>
      </c>
      <c r="E16" s="39" t="inlineStr">
        <is>
          <t>実績</t>
        </is>
      </c>
      <c r="F16" s="39" t="inlineStr">
        <is>
          <t>残数</t>
        </is>
      </c>
      <c r="G16" s="40" t="inlineStr">
        <is>
          <t>遅延</t>
        </is>
      </c>
      <c r="H16" s="36" t="inlineStr">
        <is>
          <t>総数</t>
        </is>
      </c>
      <c r="I16" s="41" t="inlineStr">
        <is>
          <t>予定累計</t>
        </is>
      </c>
      <c r="J16" s="41" t="inlineStr">
        <is>
          <t>実績累計</t>
        </is>
      </c>
      <c r="K16" s="41" t="inlineStr">
        <is>
          <t>残数</t>
        </is>
      </c>
      <c r="L16" s="41" t="inlineStr">
        <is>
          <t>遅延</t>
        </is>
      </c>
      <c r="M16" s="41" t="inlineStr">
        <is>
          <t>予定消化率</t>
        </is>
      </c>
      <c r="N16" s="41" t="inlineStr">
        <is>
          <t>実績消化率</t>
        </is>
      </c>
      <c r="O16" s="41" t="inlineStr">
        <is>
          <t>乖離</t>
        </is>
      </c>
      <c r="P16" s="37" t="inlineStr">
        <is>
          <t>状態</t>
        </is>
      </c>
    </row>
    <row r="17">
      <c r="A17" s="42" t="inlineStr">
        <is>
          <t>全体</t>
        </is>
      </c>
      <c r="B17" s="43">
        <f>IFERROR(INDEX('進捗サマリー_ALL'!K6:K191,MATCH($B$2,'進捗サマリー_ALL'!A6:A191,0)),0)</f>
        <v/>
      </c>
      <c r="C17" s="44">
        <f>IFERROR(INDEX('進捗サマリー_ALL'!L6:L191,MATCH($B$2,'進捗サマリー_ALL'!A6:A191,0)),0)</f>
        <v/>
      </c>
      <c r="D17" s="43">
        <f>IF(OR($G$2="",$I$2=""),"-",SUMIFS('進捗サマリー_ALL'!K6:K191,'進捗サマリー_ALL'!A6:A191,"&gt;="&amp;$G$2,'進捗サマリー_ALL'!A6:A191,"&lt;="&amp;$I$2))</f>
        <v/>
      </c>
      <c r="E17" s="45">
        <f>IF(OR($G$2="",$I$2=""),"-",SUMIFS('進捗サマリー_ALL'!L6:L191,'進捗サマリー_ALL'!A6:A191,"&gt;="&amp;$G$2,'進捗サマリー_ALL'!A6:A191,"&lt;="&amp;$I$2))</f>
        <v/>
      </c>
      <c r="F17" s="45">
        <f>IF(OR($G$2="",$I$2=""),"-",D17-E17)</f>
        <v/>
      </c>
      <c r="G17" s="44">
        <f>IF(OR($G$2="",$I$2=""),"-",IF(F17&gt;0,F17,0))</f>
        <v/>
      </c>
      <c r="H17" s="43">
        <f>'進捗サマリー_ALL'!K5</f>
        <v/>
      </c>
      <c r="I17" s="45">
        <f>IFERROR(INDEX('進捗サマリー_ALL'!N6:N191,MATCH($B$2,'進捗サマリー_ALL'!A6:A191,0)),0)</f>
        <v/>
      </c>
      <c r="J17" s="45">
        <f>IFERROR(INDEX('進捗サマリー_ALL'!O6:O191,MATCH($B$2,'進捗サマリー_ALL'!A6:A191,0)),0)</f>
        <v/>
      </c>
      <c r="K17" s="45">
        <f>H17-J17</f>
        <v/>
      </c>
      <c r="L17" s="45">
        <f>I17-J17</f>
        <v/>
      </c>
      <c r="M17" s="46">
        <f>IF(H17=0,0,I17/H17)</f>
        <v/>
      </c>
      <c r="N17" s="46">
        <f>IF(H17=0,0,J17/H17)</f>
        <v/>
      </c>
      <c r="O17" s="46">
        <f>N17-M17</f>
        <v/>
      </c>
      <c r="P17" s="44">
        <f>IF(J17&gt;=H17,"完了",IF(L17&gt;0,"遅延","順調"))</f>
        <v/>
      </c>
    </row>
    <row r="18">
      <c r="A18" s="26" t="inlineStr">
        <is>
          <t>その他</t>
        </is>
      </c>
      <c r="B18" s="27">
        <f>IFERROR(INDEX('進捗サマリー_その他'!K6:K171,MATCH($B$2,'進捗サマリー_その他'!A6:A171,0)),0)</f>
        <v/>
      </c>
      <c r="C18" s="28">
        <f>IFERROR(INDEX('進捗サマリー_その他'!L6:L171,MATCH($B$2,'進捗サマリー_その他'!A6:A171,0)),0)</f>
        <v/>
      </c>
      <c r="D18" s="27">
        <f>IF(OR($G$2="",$I$2=""),"-",SUMIFS('進捗サマリー_その他'!K6:K171,'進捗サマリー_その他'!A6:A171,"&gt;="&amp;$G$2,'進捗サマリー_その他'!A6:A171,"&lt;="&amp;$I$2))</f>
        <v/>
      </c>
      <c r="E18" s="29">
        <f>IF(OR($G$2="",$I$2=""),"-",SUMIFS('進捗サマリー_その他'!L6:L171,'進捗サマリー_その他'!A6:A171,"&gt;="&amp;$G$2,'進捗サマリー_その他'!A6:A171,"&lt;="&amp;$I$2))</f>
        <v/>
      </c>
      <c r="F18" s="29">
        <f>IF(OR($G$2="",$I$2=""),"-",D18-E18)</f>
        <v/>
      </c>
      <c r="G18" s="28">
        <f>IF(OR($G$2="",$I$2=""),"-",IF(F18&gt;0,F18,0))</f>
        <v/>
      </c>
      <c r="H18" s="27">
        <f>'進捗サマリー_その他'!K5</f>
        <v/>
      </c>
      <c r="I18" s="29">
        <f>IFERROR(INDEX('進捗サマリー_その他'!N6:N171,MATCH($B$2,'進捗サマリー_その他'!A6:A171,0)),0)</f>
        <v/>
      </c>
      <c r="J18" s="29">
        <f>IFERROR(INDEX('進捗サマリー_その他'!O6:O171,MATCH($B$2,'進捗サマリー_その他'!A6:A171,0)),0)</f>
        <v/>
      </c>
      <c r="K18" s="29">
        <f>H18-J18</f>
        <v/>
      </c>
      <c r="L18" s="29">
        <f>I18-J18</f>
        <v/>
      </c>
      <c r="M18" s="30">
        <f>IF(H18=0,0,I18/H18)</f>
        <v/>
      </c>
      <c r="N18" s="30">
        <f>IF(H18=0,0,J18/H18)</f>
        <v/>
      </c>
      <c r="O18" s="30">
        <f>N18-M18</f>
        <v/>
      </c>
      <c r="P18" s="28">
        <f>IF(J18&gt;=H18,"完了",IF(L18&gt;0,"遅延","順調"))</f>
        <v/>
      </c>
    </row>
    <row r="19">
      <c r="A19" s="26" t="inlineStr">
        <is>
          <t>オンライン</t>
        </is>
      </c>
      <c r="B19" s="27">
        <f>IFERROR(INDEX('進捗サマリー_オンライン'!K6:K189,MATCH($B$2,'進捗サマリー_オンライン'!A6:A189,0)),0)</f>
        <v/>
      </c>
      <c r="C19" s="28">
        <f>IFERROR(INDEX('進捗サマリー_オンライン'!L6:L189,MATCH($B$2,'進捗サマリー_オンライン'!A6:A189,0)),0)</f>
        <v/>
      </c>
      <c r="D19" s="27">
        <f>IF(OR($G$2="",$I$2=""),"-",SUMIFS('進捗サマリー_オンライン'!K6:K189,'進捗サマリー_オンライン'!A6:A189,"&gt;="&amp;$G$2,'進捗サマリー_オンライン'!A6:A189,"&lt;="&amp;$I$2))</f>
        <v/>
      </c>
      <c r="E19" s="29">
        <f>IF(OR($G$2="",$I$2=""),"-",SUMIFS('進捗サマリー_オンライン'!L6:L189,'進捗サマリー_オンライン'!A6:A189,"&gt;="&amp;$G$2,'進捗サマリー_オンライン'!A6:A189,"&lt;="&amp;$I$2))</f>
        <v/>
      </c>
      <c r="F19" s="29">
        <f>IF(OR($G$2="",$I$2=""),"-",D19-E19)</f>
        <v/>
      </c>
      <c r="G19" s="28">
        <f>IF(OR($G$2="",$I$2=""),"-",IF(F19&gt;0,F19,0))</f>
        <v/>
      </c>
      <c r="H19" s="27">
        <f>'進捗サマリー_オンライン'!K5</f>
        <v/>
      </c>
      <c r="I19" s="29">
        <f>IFERROR(INDEX('進捗サマリー_オンライン'!N6:N189,MATCH($B$2,'進捗サマリー_オンライン'!A6:A189,0)),0)</f>
        <v/>
      </c>
      <c r="J19" s="29">
        <f>IFERROR(INDEX('進捗サマリー_オンライン'!O6:O189,MATCH($B$2,'進捗サマリー_オンライン'!A6:A189,0)),0)</f>
        <v/>
      </c>
      <c r="K19" s="29">
        <f>H19-J19</f>
        <v/>
      </c>
      <c r="L19" s="29">
        <f>I19-J19</f>
        <v/>
      </c>
      <c r="M19" s="30">
        <f>IF(H19=0,0,I19/H19)</f>
        <v/>
      </c>
      <c r="N19" s="30">
        <f>IF(H19=0,0,J19/H19)</f>
        <v/>
      </c>
      <c r="O19" s="30">
        <f>N19-M19</f>
        <v/>
      </c>
      <c r="P19" s="28">
        <f>IF(J19&gt;=H19,"完了",IF(L19&gt;0,"遅延","順調"))</f>
        <v/>
      </c>
    </row>
    <row r="20">
      <c r="A20" s="26" t="inlineStr">
        <is>
          <t>バッチ</t>
        </is>
      </c>
      <c r="B20" s="27">
        <f>IFERROR(INDEX('進捗サマリー_バッチ'!K6:K182,MATCH($B$2,'進捗サマリー_バッチ'!A6:A182,0)),0)</f>
        <v/>
      </c>
      <c r="C20" s="28">
        <f>IFERROR(INDEX('進捗サマリー_バッチ'!L6:L182,MATCH($B$2,'進捗サマリー_バッチ'!A6:A182,0)),0)</f>
        <v/>
      </c>
      <c r="D20" s="27">
        <f>IF(OR($G$2="",$I$2=""),"-",SUMIFS('進捗サマリー_バッチ'!K6:K182,'進捗サマリー_バッチ'!A6:A182,"&gt;="&amp;$G$2,'進捗サマリー_バッチ'!A6:A182,"&lt;="&amp;$I$2))</f>
        <v/>
      </c>
      <c r="E20" s="29">
        <f>IF(OR($G$2="",$I$2=""),"-",SUMIFS('進捗サマリー_バッチ'!L6:L182,'進捗サマリー_バッチ'!A6:A182,"&gt;="&amp;$G$2,'進捗サマリー_バッチ'!A6:A182,"&lt;="&amp;$I$2))</f>
        <v/>
      </c>
      <c r="F20" s="29">
        <f>IF(OR($G$2="",$I$2=""),"-",D20-E20)</f>
        <v/>
      </c>
      <c r="G20" s="28">
        <f>IF(OR($G$2="",$I$2=""),"-",IF(F20&gt;0,F20,0))</f>
        <v/>
      </c>
      <c r="H20" s="27">
        <f>'進捗サマリー_バッチ'!K5</f>
        <v/>
      </c>
      <c r="I20" s="29">
        <f>IFERROR(INDEX('進捗サマリー_バッチ'!N6:N182,MATCH($B$2,'進捗サマリー_バッチ'!A6:A182,0)),0)</f>
        <v/>
      </c>
      <c r="J20" s="29">
        <f>IFERROR(INDEX('進捗サマリー_バッチ'!O6:O182,MATCH($B$2,'進捗サマリー_バッチ'!A6:A182,0)),0)</f>
        <v/>
      </c>
      <c r="K20" s="29">
        <f>H20-J20</f>
        <v/>
      </c>
      <c r="L20" s="29">
        <f>I20-J20</f>
        <v/>
      </c>
      <c r="M20" s="30">
        <f>IF(H20=0,0,I20/H20)</f>
        <v/>
      </c>
      <c r="N20" s="30">
        <f>IF(H20=0,0,J20/H20)</f>
        <v/>
      </c>
      <c r="O20" s="30">
        <f>N20-M20</f>
        <v/>
      </c>
      <c r="P20" s="28">
        <f>IF(J20&gt;=H20,"完了",IF(L20&gt;0,"遅延","順調"))</f>
        <v/>
      </c>
    </row>
    <row r="21">
      <c r="A21" s="26" t="inlineStr">
        <is>
          <t>基盤</t>
        </is>
      </c>
      <c r="B21" s="27">
        <f>IFERROR(INDEX('進捗サマリー_基盤'!K6:K183,MATCH($B$2,'進捗サマリー_基盤'!A6:A183,0)),0)</f>
        <v/>
      </c>
      <c r="C21" s="28">
        <f>IFERROR(INDEX('進捗サマリー_基盤'!L6:L183,MATCH($B$2,'進捗サマリー_基盤'!A6:A183,0)),0)</f>
        <v/>
      </c>
      <c r="D21" s="27">
        <f>IF(OR($G$2="",$I$2=""),"-",SUMIFS('進捗サマリー_基盤'!K6:K183,'進捗サマリー_基盤'!A6:A183,"&gt;="&amp;$G$2,'進捗サマリー_基盤'!A6:A183,"&lt;="&amp;$I$2))</f>
        <v/>
      </c>
      <c r="E21" s="29">
        <f>IF(OR($G$2="",$I$2=""),"-",SUMIFS('進捗サマリー_基盤'!L6:L183,'進捗サマリー_基盤'!A6:A183,"&gt;="&amp;$G$2,'進捗サマリー_基盤'!A6:A183,"&lt;="&amp;$I$2))</f>
        <v/>
      </c>
      <c r="F21" s="29">
        <f>IF(OR($G$2="",$I$2=""),"-",D21-E21)</f>
        <v/>
      </c>
      <c r="G21" s="28">
        <f>IF(OR($G$2="",$I$2=""),"-",IF(F21&gt;0,F21,0))</f>
        <v/>
      </c>
      <c r="H21" s="27">
        <f>'進捗サマリー_基盤'!K5</f>
        <v/>
      </c>
      <c r="I21" s="29">
        <f>IFERROR(INDEX('進捗サマリー_基盤'!N6:N183,MATCH($B$2,'進捗サマリー_基盤'!A6:A183,0)),0)</f>
        <v/>
      </c>
      <c r="J21" s="29">
        <f>IFERROR(INDEX('進捗サマリー_基盤'!O6:O183,MATCH($B$2,'進捗サマリー_基盤'!A6:A183,0)),0)</f>
        <v/>
      </c>
      <c r="K21" s="29">
        <f>H21-J21</f>
        <v/>
      </c>
      <c r="L21" s="29">
        <f>I21-J21</f>
        <v/>
      </c>
      <c r="M21" s="30">
        <f>IF(H21=0,0,I21/H21)</f>
        <v/>
      </c>
      <c r="N21" s="30">
        <f>IF(H21=0,0,J21/H21)</f>
        <v/>
      </c>
      <c r="O21" s="30">
        <f>N21-M21</f>
        <v/>
      </c>
      <c r="P21" s="28">
        <f>IF(J21&gt;=H21,"完了",IF(L21&gt;0,"遅延","順調"))</f>
        <v/>
      </c>
    </row>
    <row r="22">
      <c r="A22" s="26" t="inlineStr">
        <is>
          <t>運用</t>
        </is>
      </c>
      <c r="B22" s="27">
        <f>IFERROR(INDEX('進捗サマリー_運用'!K6:K184,MATCH($B$2,'進捗サマリー_運用'!A6:A184,0)),0)</f>
        <v/>
      </c>
      <c r="C22" s="28">
        <f>IFERROR(INDEX('進捗サマリー_運用'!L6:L184,MATCH($B$2,'進捗サマリー_運用'!A6:A184,0)),0)</f>
        <v/>
      </c>
      <c r="D22" s="27">
        <f>IF(OR($G$2="",$I$2=""),"-",SUMIFS('進捗サマリー_運用'!K6:K184,'進捗サマリー_運用'!A6:A184,"&gt;="&amp;$G$2,'進捗サマリー_運用'!A6:A184,"&lt;="&amp;$I$2))</f>
        <v/>
      </c>
      <c r="E22" s="29">
        <f>IF(OR($G$2="",$I$2=""),"-",SUMIFS('進捗サマリー_運用'!L6:L184,'進捗サマリー_運用'!A6:A184,"&gt;="&amp;$G$2,'進捗サマリー_運用'!A6:A184,"&lt;="&amp;$I$2))</f>
        <v/>
      </c>
      <c r="F22" s="29">
        <f>IF(OR($G$2="",$I$2=""),"-",D22-E22)</f>
        <v/>
      </c>
      <c r="G22" s="28">
        <f>IF(OR($G$2="",$I$2=""),"-",IF(F22&gt;0,F22,0))</f>
        <v/>
      </c>
      <c r="H22" s="27">
        <f>'進捗サマリー_運用'!K5</f>
        <v/>
      </c>
      <c r="I22" s="29">
        <f>IFERROR(INDEX('進捗サマリー_運用'!N6:N184,MATCH($B$2,'進捗サマリー_運用'!A6:A184,0)),0)</f>
        <v/>
      </c>
      <c r="J22" s="29">
        <f>IFERROR(INDEX('進捗サマリー_運用'!O6:O184,MATCH($B$2,'進捗サマリー_運用'!A6:A184,0)),0)</f>
        <v/>
      </c>
      <c r="K22" s="29">
        <f>H22-J22</f>
        <v/>
      </c>
      <c r="L22" s="29">
        <f>I22-J22</f>
        <v/>
      </c>
      <c r="M22" s="30">
        <f>IF(H22=0,0,I22/H22)</f>
        <v/>
      </c>
      <c r="N22" s="30">
        <f>IF(H22=0,0,J22/H22)</f>
        <v/>
      </c>
      <c r="O22" s="30">
        <f>N22-M22</f>
        <v/>
      </c>
      <c r="P22" s="28">
        <f>IF(J22&gt;=H22,"完了",IF(L22&gt;0,"遅延","順調"))</f>
        <v/>
      </c>
    </row>
    <row r="24" ht="24" customHeight="1">
      <c r="A24" s="47" t="inlineStr">
        <is>
          <t>■ 進捗推移チャート（左: 実施 / 右: 検証）　※実施予定=青、検証予定=緑、実績=オレンジ</t>
        </is>
      </c>
    </row>
  </sheetData>
  <mergeCells count="13">
    <mergeCell ref="A5:A6"/>
    <mergeCell ref="B15:C15"/>
    <mergeCell ref="A14:P14"/>
    <mergeCell ref="H15:P15"/>
    <mergeCell ref="B5:C5"/>
    <mergeCell ref="H5:P5"/>
    <mergeCell ref="A15:A16"/>
    <mergeCell ref="A4:P4"/>
    <mergeCell ref="A1:R1"/>
    <mergeCell ref="D15:G15"/>
    <mergeCell ref="D5:G5"/>
    <mergeCell ref="B2:D2"/>
    <mergeCell ref="A24:P24"/>
  </mergeCells>
  <conditionalFormatting sqref="L7:L12">
    <cfRule type="expression" priority="1" dxfId="0">
      <formula>L7&gt;0</formula>
    </cfRule>
  </conditionalFormatting>
  <conditionalFormatting sqref="O7:O12">
    <cfRule type="expression" priority="2" dxfId="0">
      <formula>O7&lt;0</formula>
    </cfRule>
  </conditionalFormatting>
  <conditionalFormatting sqref="P7:P12">
    <cfRule type="expression" priority="3" dxfId="1">
      <formula>P7="完了"</formula>
    </cfRule>
    <cfRule type="expression" priority="4" dxfId="0">
      <formula>P7="遅延"</formula>
    </cfRule>
    <cfRule type="expression" priority="5" dxfId="2">
      <formula>P7="順調"</formula>
    </cfRule>
  </conditionalFormatting>
  <conditionalFormatting sqref="G7:G12">
    <cfRule type="expression" priority="6" dxfId="0">
      <formula>AND(ISNUMBER(G7),G7&gt;0)</formula>
    </cfRule>
  </conditionalFormatting>
  <conditionalFormatting sqref="L17:L22">
    <cfRule type="expression" priority="7" dxfId="0">
      <formula>L17&gt;0</formula>
    </cfRule>
  </conditionalFormatting>
  <conditionalFormatting sqref="O17:O22">
    <cfRule type="expression" priority="8" dxfId="0">
      <formula>O17&lt;0</formula>
    </cfRule>
  </conditionalFormatting>
  <conditionalFormatting sqref="P17:P22">
    <cfRule type="expression" priority="9" dxfId="1">
      <formula>P17="完了"</formula>
    </cfRule>
    <cfRule type="expression" priority="10" dxfId="0">
      <formula>P17="遅延"</formula>
    </cfRule>
    <cfRule type="expression" priority="11" dxfId="2">
      <formula>P17="順調"</formula>
    </cfRule>
  </conditionalFormatting>
  <conditionalFormatting sqref="G17:G22">
    <cfRule type="expression" priority="12" dxfId="0">
      <formula>AND(ISNUMBER(G17),G17&gt;0)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F360C"/>
    <outlinePr summaryBelow="1" summaryRight="1"/>
    <pageSetUpPr/>
  </sheetPr>
  <dimension ref="A1:L19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48" t="inlineStr">
        <is>
          <t>欠陥ダッシュボード</t>
        </is>
      </c>
    </row>
    <row r="2">
      <c r="A2" s="49" t="inlineStr">
        <is>
          <t>基準日: 2026/03/10</t>
        </is>
      </c>
    </row>
    <row r="4" ht="25" customHeight="1">
      <c r="A4" s="50" t="inlineStr">
        <is>
          <t>1. 欠陥サマリー</t>
        </is>
      </c>
    </row>
    <row r="5">
      <c r="A5" s="51" t="inlineStr">
        <is>
          <t>チーム</t>
        </is>
      </c>
      <c r="B5" s="51" t="inlineStr">
        <is>
          <t>未完了</t>
        </is>
      </c>
      <c r="C5" s="52" t="inlineStr">
        <is>
          <t>予定超過</t>
        </is>
      </c>
      <c r="D5" s="53" t="n"/>
      <c r="E5" s="53" t="n"/>
      <c r="F5" s="53" t="n"/>
      <c r="G5" s="53" t="n"/>
      <c r="H5" s="52" t="inlineStr">
        <is>
          <t>滞留(7日超)</t>
        </is>
      </c>
      <c r="I5" s="53" t="n"/>
      <c r="J5" s="53" t="n"/>
      <c r="K5" s="53" t="n"/>
      <c r="L5" s="53" t="n"/>
    </row>
    <row r="6">
      <c r="C6" s="51" t="inlineStr">
        <is>
          <t>調査</t>
        </is>
      </c>
      <c r="D6" s="54" t="inlineStr">
        <is>
          <t>対応</t>
        </is>
      </c>
      <c r="E6" s="54" t="inlineStr">
        <is>
          <t>横展開</t>
        </is>
      </c>
      <c r="F6" s="54" t="inlineStr">
        <is>
          <t>検証</t>
        </is>
      </c>
      <c r="G6" s="54" t="inlineStr">
        <is>
          <t>合計</t>
        </is>
      </c>
      <c r="H6" s="51" t="inlineStr">
        <is>
          <t>調査</t>
        </is>
      </c>
      <c r="I6" s="54" t="inlineStr">
        <is>
          <t>対応</t>
        </is>
      </c>
      <c r="J6" s="54" t="inlineStr">
        <is>
          <t>横展開</t>
        </is>
      </c>
      <c r="K6" s="54" t="inlineStr">
        <is>
          <t>検証</t>
        </is>
      </c>
      <c r="L6" s="54" t="inlineStr">
        <is>
          <t>合計</t>
        </is>
      </c>
    </row>
    <row r="7">
      <c r="A7" s="55" t="inlineStr">
        <is>
          <t>全体</t>
        </is>
      </c>
      <c r="B7" s="55">
        <f>COUNTBLANK('欠陥詳細_ALL'!V$4:V$75)</f>
        <v/>
      </c>
      <c r="C7" s="55">
        <f>COUNTIFS('欠陥詳細_ALL'!I$4:I$75,"&lt;"&amp;DATE(2026,3,10),'欠陥詳細_ALL'!J$4:J$75,"")</f>
        <v/>
      </c>
      <c r="D7" s="56">
        <f>COUNTIFS('欠陥詳細_ALL'!N$4:N$75,"&lt;"&amp;DATE(2026,3,10),'欠陥詳細_ALL'!O$4:O$75,"")</f>
        <v/>
      </c>
      <c r="E7" s="56">
        <f>COUNTIFS('欠陥詳細_ALL'!P$4:P$75,"有",'欠陥詳細_ALL'!R$4:R$75,"&lt;"&amp;DATE(2026,3,10),'欠陥詳細_ALL'!S$4:S$75,"")</f>
        <v/>
      </c>
      <c r="F7" s="56">
        <f>COUNTIFS('欠陥詳細_ALL'!T$4:T$75,"&lt;"&amp;DATE(2026,3,10),'欠陥詳細_ALL'!V$4:V$75,"")</f>
        <v/>
      </c>
      <c r="G7" s="56">
        <f>SUM(C7:F7)</f>
        <v/>
      </c>
      <c r="H7" s="55">
        <f>COUNTIFS('欠陥詳細_ALL'!I$4:I$75,"&lt;"&amp;DATE(2026,3,10)-7,'欠陥詳細_ALL'!J$4:J$75,"")</f>
        <v/>
      </c>
      <c r="I7" s="56">
        <f>COUNTIFS('欠陥詳細_ALL'!N$4:N$75,"&lt;"&amp;DATE(2026,3,10)-7,'欠陥詳細_ALL'!O$4:O$75,"")</f>
        <v/>
      </c>
      <c r="J7" s="56">
        <f>COUNTIFS('欠陥詳細_ALL'!P$4:P$75,"有",'欠陥詳細_ALL'!R$4:R$75,"&lt;"&amp;DATE(2026,3,10)-7,'欠陥詳細_ALL'!S$4:S$75,"")</f>
        <v/>
      </c>
      <c r="K7" s="56">
        <f>COUNTIFS('欠陥詳細_ALL'!T$4:T$75,"&lt;"&amp;DATE(2026,3,10)-7,'欠陥詳細_ALL'!V$4:V$75,"")</f>
        <v/>
      </c>
      <c r="L7" s="56">
        <f>SUM(H7:K7)</f>
        <v/>
      </c>
    </row>
    <row r="8">
      <c r="A8" s="57" t="inlineStr">
        <is>
          <t>オンライン</t>
        </is>
      </c>
      <c r="B8" s="57">
        <f>COUNTBLANK('欠陥詳細_オンライン'!V$4:V$29)</f>
        <v/>
      </c>
      <c r="C8" s="57">
        <f>COUNTIFS('欠陥詳細_オンライン'!I$4:I$29,"&lt;"&amp;DATE(2026,3,10),'欠陥詳細_オンライン'!J$4:J$29,"")</f>
        <v/>
      </c>
      <c r="D8" s="58">
        <f>COUNTIFS('欠陥詳細_オンライン'!N$4:N$29,"&lt;"&amp;DATE(2026,3,10),'欠陥詳細_オンライン'!O$4:O$29,"")</f>
        <v/>
      </c>
      <c r="E8" s="58">
        <f>COUNTIFS('欠陥詳細_オンライン'!P$4:P$29,"有",'欠陥詳細_オンライン'!R$4:R$29,"&lt;"&amp;DATE(2026,3,10),'欠陥詳細_オンライン'!S$4:S$29,"")</f>
        <v/>
      </c>
      <c r="F8" s="58">
        <f>COUNTIFS('欠陥詳細_オンライン'!T$4:T$29,"&lt;"&amp;DATE(2026,3,10),'欠陥詳細_オンライン'!V$4:V$29,"")</f>
        <v/>
      </c>
      <c r="G8" s="58">
        <f>SUM(C8:F8)</f>
        <v/>
      </c>
      <c r="H8" s="57">
        <f>COUNTIFS('欠陥詳細_オンライン'!I$4:I$29,"&lt;"&amp;DATE(2026,3,10)-7,'欠陥詳細_オンライン'!J$4:J$29,"")</f>
        <v/>
      </c>
      <c r="I8" s="58">
        <f>COUNTIFS('欠陥詳細_オンライン'!N$4:N$29,"&lt;"&amp;DATE(2026,3,10)-7,'欠陥詳細_オンライン'!O$4:O$29,"")</f>
        <v/>
      </c>
      <c r="J8" s="58">
        <f>COUNTIFS('欠陥詳細_オンライン'!P$4:P$29,"有",'欠陥詳細_オンライン'!R$4:R$29,"&lt;"&amp;DATE(2026,3,10)-7,'欠陥詳細_オンライン'!S$4:S$29,"")</f>
        <v/>
      </c>
      <c r="K8" s="58">
        <f>COUNTIFS('欠陥詳細_オンライン'!T$4:T$29,"&lt;"&amp;DATE(2026,3,10)-7,'欠陥詳細_オンライン'!V$4:V$29,"")</f>
        <v/>
      </c>
      <c r="L8" s="58">
        <f>SUM(H8:K8)</f>
        <v/>
      </c>
    </row>
    <row r="9">
      <c r="A9" s="57" t="inlineStr">
        <is>
          <t>バッチ</t>
        </is>
      </c>
      <c r="B9" s="57">
        <f>COUNTBLANK('欠陥詳細_バッチ'!V$4:V$20)</f>
        <v/>
      </c>
      <c r="C9" s="57">
        <f>COUNTIFS('欠陥詳細_バッチ'!I$4:I$20,"&lt;"&amp;DATE(2026,3,10),'欠陥詳細_バッチ'!J$4:J$20,"")</f>
        <v/>
      </c>
      <c r="D9" s="58">
        <f>COUNTIFS('欠陥詳細_バッチ'!N$4:N$20,"&lt;"&amp;DATE(2026,3,10),'欠陥詳細_バッチ'!O$4:O$20,"")</f>
        <v/>
      </c>
      <c r="E9" s="58">
        <f>COUNTIFS('欠陥詳細_バッチ'!P$4:P$20,"有",'欠陥詳細_バッチ'!R$4:R$20,"&lt;"&amp;DATE(2026,3,10),'欠陥詳細_バッチ'!S$4:S$20,"")</f>
        <v/>
      </c>
      <c r="F9" s="58">
        <f>COUNTIFS('欠陥詳細_バッチ'!T$4:T$20,"&lt;"&amp;DATE(2026,3,10),'欠陥詳細_バッチ'!V$4:V$20,"")</f>
        <v/>
      </c>
      <c r="G9" s="58">
        <f>SUM(C9:F9)</f>
        <v/>
      </c>
      <c r="H9" s="57">
        <f>COUNTIFS('欠陥詳細_バッチ'!I$4:I$20,"&lt;"&amp;DATE(2026,3,10)-7,'欠陥詳細_バッチ'!J$4:J$20,"")</f>
        <v/>
      </c>
      <c r="I9" s="58">
        <f>COUNTIFS('欠陥詳細_バッチ'!N$4:N$20,"&lt;"&amp;DATE(2026,3,10)-7,'欠陥詳細_バッチ'!O$4:O$20,"")</f>
        <v/>
      </c>
      <c r="J9" s="58">
        <f>COUNTIFS('欠陥詳細_バッチ'!P$4:P$20,"有",'欠陥詳細_バッチ'!R$4:R$20,"&lt;"&amp;DATE(2026,3,10)-7,'欠陥詳細_バッチ'!S$4:S$20,"")</f>
        <v/>
      </c>
      <c r="K9" s="58">
        <f>COUNTIFS('欠陥詳細_バッチ'!T$4:T$20,"&lt;"&amp;DATE(2026,3,10)-7,'欠陥詳細_バッチ'!V$4:V$20,"")</f>
        <v/>
      </c>
      <c r="L9" s="58">
        <f>SUM(H9:K9)</f>
        <v/>
      </c>
    </row>
    <row r="10">
      <c r="A10" s="57" t="inlineStr">
        <is>
          <t>基盤</t>
        </is>
      </c>
      <c r="B10" s="57">
        <f>COUNTBLANK('欠陥詳細_基盤'!V$4:V$16)</f>
        <v/>
      </c>
      <c r="C10" s="57">
        <f>COUNTIFS('欠陥詳細_基盤'!I$4:I$16,"&lt;"&amp;DATE(2026,3,10),'欠陥詳細_基盤'!J$4:J$16,"")</f>
        <v/>
      </c>
      <c r="D10" s="58">
        <f>COUNTIFS('欠陥詳細_基盤'!N$4:N$16,"&lt;"&amp;DATE(2026,3,10),'欠陥詳細_基盤'!O$4:O$16,"")</f>
        <v/>
      </c>
      <c r="E10" s="58">
        <f>COUNTIFS('欠陥詳細_基盤'!P$4:P$16,"有",'欠陥詳細_基盤'!R$4:R$16,"&lt;"&amp;DATE(2026,3,10),'欠陥詳細_基盤'!S$4:S$16,"")</f>
        <v/>
      </c>
      <c r="F10" s="58">
        <f>COUNTIFS('欠陥詳細_基盤'!T$4:T$16,"&lt;"&amp;DATE(2026,3,10),'欠陥詳細_基盤'!V$4:V$16,"")</f>
        <v/>
      </c>
      <c r="G10" s="58">
        <f>SUM(C10:F10)</f>
        <v/>
      </c>
      <c r="H10" s="57">
        <f>COUNTIFS('欠陥詳細_基盤'!I$4:I$16,"&lt;"&amp;DATE(2026,3,10)-7,'欠陥詳細_基盤'!J$4:J$16,"")</f>
        <v/>
      </c>
      <c r="I10" s="58">
        <f>COUNTIFS('欠陥詳細_基盤'!N$4:N$16,"&lt;"&amp;DATE(2026,3,10)-7,'欠陥詳細_基盤'!O$4:O$16,"")</f>
        <v/>
      </c>
      <c r="J10" s="58">
        <f>COUNTIFS('欠陥詳細_基盤'!P$4:P$16,"有",'欠陥詳細_基盤'!R$4:R$16,"&lt;"&amp;DATE(2026,3,10)-7,'欠陥詳細_基盤'!S$4:S$16,"")</f>
        <v/>
      </c>
      <c r="K10" s="58">
        <f>COUNTIFS('欠陥詳細_基盤'!T$4:T$16,"&lt;"&amp;DATE(2026,3,10)-7,'欠陥詳細_基盤'!V$4:V$16,"")</f>
        <v/>
      </c>
      <c r="L10" s="58">
        <f>SUM(H10:K10)</f>
        <v/>
      </c>
    </row>
    <row r="11">
      <c r="A11" s="57" t="inlineStr">
        <is>
          <t>運用</t>
        </is>
      </c>
      <c r="B11" s="57">
        <f>COUNTBLANK('欠陥詳細_運用'!V$4:V$19)</f>
        <v/>
      </c>
      <c r="C11" s="57">
        <f>COUNTIFS('欠陥詳細_運用'!I$4:I$19,"&lt;"&amp;DATE(2026,3,10),'欠陥詳細_運用'!J$4:J$19,"")</f>
        <v/>
      </c>
      <c r="D11" s="58">
        <f>COUNTIFS('欠陥詳細_運用'!N$4:N$19,"&lt;"&amp;DATE(2026,3,10),'欠陥詳細_運用'!O$4:O$19,"")</f>
        <v/>
      </c>
      <c r="E11" s="58">
        <f>COUNTIFS('欠陥詳細_運用'!P$4:P$19,"有",'欠陥詳細_運用'!R$4:R$19,"&lt;"&amp;DATE(2026,3,10),'欠陥詳細_運用'!S$4:S$19,"")</f>
        <v/>
      </c>
      <c r="F11" s="58">
        <f>COUNTIFS('欠陥詳細_運用'!T$4:T$19,"&lt;"&amp;DATE(2026,3,10),'欠陥詳細_運用'!V$4:V$19,"")</f>
        <v/>
      </c>
      <c r="G11" s="58">
        <f>SUM(C11:F11)</f>
        <v/>
      </c>
      <c r="H11" s="57">
        <f>COUNTIFS('欠陥詳細_運用'!I$4:I$19,"&lt;"&amp;DATE(2026,3,10)-7,'欠陥詳細_運用'!J$4:J$19,"")</f>
        <v/>
      </c>
      <c r="I11" s="58">
        <f>COUNTIFS('欠陥詳細_運用'!N$4:N$19,"&lt;"&amp;DATE(2026,3,10)-7,'欠陥詳細_運用'!O$4:O$19,"")</f>
        <v/>
      </c>
      <c r="J11" s="58">
        <f>COUNTIFS('欠陥詳細_運用'!P$4:P$19,"有",'欠陥詳細_運用'!R$4:R$19,"&lt;"&amp;DATE(2026,3,10)-7,'欠陥詳細_運用'!S$4:S$19,"")</f>
        <v/>
      </c>
      <c r="K11" s="58">
        <f>COUNTIFS('欠陥詳細_運用'!T$4:T$19,"&lt;"&amp;DATE(2026,3,10)-7,'欠陥詳細_運用'!V$4:V$19,"")</f>
        <v/>
      </c>
      <c r="L11" s="58">
        <f>SUM(H11:K11)</f>
        <v/>
      </c>
    </row>
    <row r="14" ht="25" customHeight="1">
      <c r="A14" s="50" t="inlineStr">
        <is>
          <t>2. 対応状況別欠陥数</t>
        </is>
      </c>
    </row>
    <row r="15">
      <c r="A15" s="51" t="inlineStr">
        <is>
          <t>チーム</t>
        </is>
      </c>
      <c r="B15" s="52" t="inlineStr">
        <is>
          <t>対応状況</t>
        </is>
      </c>
      <c r="C15" s="53" t="n"/>
      <c r="D15" s="53" t="n"/>
      <c r="E15" s="53" t="n"/>
      <c r="F15" s="53" t="n"/>
      <c r="G15" s="53" t="n"/>
      <c r="H15" s="51" t="inlineStr">
        <is>
          <t>合計</t>
        </is>
      </c>
      <c r="I15" s="52" t="inlineStr">
        <is>
          <t>検出状況</t>
        </is>
      </c>
      <c r="J15" s="53" t="n"/>
      <c r="K15" s="53" t="n"/>
    </row>
    <row r="16">
      <c r="B16" s="51" t="inlineStr">
        <is>
          <t>01:未着手</t>
        </is>
      </c>
      <c r="C16" s="54" t="inlineStr">
        <is>
          <t>02:調査中</t>
        </is>
      </c>
      <c r="D16" s="54" t="inlineStr">
        <is>
          <t>03:対応中</t>
        </is>
      </c>
      <c r="E16" s="54" t="inlineStr">
        <is>
          <t>04:検証中</t>
        </is>
      </c>
      <c r="F16" s="54" t="inlineStr">
        <is>
          <t>05:完了</t>
        </is>
      </c>
      <c r="G16" s="54" t="inlineStr">
        <is>
          <t>98:保留</t>
        </is>
      </c>
      <c r="I16" s="51" t="inlineStr">
        <is>
          <t>新規検出</t>
        </is>
      </c>
      <c r="J16" s="54" t="inlineStr">
        <is>
          <t>週検出</t>
        </is>
      </c>
      <c r="K16" s="54" t="inlineStr">
        <is>
          <t>累積検出</t>
        </is>
      </c>
    </row>
    <row r="17">
      <c r="A17" s="55" t="inlineStr">
        <is>
          <t>全体</t>
        </is>
      </c>
      <c r="B17" s="55">
        <f>COUNTIFS('欠陥詳細_ALL'!C$4:C$75,"01:未着手")</f>
        <v/>
      </c>
      <c r="C17" s="56">
        <f>COUNTIFS('欠陥詳細_ALL'!C$4:C$75,"02:調査中")</f>
        <v/>
      </c>
      <c r="D17" s="56">
        <f>COUNTIFS('欠陥詳細_ALL'!C$4:C$75,"03:対応中")</f>
        <v/>
      </c>
      <c r="E17" s="56">
        <f>COUNTIFS('欠陥詳細_ALL'!C$4:C$75,"04:検証中")</f>
        <v/>
      </c>
      <c r="F17" s="56">
        <f>COUNTIFS('欠陥詳細_ALL'!C$4:C$75,"05:完了")</f>
        <v/>
      </c>
      <c r="G17" s="56">
        <f>COUNTIFS('欠陥詳細_ALL'!C$4:C$75,"98:保留")</f>
        <v/>
      </c>
      <c r="H17" s="55">
        <f>SUM(B17:G17)</f>
        <v/>
      </c>
      <c r="I17" s="55">
        <f>COUNTIFS('欠陥詳細_ALL'!E$4:E$75,"&gt;="&amp;WORKDAY('ダッシュボード'!$B$2,-1,'祝日マスタ'!$A$5:$A$500),'欠陥詳細_ALL'!E$4:E$75,"&lt;="&amp;'ダッシュボード'!$B$2)</f>
        <v/>
      </c>
      <c r="J17" s="56">
        <f>COUNTIFS('欠陥詳細_ALL'!E$4:E$75,"&gt;="&amp;'ダッシュボード'!$G$2,'欠陥詳細_ALL'!E$4:E$75,"&lt;="&amp;'ダッシュボード'!$I$2)</f>
        <v/>
      </c>
      <c r="K17" s="56">
        <f>COUNTA('欠陥詳細_ALL'!C$4:C$75)</f>
        <v/>
      </c>
    </row>
    <row r="18">
      <c r="A18" s="57" t="inlineStr">
        <is>
          <t>オンライン</t>
        </is>
      </c>
      <c r="B18" s="57">
        <f>COUNTIFS('欠陥詳細_オンライン'!C$4:C$29,"01:未着手")</f>
        <v/>
      </c>
      <c r="C18" s="58">
        <f>COUNTIFS('欠陥詳細_オンライン'!C$4:C$29,"02:調査中")</f>
        <v/>
      </c>
      <c r="D18" s="58">
        <f>COUNTIFS('欠陥詳細_オンライン'!C$4:C$29,"03:対応中")</f>
        <v/>
      </c>
      <c r="E18" s="58">
        <f>COUNTIFS('欠陥詳細_オンライン'!C$4:C$29,"04:検証中")</f>
        <v/>
      </c>
      <c r="F18" s="58">
        <f>COUNTIFS('欠陥詳細_オンライン'!C$4:C$29,"05:完了")</f>
        <v/>
      </c>
      <c r="G18" s="58">
        <f>COUNTIFS('欠陥詳細_オンライン'!C$4:C$29,"98:保留")</f>
        <v/>
      </c>
      <c r="H18" s="57">
        <f>SUM(B18:G18)</f>
        <v/>
      </c>
      <c r="I18" s="57">
        <f>COUNTIFS('欠陥詳細_オンライン'!E$4:E$29,"&gt;="&amp;WORKDAY('ダッシュボード'!$B$2,-1,'祝日マスタ'!$A$5:$A$500),'欠陥詳細_オンライン'!E$4:E$29,"&lt;="&amp;'ダッシュボード'!$B$2)</f>
        <v/>
      </c>
      <c r="J18" s="58">
        <f>COUNTIFS('欠陥詳細_オンライン'!E$4:E$29,"&gt;="&amp;'ダッシュボード'!$G$2,'欠陥詳細_オンライン'!E$4:E$29,"&lt;="&amp;'ダッシュボード'!$I$2)</f>
        <v/>
      </c>
      <c r="K18" s="58">
        <f>COUNTA('欠陥詳細_オンライン'!C$4:C$29)</f>
        <v/>
      </c>
    </row>
    <row r="19">
      <c r="A19" s="57" t="inlineStr">
        <is>
          <t>バッチ</t>
        </is>
      </c>
      <c r="B19" s="57">
        <f>COUNTIFS('欠陥詳細_バッチ'!C$4:C$20,"01:未着手")</f>
        <v/>
      </c>
      <c r="C19" s="58">
        <f>COUNTIFS('欠陥詳細_バッチ'!C$4:C$20,"02:調査中")</f>
        <v/>
      </c>
      <c r="D19" s="58">
        <f>COUNTIFS('欠陥詳細_バッチ'!C$4:C$20,"03:対応中")</f>
        <v/>
      </c>
      <c r="E19" s="58">
        <f>COUNTIFS('欠陥詳細_バッチ'!C$4:C$20,"04:検証中")</f>
        <v/>
      </c>
      <c r="F19" s="58">
        <f>COUNTIFS('欠陥詳細_バッチ'!C$4:C$20,"05:完了")</f>
        <v/>
      </c>
      <c r="G19" s="58">
        <f>COUNTIFS('欠陥詳細_バッチ'!C$4:C$20,"98:保留")</f>
        <v/>
      </c>
      <c r="H19" s="57">
        <f>SUM(B19:G19)</f>
        <v/>
      </c>
      <c r="I19" s="57">
        <f>COUNTIFS('欠陥詳細_バッチ'!E$4:E$20,"&gt;="&amp;WORKDAY('ダッシュボード'!$B$2,-1,'祝日マスタ'!$A$5:$A$500),'欠陥詳細_バッチ'!E$4:E$20,"&lt;="&amp;'ダッシュボード'!$B$2)</f>
        <v/>
      </c>
      <c r="J19" s="58">
        <f>COUNTIFS('欠陥詳細_バッチ'!E$4:E$20,"&gt;="&amp;'ダッシュボード'!$G$2,'欠陥詳細_バッチ'!E$4:E$20,"&lt;="&amp;'ダッシュボード'!$I$2)</f>
        <v/>
      </c>
      <c r="K19" s="58">
        <f>COUNTA('欠陥詳細_バッチ'!C$4:C$20)</f>
        <v/>
      </c>
    </row>
    <row r="20">
      <c r="A20" s="57" t="inlineStr">
        <is>
          <t>基盤</t>
        </is>
      </c>
      <c r="B20" s="57">
        <f>COUNTIFS('欠陥詳細_基盤'!C$4:C$16,"01:未着手")</f>
        <v/>
      </c>
      <c r="C20" s="58">
        <f>COUNTIFS('欠陥詳細_基盤'!C$4:C$16,"02:調査中")</f>
        <v/>
      </c>
      <c r="D20" s="58">
        <f>COUNTIFS('欠陥詳細_基盤'!C$4:C$16,"03:対応中")</f>
        <v/>
      </c>
      <c r="E20" s="58">
        <f>COUNTIFS('欠陥詳細_基盤'!C$4:C$16,"04:検証中")</f>
        <v/>
      </c>
      <c r="F20" s="58">
        <f>COUNTIFS('欠陥詳細_基盤'!C$4:C$16,"05:完了")</f>
        <v/>
      </c>
      <c r="G20" s="58">
        <f>COUNTIFS('欠陥詳細_基盤'!C$4:C$16,"98:保留")</f>
        <v/>
      </c>
      <c r="H20" s="57">
        <f>SUM(B20:G20)</f>
        <v/>
      </c>
      <c r="I20" s="57">
        <f>COUNTIFS('欠陥詳細_基盤'!E$4:E$16,"&gt;="&amp;WORKDAY('ダッシュボード'!$B$2,-1,'祝日マスタ'!$A$5:$A$500),'欠陥詳細_基盤'!E$4:E$16,"&lt;="&amp;'ダッシュボード'!$B$2)</f>
        <v/>
      </c>
      <c r="J20" s="58">
        <f>COUNTIFS('欠陥詳細_基盤'!E$4:E$16,"&gt;="&amp;'ダッシュボード'!$G$2,'欠陥詳細_基盤'!E$4:E$16,"&lt;="&amp;'ダッシュボード'!$I$2)</f>
        <v/>
      </c>
      <c r="K20" s="58">
        <f>COUNTA('欠陥詳細_基盤'!C$4:C$16)</f>
        <v/>
      </c>
    </row>
    <row r="21">
      <c r="A21" s="57" t="inlineStr">
        <is>
          <t>運用</t>
        </is>
      </c>
      <c r="B21" s="57">
        <f>COUNTIFS('欠陥詳細_運用'!C$4:C$19,"01:未着手")</f>
        <v/>
      </c>
      <c r="C21" s="58">
        <f>COUNTIFS('欠陥詳細_運用'!C$4:C$19,"02:調査中")</f>
        <v/>
      </c>
      <c r="D21" s="58">
        <f>COUNTIFS('欠陥詳細_運用'!C$4:C$19,"03:対応中")</f>
        <v/>
      </c>
      <c r="E21" s="58">
        <f>COUNTIFS('欠陥詳細_運用'!C$4:C$19,"04:検証中")</f>
        <v/>
      </c>
      <c r="F21" s="58">
        <f>COUNTIFS('欠陥詳細_運用'!C$4:C$19,"05:完了")</f>
        <v/>
      </c>
      <c r="G21" s="58">
        <f>COUNTIFS('欠陥詳細_運用'!C$4:C$19,"98:保留")</f>
        <v/>
      </c>
      <c r="H21" s="57">
        <f>SUM(B21:G21)</f>
        <v/>
      </c>
      <c r="I21" s="57">
        <f>COUNTIFS('欠陥詳細_運用'!E$4:E$19,"&gt;="&amp;WORKDAY('ダッシュボード'!$B$2,-1,'祝日マスタ'!$A$5:$A$500),'欠陥詳細_運用'!E$4:E$19,"&lt;="&amp;'ダッシュボード'!$B$2)</f>
        <v/>
      </c>
      <c r="J21" s="58">
        <f>COUNTIFS('欠陥詳細_運用'!E$4:E$19,"&gt;="&amp;'ダッシュボード'!$G$2,'欠陥詳細_運用'!E$4:E$19,"&lt;="&amp;'ダッシュボード'!$I$2)</f>
        <v/>
      </c>
      <c r="K21" s="58">
        <f>COUNTA('欠陥詳細_運用'!C$4:C$19)</f>
        <v/>
      </c>
    </row>
    <row r="24" ht="25" customHeight="1">
      <c r="A24" s="50" t="inlineStr">
        <is>
          <t>3. 緊急度別欠陥数</t>
        </is>
      </c>
    </row>
    <row r="25">
      <c r="A25" s="51" t="inlineStr">
        <is>
          <t>チーム</t>
        </is>
      </c>
      <c r="B25" s="52" t="inlineStr">
        <is>
          <t>緊急度</t>
        </is>
      </c>
      <c r="C25" s="53" t="n"/>
      <c r="D25" s="53" t="n"/>
      <c r="E25" s="51" t="inlineStr">
        <is>
          <t>合計</t>
        </is>
      </c>
    </row>
    <row r="26">
      <c r="B26" s="51" t="inlineStr">
        <is>
          <t>中</t>
        </is>
      </c>
      <c r="C26" s="54" t="inlineStr">
        <is>
          <t>低</t>
        </is>
      </c>
      <c r="D26" s="54" t="inlineStr">
        <is>
          <t>高</t>
        </is>
      </c>
    </row>
    <row r="27">
      <c r="A27" s="55" t="inlineStr">
        <is>
          <t>全体</t>
        </is>
      </c>
      <c r="B27" s="55">
        <f>COUNTIFS('欠陥詳細_ALL'!G$4:G$75,"中")</f>
        <v/>
      </c>
      <c r="C27" s="56">
        <f>COUNTIFS('欠陥詳細_ALL'!G$4:G$75,"低")</f>
        <v/>
      </c>
      <c r="D27" s="56">
        <f>COUNTIFS('欠陥詳細_ALL'!G$4:G$75,"高")</f>
        <v/>
      </c>
      <c r="E27" s="55">
        <f>SUM(B27:D27)</f>
        <v/>
      </c>
    </row>
    <row r="28">
      <c r="A28" s="57" t="inlineStr">
        <is>
          <t>オンライン</t>
        </is>
      </c>
      <c r="B28" s="57">
        <f>COUNTIFS('欠陥詳細_オンライン'!G$4:G$29,"中")</f>
        <v/>
      </c>
      <c r="C28" s="58">
        <f>COUNTIFS('欠陥詳細_オンライン'!G$4:G$29,"低")</f>
        <v/>
      </c>
      <c r="D28" s="58">
        <f>COUNTIFS('欠陥詳細_オンライン'!G$4:G$29,"高")</f>
        <v/>
      </c>
      <c r="E28" s="57">
        <f>SUM(B28:D28)</f>
        <v/>
      </c>
    </row>
    <row r="29">
      <c r="A29" s="57" t="inlineStr">
        <is>
          <t>バッチ</t>
        </is>
      </c>
      <c r="B29" s="57">
        <f>COUNTIFS('欠陥詳細_バッチ'!G$4:G$20,"中")</f>
        <v/>
      </c>
      <c r="C29" s="58">
        <f>COUNTIFS('欠陥詳細_バッチ'!G$4:G$20,"低")</f>
        <v/>
      </c>
      <c r="D29" s="58">
        <f>COUNTIFS('欠陥詳細_バッチ'!G$4:G$20,"高")</f>
        <v/>
      </c>
      <c r="E29" s="57">
        <f>SUM(B29:D29)</f>
        <v/>
      </c>
    </row>
    <row r="30">
      <c r="A30" s="57" t="inlineStr">
        <is>
          <t>基盤</t>
        </is>
      </c>
      <c r="B30" s="57">
        <f>COUNTIFS('欠陥詳細_基盤'!G$4:G$16,"中")</f>
        <v/>
      </c>
      <c r="C30" s="58">
        <f>COUNTIFS('欠陥詳細_基盤'!G$4:G$16,"低")</f>
        <v/>
      </c>
      <c r="D30" s="58">
        <f>COUNTIFS('欠陥詳細_基盤'!G$4:G$16,"高")</f>
        <v/>
      </c>
      <c r="E30" s="57">
        <f>SUM(B30:D30)</f>
        <v/>
      </c>
    </row>
    <row r="31">
      <c r="A31" s="57" t="inlineStr">
        <is>
          <t>運用</t>
        </is>
      </c>
      <c r="B31" s="57">
        <f>COUNTIFS('欠陥詳細_運用'!G$4:G$19,"中")</f>
        <v/>
      </c>
      <c r="C31" s="58">
        <f>COUNTIFS('欠陥詳細_運用'!G$4:G$19,"低")</f>
        <v/>
      </c>
      <c r="D31" s="58">
        <f>COUNTIFS('欠陥詳細_運用'!G$4:G$19,"高")</f>
        <v/>
      </c>
      <c r="E31" s="57">
        <f>SUM(B31:D31)</f>
        <v/>
      </c>
    </row>
    <row r="34" ht="25" customHeight="1">
      <c r="A34" s="50" t="inlineStr">
        <is>
          <t>4. 業務機能分類</t>
        </is>
      </c>
    </row>
    <row r="35">
      <c r="A35" s="51" t="inlineStr">
        <is>
          <t>業務機能分類</t>
        </is>
      </c>
      <c r="B35" s="52" t="inlineStr">
        <is>
          <t>チーム別件数</t>
        </is>
      </c>
      <c r="C35" s="53" t="n"/>
      <c r="D35" s="53" t="n"/>
      <c r="E35" s="53" t="n"/>
      <c r="F35" s="53" t="n"/>
    </row>
    <row r="36">
      <c r="B36" s="51" t="inlineStr">
        <is>
          <t>全体</t>
        </is>
      </c>
      <c r="C36" s="54" t="inlineStr">
        <is>
          <t>オンライン</t>
        </is>
      </c>
      <c r="D36" s="54" t="inlineStr">
        <is>
          <t>バッチ</t>
        </is>
      </c>
      <c r="E36" s="54" t="inlineStr">
        <is>
          <t>基盤</t>
        </is>
      </c>
      <c r="F36" s="54" t="inlineStr">
        <is>
          <t>運用</t>
        </is>
      </c>
    </row>
    <row r="37">
      <c r="A37" s="59" t="inlineStr">
        <is>
          <t>01_委託者登録</t>
        </is>
      </c>
      <c r="B37" s="55">
        <f>COUNTIFS('欠陥詳細_ALL'!F$4:F$75,"01_委託者登録")</f>
        <v/>
      </c>
      <c r="C37" s="58">
        <f>COUNTIFS('欠陥詳細_オンライン'!F$4:F$29,"01_委託者登録")</f>
        <v/>
      </c>
      <c r="D37" s="58">
        <f>COUNTIFS('欠陥詳細_バッチ'!F$4:F$20,"01_委託者登録")</f>
        <v/>
      </c>
      <c r="E37" s="58">
        <f>COUNTIFS('欠陥詳細_基盤'!F$4:F$16,"01_委託者登録")</f>
        <v/>
      </c>
      <c r="F37" s="58">
        <f>COUNTIFS('欠陥詳細_運用'!F$4:F$19,"01_委託者登録")</f>
        <v/>
      </c>
    </row>
    <row r="38">
      <c r="A38" s="59" t="inlineStr">
        <is>
          <t>02_受付</t>
        </is>
      </c>
      <c r="B38" s="55">
        <f>COUNTIFS('欠陥詳細_ALL'!F$4:F$75,"02_受付")</f>
        <v/>
      </c>
      <c r="C38" s="58">
        <f>COUNTIFS('欠陥詳細_オンライン'!F$4:F$29,"02_受付")</f>
        <v/>
      </c>
      <c r="D38" s="58">
        <f>COUNTIFS('欠陥詳細_バッチ'!F$4:F$20,"02_受付")</f>
        <v/>
      </c>
      <c r="E38" s="58">
        <f>COUNTIFS('欠陥詳細_基盤'!F$4:F$16,"02_受付")</f>
        <v/>
      </c>
      <c r="F38" s="58">
        <f>COUNTIFS('欠陥詳細_運用'!F$4:F$19,"02_受付")</f>
        <v/>
      </c>
    </row>
    <row r="39">
      <c r="A39" s="59" t="inlineStr">
        <is>
          <t>03_請求</t>
        </is>
      </c>
      <c r="B39" s="55">
        <f>COUNTIFS('欠陥詳細_ALL'!F$4:F$75,"03_請求")</f>
        <v/>
      </c>
      <c r="C39" s="58">
        <f>COUNTIFS('欠陥詳細_オンライン'!F$4:F$29,"03_請求")</f>
        <v/>
      </c>
      <c r="D39" s="58">
        <f>COUNTIFS('欠陥詳細_バッチ'!F$4:F$20,"03_請求")</f>
        <v/>
      </c>
      <c r="E39" s="58">
        <f>COUNTIFS('欠陥詳細_基盤'!F$4:F$16,"03_請求")</f>
        <v/>
      </c>
      <c r="F39" s="58">
        <f>COUNTIFS('欠陥詳細_運用'!F$4:F$19,"03_請求")</f>
        <v/>
      </c>
    </row>
    <row r="40">
      <c r="A40" s="59" t="inlineStr">
        <is>
          <t>04_欠陥・返戻</t>
        </is>
      </c>
      <c r="B40" s="55">
        <f>COUNTIFS('欠陥詳細_ALL'!F$4:F$75,"04_欠陥・返戻")</f>
        <v/>
      </c>
      <c r="C40" s="58">
        <f>COUNTIFS('欠陥詳細_オンライン'!F$4:F$29,"04_欠陥・返戻")</f>
        <v/>
      </c>
      <c r="D40" s="58">
        <f>COUNTIFS('欠陥詳細_バッチ'!F$4:F$20,"04_欠陥・返戻")</f>
        <v/>
      </c>
      <c r="E40" s="58">
        <f>COUNTIFS('欠陥詳細_基盤'!F$4:F$16,"04_欠陥・返戻")</f>
        <v/>
      </c>
      <c r="F40" s="58">
        <f>COUNTIFS('欠陥詳細_運用'!F$4:F$19,"04_欠陥・返戻")</f>
        <v/>
      </c>
    </row>
    <row r="41">
      <c r="A41" s="59" t="inlineStr">
        <is>
          <t>05_清算</t>
        </is>
      </c>
      <c r="B41" s="55">
        <f>COUNTIFS('欠陥詳細_ALL'!F$4:F$75,"05_清算")</f>
        <v/>
      </c>
      <c r="C41" s="58">
        <f>COUNTIFS('欠陥詳細_オンライン'!F$4:F$29,"05_清算")</f>
        <v/>
      </c>
      <c r="D41" s="58">
        <f>COUNTIFS('欠陥詳細_バッチ'!F$4:F$20,"05_清算")</f>
        <v/>
      </c>
      <c r="E41" s="58">
        <f>COUNTIFS('欠陥詳細_基盤'!F$4:F$16,"05_清算")</f>
        <v/>
      </c>
      <c r="F41" s="58">
        <f>COUNTIFS('欠陥詳細_運用'!F$4:F$19,"05_清算")</f>
        <v/>
      </c>
    </row>
    <row r="42">
      <c r="A42" s="59" t="inlineStr">
        <is>
          <t>06_受入準備</t>
        </is>
      </c>
      <c r="B42" s="55">
        <f>COUNTIFS('欠陥詳細_ALL'!F$4:F$75,"06_受入準備")</f>
        <v/>
      </c>
      <c r="C42" s="58">
        <f>COUNTIFS('欠陥詳細_オンライン'!F$4:F$29,"06_受入準備")</f>
        <v/>
      </c>
      <c r="D42" s="58">
        <f>COUNTIFS('欠陥詳細_バッチ'!F$4:F$20,"06_受入準備")</f>
        <v/>
      </c>
      <c r="E42" s="58">
        <f>COUNTIFS('欠陥詳細_基盤'!F$4:F$16,"06_受入準備")</f>
        <v/>
      </c>
      <c r="F42" s="58">
        <f>COUNTIFS('欠陥詳細_運用'!F$4:F$19,"06_受入準備")</f>
        <v/>
      </c>
    </row>
    <row r="43">
      <c r="A43" s="59" t="inlineStr">
        <is>
          <t>07_口振契約受付</t>
        </is>
      </c>
      <c r="B43" s="55">
        <f>COUNTIFS('欠陥詳細_ALL'!F$4:F$75,"07_口振契約受付")</f>
        <v/>
      </c>
      <c r="C43" s="58">
        <f>COUNTIFS('欠陥詳細_オンライン'!F$4:F$29,"07_口振契約受付")</f>
        <v/>
      </c>
      <c r="D43" s="58">
        <f>COUNTIFS('欠陥詳細_バッチ'!F$4:F$20,"07_口振契約受付")</f>
        <v/>
      </c>
      <c r="E43" s="58">
        <f>COUNTIFS('欠陥詳細_基盤'!F$4:F$16,"07_口振契約受付")</f>
        <v/>
      </c>
      <c r="F43" s="58">
        <f>COUNTIFS('欠陥詳細_運用'!F$4:F$19,"07_口振契約受付")</f>
        <v/>
      </c>
    </row>
    <row r="44">
      <c r="A44" s="59" t="inlineStr">
        <is>
          <t>08_事務支(変更通知)</t>
        </is>
      </c>
      <c r="B44" s="55">
        <f>COUNTIFS('欠陥詳細_ALL'!F$4:F$75,"08_事務支(変更通知)")</f>
        <v/>
      </c>
      <c r="C44" s="58">
        <f>COUNTIFS('欠陥詳細_オンライン'!F$4:F$29,"08_事務支(変更通知)")</f>
        <v/>
      </c>
      <c r="D44" s="58">
        <f>COUNTIFS('欠陥詳細_バッチ'!F$4:F$20,"08_事務支(変更通知)")</f>
        <v/>
      </c>
      <c r="E44" s="58">
        <f>COUNTIFS('欠陥詳細_基盤'!F$4:F$16,"08_事務支(変更通知)")</f>
        <v/>
      </c>
      <c r="F44" s="58">
        <f>COUNTIFS('欠陥詳細_運用'!F$4:F$19,"08_事務支(変更通知)")</f>
        <v/>
      </c>
    </row>
    <row r="45">
      <c r="A45" s="59" t="inlineStr">
        <is>
          <t>09_事務支(その他)</t>
        </is>
      </c>
      <c r="B45" s="55">
        <f>COUNTIFS('欠陥詳細_ALL'!F$4:F$75,"09_事務支(その他)")</f>
        <v/>
      </c>
      <c r="C45" s="58">
        <f>COUNTIFS('欠陥詳細_オンライン'!F$4:F$29,"09_事務支(その他)")</f>
        <v/>
      </c>
      <c r="D45" s="58">
        <f>COUNTIFS('欠陥詳細_バッチ'!F$4:F$20,"09_事務支(その他)")</f>
        <v/>
      </c>
      <c r="E45" s="58">
        <f>COUNTIFS('欠陥詳細_基盤'!F$4:F$16,"09_事務支(その他)")</f>
        <v/>
      </c>
      <c r="F45" s="58">
        <f>COUNTIFS('欠陥詳細_運用'!F$4:F$19,"09_事務支(その他)")</f>
        <v/>
      </c>
    </row>
    <row r="46">
      <c r="A46" s="59" t="inlineStr">
        <is>
          <t>10_共通</t>
        </is>
      </c>
      <c r="B46" s="55">
        <f>COUNTIFS('欠陥詳細_ALL'!F$4:F$75,"10_共通")</f>
        <v/>
      </c>
      <c r="C46" s="58">
        <f>COUNTIFS('欠陥詳細_オンライン'!F$4:F$29,"10_共通")</f>
        <v/>
      </c>
      <c r="D46" s="58">
        <f>COUNTIFS('欠陥詳細_バッチ'!F$4:F$20,"10_共通")</f>
        <v/>
      </c>
      <c r="E46" s="58">
        <f>COUNTIFS('欠陥詳細_基盤'!F$4:F$16,"10_共通")</f>
        <v/>
      </c>
      <c r="F46" s="58">
        <f>COUNTIFS('欠陥詳細_運用'!F$4:F$19,"10_共通")</f>
        <v/>
      </c>
    </row>
    <row r="47">
      <c r="A47" s="59" t="inlineStr">
        <is>
          <t>20_移行</t>
        </is>
      </c>
      <c r="B47" s="55">
        <f>COUNTIFS('欠陥詳細_ALL'!F$4:F$75,"20_移行")</f>
        <v/>
      </c>
      <c r="C47" s="58">
        <f>COUNTIFS('欠陥詳細_オンライン'!F$4:F$29,"20_移行")</f>
        <v/>
      </c>
      <c r="D47" s="58">
        <f>COUNTIFS('欠陥詳細_バッチ'!F$4:F$20,"20_移行")</f>
        <v/>
      </c>
      <c r="E47" s="58">
        <f>COUNTIFS('欠陥詳細_基盤'!F$4:F$16,"20_移行")</f>
        <v/>
      </c>
      <c r="F47" s="58">
        <f>COUNTIFS('欠陥詳細_運用'!F$4:F$19,"20_移行")</f>
        <v/>
      </c>
    </row>
    <row r="48">
      <c r="A48" s="59" t="inlineStr">
        <is>
          <t>30_運用</t>
        </is>
      </c>
      <c r="B48" s="55">
        <f>COUNTIFS('欠陥詳細_ALL'!F$4:F$75,"30_運用")</f>
        <v/>
      </c>
      <c r="C48" s="58">
        <f>COUNTIFS('欠陥詳細_オンライン'!F$4:F$29,"30_運用")</f>
        <v/>
      </c>
      <c r="D48" s="58">
        <f>COUNTIFS('欠陥詳細_バッチ'!F$4:F$20,"30_運用")</f>
        <v/>
      </c>
      <c r="E48" s="58">
        <f>COUNTIFS('欠陥詳細_基盤'!F$4:F$16,"30_運用")</f>
        <v/>
      </c>
      <c r="F48" s="58">
        <f>COUNTIFS('欠陥詳細_運用'!F$4:F$19,"30_運用")</f>
        <v/>
      </c>
    </row>
    <row r="49">
      <c r="A49" s="59" t="inlineStr">
        <is>
          <t>40_基盤</t>
        </is>
      </c>
      <c r="B49" s="55">
        <f>COUNTIFS('欠陥詳細_ALL'!F$4:F$75,"40_基盤")</f>
        <v/>
      </c>
      <c r="C49" s="58">
        <f>COUNTIFS('欠陥詳細_オンライン'!F$4:F$29,"40_基盤")</f>
        <v/>
      </c>
      <c r="D49" s="58">
        <f>COUNTIFS('欠陥詳細_バッチ'!F$4:F$20,"40_基盤")</f>
        <v/>
      </c>
      <c r="E49" s="58">
        <f>COUNTIFS('欠陥詳細_基盤'!F$4:F$16,"40_基盤")</f>
        <v/>
      </c>
      <c r="F49" s="58">
        <f>COUNTIFS('欠陥詳細_運用'!F$4:F$19,"40_基盤")</f>
        <v/>
      </c>
    </row>
    <row r="50">
      <c r="A50" s="60" t="inlineStr">
        <is>
          <t>合計</t>
        </is>
      </c>
      <c r="B50" s="55">
        <f>SUM(B37:B49)</f>
        <v/>
      </c>
      <c r="C50" s="56">
        <f>SUM(C37:C49)</f>
        <v/>
      </c>
      <c r="D50" s="56">
        <f>SUM(D37:D49)</f>
        <v/>
      </c>
      <c r="E50" s="56">
        <f>SUM(E37:E49)</f>
        <v/>
      </c>
      <c r="F50" s="56">
        <f>SUM(F37:F49)</f>
        <v/>
      </c>
    </row>
    <row r="177" ht="25" customHeight="1">
      <c r="A177" s="50" t="inlineStr">
        <is>
          <t>5. 欠陥原因（深層）</t>
        </is>
      </c>
    </row>
    <row r="178">
      <c r="A178" s="51" t="inlineStr">
        <is>
          <t>欠陥原因</t>
        </is>
      </c>
      <c r="B178" s="52" t="inlineStr">
        <is>
          <t>チーム別件数</t>
        </is>
      </c>
      <c r="C178" s="53" t="n"/>
      <c r="D178" s="53" t="n"/>
      <c r="E178" s="53" t="n"/>
      <c r="F178" s="53" t="n"/>
    </row>
    <row r="179">
      <c r="B179" s="51" t="inlineStr">
        <is>
          <t>全体</t>
        </is>
      </c>
      <c r="C179" s="54" t="inlineStr">
        <is>
          <t>オンライン</t>
        </is>
      </c>
      <c r="D179" s="54" t="inlineStr">
        <is>
          <t>バッチ</t>
        </is>
      </c>
      <c r="E179" s="54" t="inlineStr">
        <is>
          <t>基盤</t>
        </is>
      </c>
      <c r="F179" s="54" t="inlineStr">
        <is>
          <t>運用</t>
        </is>
      </c>
    </row>
    <row r="180">
      <c r="A180" s="59" t="inlineStr">
        <is>
          <t>プロセス不備</t>
        </is>
      </c>
      <c r="B180" s="55">
        <f>COUNTIFS('欠陥詳細_ALL'!K$4:K$75,"プロセス不備")</f>
        <v/>
      </c>
      <c r="C180" s="58">
        <f>COUNTIFS('欠陥詳細_オンライン'!K$4:K$29,"プロセス不備")</f>
        <v/>
      </c>
      <c r="D180" s="58">
        <f>COUNTIFS('欠陥詳細_バッチ'!K$4:K$20,"プロセス不備")</f>
        <v/>
      </c>
      <c r="E180" s="58">
        <f>COUNTIFS('欠陥詳細_基盤'!K$4:K$16,"プロセス不備")</f>
        <v/>
      </c>
      <c r="F180" s="58">
        <f>COUNTIFS('欠陥詳細_運用'!K$4:K$19,"プロセス不備")</f>
        <v/>
      </c>
    </row>
    <row r="181">
      <c r="A181" s="59" t="inlineStr">
        <is>
          <t>外的要因</t>
        </is>
      </c>
      <c r="B181" s="55">
        <f>COUNTIFS('欠陥詳細_ALL'!K$4:K$75,"外的要因")</f>
        <v/>
      </c>
      <c r="C181" s="58">
        <f>COUNTIFS('欠陥詳細_オンライン'!K$4:K$29,"外的要因")</f>
        <v/>
      </c>
      <c r="D181" s="58">
        <f>COUNTIFS('欠陥詳細_バッチ'!K$4:K$20,"外的要因")</f>
        <v/>
      </c>
      <c r="E181" s="58">
        <f>COUNTIFS('欠陥詳細_基盤'!K$4:K$16,"外的要因")</f>
        <v/>
      </c>
      <c r="F181" s="58">
        <f>COUNTIFS('欠陥詳細_運用'!K$4:K$19,"外的要因")</f>
        <v/>
      </c>
    </row>
    <row r="182">
      <c r="A182" s="59" t="inlineStr">
        <is>
          <t>影響範囲調査不足</t>
        </is>
      </c>
      <c r="B182" s="55">
        <f>COUNTIFS('欠陥詳細_ALL'!K$4:K$75,"影響範囲調査不足")</f>
        <v/>
      </c>
      <c r="C182" s="58">
        <f>COUNTIFS('欠陥詳細_オンライン'!K$4:K$29,"影響範囲調査不足")</f>
        <v/>
      </c>
      <c r="D182" s="58">
        <f>COUNTIFS('欠陥詳細_バッチ'!K$4:K$20,"影響範囲調査不足")</f>
        <v/>
      </c>
      <c r="E182" s="58">
        <f>COUNTIFS('欠陥詳細_基盤'!K$4:K$16,"影響範囲調査不足")</f>
        <v/>
      </c>
      <c r="F182" s="58">
        <f>COUNTIFS('欠陥詳細_運用'!K$4:K$19,"影響範囲調査不足")</f>
        <v/>
      </c>
    </row>
    <row r="183">
      <c r="A183" s="59" t="inlineStr">
        <is>
          <t>情報共有不足</t>
        </is>
      </c>
      <c r="B183" s="55">
        <f>COUNTIFS('欠陥詳細_ALL'!K$4:K$75,"情報共有不足")</f>
        <v/>
      </c>
      <c r="C183" s="58">
        <f>COUNTIFS('欠陥詳細_オンライン'!K$4:K$29,"情報共有不足")</f>
        <v/>
      </c>
      <c r="D183" s="58">
        <f>COUNTIFS('欠陥詳細_バッチ'!K$4:K$20,"情報共有不足")</f>
        <v/>
      </c>
      <c r="E183" s="58">
        <f>COUNTIFS('欠陥詳細_基盤'!K$4:K$16,"情報共有不足")</f>
        <v/>
      </c>
      <c r="F183" s="58">
        <f>COUNTIFS('欠陥詳細_運用'!K$4:K$19,"情報共有不足")</f>
        <v/>
      </c>
    </row>
    <row r="184">
      <c r="A184" s="59" t="inlineStr">
        <is>
          <t>技術力不足</t>
        </is>
      </c>
      <c r="B184" s="55">
        <f>COUNTIFS('欠陥詳細_ALL'!K$4:K$75,"技術力不足")</f>
        <v/>
      </c>
      <c r="C184" s="58">
        <f>COUNTIFS('欠陥詳細_オンライン'!K$4:K$29,"技術力不足")</f>
        <v/>
      </c>
      <c r="D184" s="58">
        <f>COUNTIFS('欠陥詳細_バッチ'!K$4:K$20,"技術力不足")</f>
        <v/>
      </c>
      <c r="E184" s="58">
        <f>COUNTIFS('欠陥詳細_基盤'!K$4:K$16,"技術力不足")</f>
        <v/>
      </c>
      <c r="F184" s="58">
        <f>COUNTIFS('欠陥詳細_運用'!K$4:K$19,"技術力不足")</f>
        <v/>
      </c>
    </row>
    <row r="185">
      <c r="A185" s="59" t="inlineStr">
        <is>
          <t>未知</t>
        </is>
      </c>
      <c r="B185" s="55">
        <f>COUNTIFS('欠陥詳細_ALL'!K$4:K$75,"未知")</f>
        <v/>
      </c>
      <c r="C185" s="58">
        <f>COUNTIFS('欠陥詳細_オンライン'!K$4:K$29,"未知")</f>
        <v/>
      </c>
      <c r="D185" s="58">
        <f>COUNTIFS('欠陥詳細_バッチ'!K$4:K$20,"未知")</f>
        <v/>
      </c>
      <c r="E185" s="58">
        <f>COUNTIFS('欠陥詳細_基盤'!K$4:K$16,"未知")</f>
        <v/>
      </c>
      <c r="F185" s="58">
        <f>COUNTIFS('欠陥詳細_運用'!K$4:K$19,"未知")</f>
        <v/>
      </c>
    </row>
    <row r="186">
      <c r="A186" s="59" t="inlineStr">
        <is>
          <t>業務/仕様理解不足</t>
        </is>
      </c>
      <c r="B186" s="55">
        <f>COUNTIFS('欠陥詳細_ALL'!K$4:K$75,"業務/仕様理解不足")</f>
        <v/>
      </c>
      <c r="C186" s="58">
        <f>COUNTIFS('欠陥詳細_オンライン'!K$4:K$29,"業務/仕様理解不足")</f>
        <v/>
      </c>
      <c r="D186" s="58">
        <f>COUNTIFS('欠陥詳細_バッチ'!K$4:K$20,"業務/仕様理解不足")</f>
        <v/>
      </c>
      <c r="E186" s="58">
        <f>COUNTIFS('欠陥詳細_基盤'!K$4:K$16,"業務/仕様理解不足")</f>
        <v/>
      </c>
      <c r="F186" s="58">
        <f>COUNTIFS('欠陥詳細_運用'!K$4:K$19,"業務/仕様理解不足")</f>
        <v/>
      </c>
    </row>
    <row r="187">
      <c r="A187" s="59" t="inlineStr">
        <is>
          <t>注意不足</t>
        </is>
      </c>
      <c r="B187" s="55">
        <f>COUNTIFS('欠陥詳細_ALL'!K$4:K$75,"注意不足")</f>
        <v/>
      </c>
      <c r="C187" s="58">
        <f>COUNTIFS('欠陥詳細_オンライン'!K$4:K$29,"注意不足")</f>
        <v/>
      </c>
      <c r="D187" s="58">
        <f>COUNTIFS('欠陥詳細_バッチ'!K$4:K$20,"注意不足")</f>
        <v/>
      </c>
      <c r="E187" s="58">
        <f>COUNTIFS('欠陥詳細_基盤'!K$4:K$16,"注意不足")</f>
        <v/>
      </c>
      <c r="F187" s="58">
        <f>COUNTIFS('欠陥詳細_運用'!K$4:K$19,"注意不足")</f>
        <v/>
      </c>
    </row>
    <row r="188">
      <c r="A188" s="59" t="inlineStr">
        <is>
          <t>考慮不足</t>
        </is>
      </c>
      <c r="B188" s="55">
        <f>COUNTIFS('欠陥詳細_ALL'!K$4:K$75,"考慮不足")</f>
        <v/>
      </c>
      <c r="C188" s="58">
        <f>COUNTIFS('欠陥詳細_オンライン'!K$4:K$29,"考慮不足")</f>
        <v/>
      </c>
      <c r="D188" s="58">
        <f>COUNTIFS('欠陥詳細_バッチ'!K$4:K$20,"考慮不足")</f>
        <v/>
      </c>
      <c r="E188" s="58">
        <f>COUNTIFS('欠陥詳細_基盤'!K$4:K$16,"考慮不足")</f>
        <v/>
      </c>
      <c r="F188" s="58">
        <f>COUNTIFS('欠陥詳細_運用'!K$4:K$19,"考慮不足")</f>
        <v/>
      </c>
    </row>
    <row r="189">
      <c r="A189" s="59" t="inlineStr">
        <is>
          <t>非欠陥</t>
        </is>
      </c>
      <c r="B189" s="55">
        <f>COUNTIFS('欠陥詳細_ALL'!K$4:K$75,"非欠陥")</f>
        <v/>
      </c>
      <c r="C189" s="58">
        <f>COUNTIFS('欠陥詳細_オンライン'!K$4:K$29,"非欠陥")</f>
        <v/>
      </c>
      <c r="D189" s="58">
        <f>COUNTIFS('欠陥詳細_バッチ'!K$4:K$20,"非欠陥")</f>
        <v/>
      </c>
      <c r="E189" s="58">
        <f>COUNTIFS('欠陥詳細_基盤'!K$4:K$16,"非欠陥")</f>
        <v/>
      </c>
      <c r="F189" s="58">
        <f>COUNTIFS('欠陥詳細_運用'!K$4:K$19,"非欠陥")</f>
        <v/>
      </c>
    </row>
    <row r="190">
      <c r="A190" s="60" t="inlineStr">
        <is>
          <t>合計</t>
        </is>
      </c>
      <c r="B190" s="55">
        <f>SUM(B180:B189)</f>
        <v/>
      </c>
      <c r="C190" s="56">
        <f>SUM(C180:C189)</f>
        <v/>
      </c>
      <c r="D190" s="56">
        <f>SUM(D180:D189)</f>
        <v/>
      </c>
      <c r="E190" s="56">
        <f>SUM(E180:E189)</f>
        <v/>
      </c>
      <c r="F190" s="56">
        <f>SUM(F180:F189)</f>
        <v/>
      </c>
    </row>
  </sheetData>
  <mergeCells count="20">
    <mergeCell ref="A177:I177"/>
    <mergeCell ref="A178:A179"/>
    <mergeCell ref="C5:G5"/>
    <mergeCell ref="A25:A26"/>
    <mergeCell ref="A14:I14"/>
    <mergeCell ref="A4:I4"/>
    <mergeCell ref="B15:G15"/>
    <mergeCell ref="A5:A6"/>
    <mergeCell ref="B178:F178"/>
    <mergeCell ref="H15:H16"/>
    <mergeCell ref="A34:I34"/>
    <mergeCell ref="B25:D25"/>
    <mergeCell ref="I15:K15"/>
    <mergeCell ref="B5:B6"/>
    <mergeCell ref="A24:I24"/>
    <mergeCell ref="A35:A36"/>
    <mergeCell ref="E25:E26"/>
    <mergeCell ref="A15:A16"/>
    <mergeCell ref="H5:L5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7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61" t="inlineStr">
        <is>
          <t>要対応一覧（61件）</t>
        </is>
      </c>
    </row>
    <row r="2">
      <c r="A2" s="62" t="inlineStr">
        <is>
          <t>基準日: 2026/03/10</t>
        </is>
      </c>
    </row>
    <row r="4">
      <c r="A4" s="63" t="inlineStr">
        <is>
          <t>■ 遅延サマリー</t>
        </is>
      </c>
    </row>
    <row r="5">
      <c r="A5" s="64" t="inlineStr">
        <is>
          <t>項目</t>
        </is>
      </c>
      <c r="B5" s="64" t="inlineStr">
        <is>
          <t>遅延件数</t>
        </is>
      </c>
    </row>
    <row r="6">
      <c r="A6" s="29" t="inlineStr">
        <is>
          <t>実施者_遅延</t>
        </is>
      </c>
      <c r="B6" s="29">
        <f>COUNTIF(明細!$H$5:$H$363,"遅延")</f>
        <v/>
      </c>
    </row>
    <row r="7">
      <c r="A7" s="29" t="inlineStr">
        <is>
          <t>検証者_遅延</t>
        </is>
      </c>
      <c r="B7" s="29">
        <f>COUNTIF(明細!$K$5:$K$363,"遅延")</f>
        <v/>
      </c>
    </row>
    <row r="9">
      <c r="A9" s="63" t="inlineStr">
        <is>
          <t>■ 遅延一覧</t>
        </is>
      </c>
    </row>
    <row r="10">
      <c r="A10" s="65" t="inlineStr">
        <is>
          <t>No.</t>
        </is>
      </c>
      <c r="B10" s="65" t="inlineStr">
        <is>
          <t>チーム名</t>
        </is>
      </c>
      <c r="C10" s="65" t="inlineStr">
        <is>
          <t>シート名</t>
        </is>
      </c>
      <c r="D10" s="65" t="inlineStr">
        <is>
          <t>テストID</t>
        </is>
      </c>
      <c r="E10" s="65" t="inlineStr">
        <is>
          <t>実施予定</t>
        </is>
      </c>
      <c r="F10" s="65" t="inlineStr">
        <is>
          <t>実施実績</t>
        </is>
      </c>
      <c r="G10" s="65" t="inlineStr">
        <is>
          <t>検証予定</t>
        </is>
      </c>
      <c r="H10" s="65" t="inlineStr">
        <is>
          <t>検証実績</t>
        </is>
      </c>
    </row>
    <row r="11">
      <c r="A11" s="57" t="n">
        <v>1</v>
      </c>
      <c r="B11" s="57" t="inlineStr">
        <is>
          <t>バッチ</t>
        </is>
      </c>
      <c r="C11" s="57" t="inlineStr">
        <is>
          <t>ITB-002_在庫更新</t>
        </is>
      </c>
      <c r="D11" s="57" t="inlineStr">
        <is>
          <t>ITB-002_在庫更新-002</t>
        </is>
      </c>
      <c r="E11" s="57" t="inlineStr">
        <is>
          <t>2026/01/14</t>
        </is>
      </c>
      <c r="F11" s="57" t="inlineStr">
        <is>
          <t>2026/01/16</t>
        </is>
      </c>
      <c r="G11" s="57" t="inlineStr">
        <is>
          <t>2026/01/16</t>
        </is>
      </c>
      <c r="H11" s="66" t="inlineStr">
        <is>
          <t>未完了</t>
        </is>
      </c>
    </row>
    <row r="12">
      <c r="A12" s="57" t="n">
        <v>2</v>
      </c>
      <c r="B12" s="57" t="inlineStr">
        <is>
          <t>バッチ</t>
        </is>
      </c>
      <c r="C12" s="57" t="inlineStr">
        <is>
          <t>ITB-002_在庫更新</t>
        </is>
      </c>
      <c r="D12" s="57" t="inlineStr">
        <is>
          <t>ITB-002_在庫更新-003</t>
        </is>
      </c>
      <c r="E12" s="57" t="inlineStr">
        <is>
          <t>2026/02/10</t>
        </is>
      </c>
      <c r="F12" s="66" t="inlineStr">
        <is>
          <t>未完了</t>
        </is>
      </c>
      <c r="G12" s="57" t="inlineStr">
        <is>
          <t>2026/02/13</t>
        </is>
      </c>
      <c r="H12" s="66" t="inlineStr">
        <is>
          <t>未完了</t>
        </is>
      </c>
    </row>
    <row r="13">
      <c r="A13" s="57" t="n">
        <v>3</v>
      </c>
      <c r="B13" s="57" t="inlineStr">
        <is>
          <t>バッチ</t>
        </is>
      </c>
      <c r="C13" s="57" t="inlineStr">
        <is>
          <t>ITB-002_在庫更新</t>
        </is>
      </c>
      <c r="D13" s="57" t="inlineStr">
        <is>
          <t>ITB-002_在庫更新-004</t>
        </is>
      </c>
      <c r="E13" s="57" t="inlineStr">
        <is>
          <t>2026/03/04</t>
        </is>
      </c>
      <c r="F13" s="57" t="inlineStr">
        <is>
          <t>2026/03/06</t>
        </is>
      </c>
      <c r="G13" s="57" t="inlineStr">
        <is>
          <t>2026/03/06</t>
        </is>
      </c>
      <c r="H13" s="66" t="inlineStr">
        <is>
          <t>未完了</t>
        </is>
      </c>
    </row>
    <row r="14">
      <c r="A14" s="57" t="n">
        <v>4</v>
      </c>
      <c r="B14" s="57" t="inlineStr">
        <is>
          <t>バッチ</t>
        </is>
      </c>
      <c r="C14" s="57" t="inlineStr">
        <is>
          <t>ITB-003_レポート生成</t>
        </is>
      </c>
      <c r="D14" s="57" t="inlineStr">
        <is>
          <t>ITB-003_レポート生成-004</t>
        </is>
      </c>
      <c r="E14" s="57" t="inlineStr">
        <is>
          <t>2026/02/28</t>
        </is>
      </c>
      <c r="F14" s="57" t="inlineStr">
        <is>
          <t>2026/02/26</t>
        </is>
      </c>
      <c r="G14" s="57" t="inlineStr">
        <is>
          <t>2026/03/02</t>
        </is>
      </c>
      <c r="H14" s="66" t="inlineStr">
        <is>
          <t>未完了</t>
        </is>
      </c>
    </row>
    <row r="15">
      <c r="A15" s="57" t="n">
        <v>5</v>
      </c>
      <c r="B15" s="57" t="inlineStr">
        <is>
          <t>バッチ</t>
        </is>
      </c>
      <c r="C15" s="57" t="inlineStr">
        <is>
          <t>ITB-001_月次締め</t>
        </is>
      </c>
      <c r="D15" s="57" t="inlineStr">
        <is>
          <t>ITB-001_月次締め-002</t>
        </is>
      </c>
      <c r="E15" s="57" t="inlineStr">
        <is>
          <t>2025/12/24</t>
        </is>
      </c>
      <c r="F15" s="57" t="inlineStr">
        <is>
          <t>2025/12/27</t>
        </is>
      </c>
      <c r="G15" s="57" t="inlineStr">
        <is>
          <t>2025/12/25</t>
        </is>
      </c>
      <c r="H15" s="66" t="inlineStr">
        <is>
          <t>未完了</t>
        </is>
      </c>
    </row>
    <row r="16">
      <c r="A16" s="57" t="n">
        <v>6</v>
      </c>
      <c r="B16" s="57" t="inlineStr">
        <is>
          <t>バッチ</t>
        </is>
      </c>
      <c r="C16" s="57" t="inlineStr">
        <is>
          <t>ITB-001_月次締め</t>
        </is>
      </c>
      <c r="D16" s="57" t="inlineStr">
        <is>
          <t>ITB-001_月次締め-003</t>
        </is>
      </c>
      <c r="E16" s="57" t="inlineStr">
        <is>
          <t>2026/01/06</t>
        </is>
      </c>
      <c r="F16" s="57" t="inlineStr">
        <is>
          <t>2026/01/05</t>
        </is>
      </c>
      <c r="G16" s="57" t="inlineStr">
        <is>
          <t>2026/01/08</t>
        </is>
      </c>
      <c r="H16" s="66" t="inlineStr">
        <is>
          <t>未完了</t>
        </is>
      </c>
    </row>
    <row r="17">
      <c r="A17" s="57" t="n">
        <v>7</v>
      </c>
      <c r="B17" s="57" t="inlineStr">
        <is>
          <t>バッチ</t>
        </is>
      </c>
      <c r="C17" s="57" t="inlineStr">
        <is>
          <t>ITB-001_月次締め</t>
        </is>
      </c>
      <c r="D17" s="57" t="inlineStr">
        <is>
          <t>ITB-001_月次締め-004</t>
        </is>
      </c>
      <c r="E17" s="57" t="inlineStr">
        <is>
          <t>2026/01/17</t>
        </is>
      </c>
      <c r="F17" s="57" t="inlineStr">
        <is>
          <t>2026/01/16</t>
        </is>
      </c>
      <c r="G17" s="57" t="inlineStr">
        <is>
          <t>2026/01/21</t>
        </is>
      </c>
      <c r="H17" s="66" t="inlineStr">
        <is>
          <t>未完了</t>
        </is>
      </c>
    </row>
    <row r="18">
      <c r="A18" s="57" t="n">
        <v>8</v>
      </c>
      <c r="B18" s="57" t="inlineStr">
        <is>
          <t>バッチ</t>
        </is>
      </c>
      <c r="C18" s="57" t="inlineStr">
        <is>
          <t>ITB-001_月次締め</t>
        </is>
      </c>
      <c r="D18" s="57" t="inlineStr">
        <is>
          <t>ITB-001_月次締め-008</t>
        </is>
      </c>
      <c r="E18" s="57" t="inlineStr">
        <is>
          <t>2026/03/10</t>
        </is>
      </c>
      <c r="F18" s="66" t="inlineStr">
        <is>
          <t>未完了</t>
        </is>
      </c>
      <c r="G18" s="57" t="inlineStr">
        <is>
          <t>2026/03/14</t>
        </is>
      </c>
      <c r="H18" s="57" t="inlineStr">
        <is>
          <t>未完了</t>
        </is>
      </c>
    </row>
    <row r="19">
      <c r="A19" s="57" t="n">
        <v>9</v>
      </c>
      <c r="B19" s="57" t="inlineStr">
        <is>
          <t>バッチ</t>
        </is>
      </c>
      <c r="C19" s="57" t="inlineStr">
        <is>
          <t>ITB-002_請求書発行</t>
        </is>
      </c>
      <c r="D19" s="57" t="inlineStr">
        <is>
          <t>ITB-002_請求書発行-002</t>
        </is>
      </c>
      <c r="E19" s="57" t="inlineStr">
        <is>
          <t>2025/12/26</t>
        </is>
      </c>
      <c r="F19" s="57" t="inlineStr">
        <is>
          <t>2025/12/29</t>
        </is>
      </c>
      <c r="G19" s="57" t="inlineStr">
        <is>
          <t>2025/12/29</t>
        </is>
      </c>
      <c r="H19" s="66" t="inlineStr">
        <is>
          <t>未完了</t>
        </is>
      </c>
    </row>
    <row r="20">
      <c r="A20" s="57" t="n">
        <v>10</v>
      </c>
      <c r="B20" s="57" t="inlineStr">
        <is>
          <t>バッチ</t>
        </is>
      </c>
      <c r="C20" s="57" t="inlineStr">
        <is>
          <t>ITB-002_請求書発行</t>
        </is>
      </c>
      <c r="D20" s="57" t="inlineStr">
        <is>
          <t>ITB-002_請求書発行-008</t>
        </is>
      </c>
      <c r="E20" s="57" t="inlineStr">
        <is>
          <t>2026/03/10</t>
        </is>
      </c>
      <c r="F20" s="66" t="inlineStr">
        <is>
          <t>未完了</t>
        </is>
      </c>
      <c r="G20" s="57" t="inlineStr">
        <is>
          <t>2026/03/13</t>
        </is>
      </c>
      <c r="H20" s="57" t="inlineStr">
        <is>
          <t>未完了</t>
        </is>
      </c>
    </row>
    <row r="21">
      <c r="A21" s="57" t="n">
        <v>11</v>
      </c>
      <c r="B21" s="57" t="inlineStr">
        <is>
          <t>バッチ</t>
        </is>
      </c>
      <c r="C21" s="57" t="inlineStr">
        <is>
          <t>ITB-001_外部システム連携</t>
        </is>
      </c>
      <c r="D21" s="57" t="inlineStr">
        <is>
          <t>ITB-001_外部システム連携-003</t>
        </is>
      </c>
      <c r="E21" s="57" t="inlineStr">
        <is>
          <t>2026/01/20</t>
        </is>
      </c>
      <c r="F21" s="57" t="inlineStr">
        <is>
          <t>2026/01/20</t>
        </is>
      </c>
      <c r="G21" s="57" t="inlineStr">
        <is>
          <t>2026/01/24</t>
        </is>
      </c>
      <c r="H21" s="66" t="inlineStr">
        <is>
          <t>未完了</t>
        </is>
      </c>
    </row>
    <row r="22">
      <c r="A22" s="57" t="n">
        <v>12</v>
      </c>
      <c r="B22" s="57" t="inlineStr">
        <is>
          <t>バッチ</t>
        </is>
      </c>
      <c r="C22" s="57" t="inlineStr">
        <is>
          <t>ITB-001_外部システム連携</t>
        </is>
      </c>
      <c r="D22" s="57" t="inlineStr">
        <is>
          <t>ITB-001_外部システム連携-005</t>
        </is>
      </c>
      <c r="E22" s="57" t="inlineStr">
        <is>
          <t>2026/03/02</t>
        </is>
      </c>
      <c r="F22" s="57" t="inlineStr">
        <is>
          <t>2026/03/02</t>
        </is>
      </c>
      <c r="G22" s="57" t="inlineStr">
        <is>
          <t>2026/03/07</t>
        </is>
      </c>
      <c r="H22" s="66" t="inlineStr">
        <is>
          <t>未完了</t>
        </is>
      </c>
    </row>
    <row r="23">
      <c r="A23" s="57" t="n">
        <v>13</v>
      </c>
      <c r="B23" s="57" t="inlineStr">
        <is>
          <t>バッチ</t>
        </is>
      </c>
      <c r="C23" s="57" t="inlineStr">
        <is>
          <t>ITB-002_データ同期</t>
        </is>
      </c>
      <c r="D23" s="57" t="inlineStr">
        <is>
          <t>ITB-002_データ同期-003</t>
        </is>
      </c>
      <c r="E23" s="57" t="inlineStr">
        <is>
          <t>2026/01/22</t>
        </is>
      </c>
      <c r="F23" s="57" t="inlineStr">
        <is>
          <t>2026/01/25</t>
        </is>
      </c>
      <c r="G23" s="57" t="inlineStr">
        <is>
          <t>2026/01/24</t>
        </is>
      </c>
      <c r="H23" s="66" t="inlineStr">
        <is>
          <t>未完了</t>
        </is>
      </c>
    </row>
    <row r="24">
      <c r="A24" s="57" t="n">
        <v>14</v>
      </c>
      <c r="B24" s="57" t="inlineStr">
        <is>
          <t>オンライン</t>
        </is>
      </c>
      <c r="C24" s="57" t="inlineStr">
        <is>
          <t>ITB-001_ログイン</t>
        </is>
      </c>
      <c r="D24" s="57" t="inlineStr">
        <is>
          <t>ITB-001_ログイン-007</t>
        </is>
      </c>
      <c r="E24" s="57" t="inlineStr">
        <is>
          <t>2026/02/26</t>
        </is>
      </c>
      <c r="F24" s="57" t="inlineStr">
        <is>
          <t>2026/02/26</t>
        </is>
      </c>
      <c r="G24" s="57" t="inlineStr">
        <is>
          <t>2026/03/02</t>
        </is>
      </c>
      <c r="H24" s="66" t="inlineStr">
        <is>
          <t>未完了</t>
        </is>
      </c>
    </row>
    <row r="25">
      <c r="A25" s="57" t="n">
        <v>15</v>
      </c>
      <c r="B25" s="57" t="inlineStr">
        <is>
          <t>オンライン</t>
        </is>
      </c>
      <c r="C25" s="57" t="inlineStr">
        <is>
          <t>ITB-001_ログイン</t>
        </is>
      </c>
      <c r="D25" s="57" t="inlineStr">
        <is>
          <t>ITB-001_ログイン-008</t>
        </is>
      </c>
      <c r="E25" s="57" t="inlineStr">
        <is>
          <t>2026/03/02</t>
        </is>
      </c>
      <c r="F25" s="57" t="inlineStr">
        <is>
          <t>2026/03/05</t>
        </is>
      </c>
      <c r="G25" s="57" t="inlineStr">
        <is>
          <t>2026/03/06</t>
        </is>
      </c>
      <c r="H25" s="66" t="inlineStr">
        <is>
          <t>未完了</t>
        </is>
      </c>
    </row>
    <row r="26">
      <c r="A26" s="57" t="n">
        <v>16</v>
      </c>
      <c r="B26" s="57" t="inlineStr">
        <is>
          <t>オンライン</t>
        </is>
      </c>
      <c r="C26" s="57" t="inlineStr">
        <is>
          <t>ITB-002_ログアウト</t>
        </is>
      </c>
      <c r="D26" s="57" t="inlineStr">
        <is>
          <t>ITB-002_ログアウト-005</t>
        </is>
      </c>
      <c r="E26" s="57" t="inlineStr">
        <is>
          <t>2026/01/30</t>
        </is>
      </c>
      <c r="F26" s="57" t="inlineStr">
        <is>
          <t>2026/01/31</t>
        </is>
      </c>
      <c r="G26" s="57" t="inlineStr">
        <is>
          <t>2026/02/01</t>
        </is>
      </c>
      <c r="H26" s="66" t="inlineStr">
        <is>
          <t>未完了</t>
        </is>
      </c>
    </row>
    <row r="27">
      <c r="A27" s="57" t="n">
        <v>17</v>
      </c>
      <c r="B27" s="57" t="inlineStr">
        <is>
          <t>オンライン</t>
        </is>
      </c>
      <c r="C27" s="57" t="inlineStr">
        <is>
          <t>ITB-002_ログアウト</t>
        </is>
      </c>
      <c r="D27" s="57" t="inlineStr">
        <is>
          <t>ITB-002_ログアウト-006</t>
        </is>
      </c>
      <c r="E27" s="57" t="inlineStr">
        <is>
          <t>2026/02/12</t>
        </is>
      </c>
      <c r="F27" s="66" t="inlineStr">
        <is>
          <t>未完了</t>
        </is>
      </c>
      <c r="G27" s="57" t="inlineStr">
        <is>
          <t>2026/02/17</t>
        </is>
      </c>
      <c r="H27" s="66" t="inlineStr">
        <is>
          <t>未完了</t>
        </is>
      </c>
    </row>
    <row r="28">
      <c r="A28" s="57" t="n">
        <v>18</v>
      </c>
      <c r="B28" s="57" t="inlineStr">
        <is>
          <t>オンライン</t>
        </is>
      </c>
      <c r="C28" s="57" t="inlineStr">
        <is>
          <t>ITB-002_ログアウト</t>
        </is>
      </c>
      <c r="D28" s="57" t="inlineStr">
        <is>
          <t>ITB-002_ログアウト-008</t>
        </is>
      </c>
      <c r="E28" s="57" t="inlineStr">
        <is>
          <t>2026/03/03</t>
        </is>
      </c>
      <c r="F28" s="57" t="inlineStr">
        <is>
          <t>2026/03/06</t>
        </is>
      </c>
      <c r="G28" s="57" t="inlineStr">
        <is>
          <t>2026/03/08</t>
        </is>
      </c>
      <c r="H28" s="66" t="inlineStr">
        <is>
          <t>未完了</t>
        </is>
      </c>
    </row>
    <row r="29">
      <c r="A29" s="57" t="n">
        <v>19</v>
      </c>
      <c r="B29" s="57" t="inlineStr">
        <is>
          <t>オンライン</t>
        </is>
      </c>
      <c r="C29" s="57" t="inlineStr">
        <is>
          <t>ITB-003_パスワード変更</t>
        </is>
      </c>
      <c r="D29" s="57" t="inlineStr">
        <is>
          <t>ITB-003_パスワード変更-002</t>
        </is>
      </c>
      <c r="E29" s="57" t="inlineStr">
        <is>
          <t>2025/12/24</t>
        </is>
      </c>
      <c r="F29" s="57" t="inlineStr">
        <is>
          <t>2025/12/25</t>
        </is>
      </c>
      <c r="G29" s="57" t="inlineStr">
        <is>
          <t>2025/12/27</t>
        </is>
      </c>
      <c r="H29" s="66" t="inlineStr">
        <is>
          <t>未完了</t>
        </is>
      </c>
    </row>
    <row r="30">
      <c r="A30" s="57" t="n">
        <v>20</v>
      </c>
      <c r="B30" s="57" t="inlineStr">
        <is>
          <t>オンライン</t>
        </is>
      </c>
      <c r="C30" s="57" t="inlineStr">
        <is>
          <t>ITB-003_パスワード変更</t>
        </is>
      </c>
      <c r="D30" s="57" t="inlineStr">
        <is>
          <t>ITB-003_パスワード変更-003</t>
        </is>
      </c>
      <c r="E30" s="57" t="inlineStr">
        <is>
          <t>2026/01/04</t>
        </is>
      </c>
      <c r="F30" s="57" t="inlineStr">
        <is>
          <t>2026/01/06</t>
        </is>
      </c>
      <c r="G30" s="57" t="inlineStr">
        <is>
          <t>2026/01/05</t>
        </is>
      </c>
      <c r="H30" s="66" t="inlineStr">
        <is>
          <t>未完了</t>
        </is>
      </c>
    </row>
    <row r="31">
      <c r="A31" s="57" t="n">
        <v>21</v>
      </c>
      <c r="B31" s="57" t="inlineStr">
        <is>
          <t>オンライン</t>
        </is>
      </c>
      <c r="C31" s="57" t="inlineStr">
        <is>
          <t>ITB-001_ユーザー登録</t>
        </is>
      </c>
      <c r="D31" s="57" t="inlineStr">
        <is>
          <t>ITB-001_ユーザー登録-002</t>
        </is>
      </c>
      <c r="E31" s="57" t="inlineStr">
        <is>
          <t>2025/12/27</t>
        </is>
      </c>
      <c r="F31" s="66" t="inlineStr">
        <is>
          <t>未完了</t>
        </is>
      </c>
      <c r="G31" s="57" t="inlineStr">
        <is>
          <t>2025/12/28</t>
        </is>
      </c>
      <c r="H31" s="66" t="inlineStr">
        <is>
          <t>未完了</t>
        </is>
      </c>
    </row>
    <row r="32">
      <c r="A32" s="57" t="n">
        <v>22</v>
      </c>
      <c r="B32" s="57" t="inlineStr">
        <is>
          <t>オンライン</t>
        </is>
      </c>
      <c r="C32" s="57" t="inlineStr">
        <is>
          <t>ITB-002_ユーザー編集</t>
        </is>
      </c>
      <c r="D32" s="57" t="inlineStr">
        <is>
          <t>ITB-002_ユーザー編集-001</t>
        </is>
      </c>
      <c r="E32" s="57" t="inlineStr">
        <is>
          <t>2025/12/13</t>
        </is>
      </c>
      <c r="F32" s="66" t="inlineStr">
        <is>
          <t>未完了</t>
        </is>
      </c>
      <c r="G32" s="57" t="inlineStr">
        <is>
          <t>2025/12/17</t>
        </is>
      </c>
      <c r="H32" s="66" t="inlineStr">
        <is>
          <t>未完了</t>
        </is>
      </c>
    </row>
    <row r="33">
      <c r="A33" s="57" t="n">
        <v>23</v>
      </c>
      <c r="B33" s="57" t="inlineStr">
        <is>
          <t>オンライン</t>
        </is>
      </c>
      <c r="C33" s="57" t="inlineStr">
        <is>
          <t>ITB-003_ユーザー削除</t>
        </is>
      </c>
      <c r="D33" s="57" t="inlineStr">
        <is>
          <t>ITB-003_ユーザー削除-001</t>
        </is>
      </c>
      <c r="E33" s="57" t="inlineStr">
        <is>
          <t>2025/12/19</t>
        </is>
      </c>
      <c r="F33" s="66" t="inlineStr">
        <is>
          <t>未完了</t>
        </is>
      </c>
      <c r="G33" s="57" t="inlineStr">
        <is>
          <t>2025/12/24</t>
        </is>
      </c>
      <c r="H33" s="66" t="inlineStr">
        <is>
          <t>未完了</t>
        </is>
      </c>
    </row>
    <row r="34">
      <c r="A34" s="57" t="n">
        <v>24</v>
      </c>
      <c r="B34" s="57" t="inlineStr">
        <is>
          <t>オンライン</t>
        </is>
      </c>
      <c r="C34" s="57" t="inlineStr">
        <is>
          <t>ITB-003_ユーザー削除</t>
        </is>
      </c>
      <c r="D34" s="57" t="inlineStr">
        <is>
          <t>ITB-003_ユーザー削除-005</t>
        </is>
      </c>
      <c r="E34" s="57" t="inlineStr">
        <is>
          <t>2026/02/13</t>
        </is>
      </c>
      <c r="F34" s="66" t="inlineStr">
        <is>
          <t>未完了</t>
        </is>
      </c>
      <c r="G34" s="57" t="inlineStr">
        <is>
          <t>2026/02/14</t>
        </is>
      </c>
      <c r="H34" s="66" t="inlineStr">
        <is>
          <t>未完了</t>
        </is>
      </c>
    </row>
    <row r="35">
      <c r="A35" s="57" t="n">
        <v>25</v>
      </c>
      <c r="B35" s="57" t="inlineStr">
        <is>
          <t>オンライン</t>
        </is>
      </c>
      <c r="C35" s="57" t="inlineStr">
        <is>
          <t>ITB-003_ユーザー削除</t>
        </is>
      </c>
      <c r="D35" s="57" t="inlineStr">
        <is>
          <t>ITB-003_ユーザー削除-006</t>
        </is>
      </c>
      <c r="E35" s="57" t="inlineStr">
        <is>
          <t>2026/03/06</t>
        </is>
      </c>
      <c r="F35" s="66" t="inlineStr">
        <is>
          <t>未完了</t>
        </is>
      </c>
      <c r="G35" s="57" t="inlineStr">
        <is>
          <t>2026/03/09</t>
        </is>
      </c>
      <c r="H35" s="66" t="inlineStr">
        <is>
          <t>未完了</t>
        </is>
      </c>
    </row>
    <row r="36">
      <c r="A36" s="57" t="n">
        <v>26</v>
      </c>
      <c r="B36" s="57" t="inlineStr">
        <is>
          <t>オンライン</t>
        </is>
      </c>
      <c r="C36" s="57" t="inlineStr">
        <is>
          <t>ITB-001_商品検索</t>
        </is>
      </c>
      <c r="D36" s="57" t="inlineStr">
        <is>
          <t>ITB-001_商品検索-002</t>
        </is>
      </c>
      <c r="E36" s="57" t="inlineStr">
        <is>
          <t>2025/12/24</t>
        </is>
      </c>
      <c r="F36" s="57" t="inlineStr">
        <is>
          <t>2025/12/27</t>
        </is>
      </c>
      <c r="G36" s="57" t="inlineStr">
        <is>
          <t>2025/12/25</t>
        </is>
      </c>
      <c r="H36" s="66" t="inlineStr">
        <is>
          <t>未完了</t>
        </is>
      </c>
    </row>
    <row r="37">
      <c r="A37" s="57" t="n">
        <v>27</v>
      </c>
      <c r="B37" s="57" t="inlineStr">
        <is>
          <t>オンライン</t>
        </is>
      </c>
      <c r="C37" s="57" t="inlineStr">
        <is>
          <t>ITB-001_商品検索</t>
        </is>
      </c>
      <c r="D37" s="57" t="inlineStr">
        <is>
          <t>ITB-001_商品検索-009</t>
        </is>
      </c>
      <c r="E37" s="57" t="inlineStr">
        <is>
          <t>2026/02/24</t>
        </is>
      </c>
      <c r="F37" s="57" t="inlineStr">
        <is>
          <t>2026/02/26</t>
        </is>
      </c>
      <c r="G37" s="57" t="inlineStr">
        <is>
          <t>2026/02/26</t>
        </is>
      </c>
      <c r="H37" s="66" t="inlineStr">
        <is>
          <t>未完了</t>
        </is>
      </c>
    </row>
    <row r="38">
      <c r="A38" s="57" t="n">
        <v>28</v>
      </c>
      <c r="B38" s="57" t="inlineStr">
        <is>
          <t>オンライン</t>
        </is>
      </c>
      <c r="C38" s="57" t="inlineStr">
        <is>
          <t>ITB-002_注文検索</t>
        </is>
      </c>
      <c r="D38" s="57" t="inlineStr">
        <is>
          <t>ITB-002_注文検索-002</t>
        </is>
      </c>
      <c r="E38" s="57" t="inlineStr">
        <is>
          <t>2025/12/21</t>
        </is>
      </c>
      <c r="F38" s="57" t="inlineStr">
        <is>
          <t>2025/12/24</t>
        </is>
      </c>
      <c r="G38" s="57" t="inlineStr">
        <is>
          <t>2025/12/24</t>
        </is>
      </c>
      <c r="H38" s="66" t="inlineStr">
        <is>
          <t>未完了</t>
        </is>
      </c>
    </row>
    <row r="39">
      <c r="A39" s="57" t="n">
        <v>29</v>
      </c>
      <c r="B39" s="57" t="inlineStr">
        <is>
          <t>オンライン</t>
        </is>
      </c>
      <c r="C39" s="57" t="inlineStr">
        <is>
          <t>ITB-002_注文検索</t>
        </is>
      </c>
      <c r="D39" s="57" t="inlineStr">
        <is>
          <t>ITB-002_注文検索-003</t>
        </is>
      </c>
      <c r="E39" s="57" t="inlineStr">
        <is>
          <t>2025/12/30</t>
        </is>
      </c>
      <c r="F39" s="66" t="inlineStr">
        <is>
          <t>未完了</t>
        </is>
      </c>
      <c r="G39" s="57" t="inlineStr">
        <is>
          <t>2026/01/03</t>
        </is>
      </c>
      <c r="H39" s="66" t="inlineStr">
        <is>
          <t>未完了</t>
        </is>
      </c>
    </row>
    <row r="40">
      <c r="A40" s="57" t="n">
        <v>30</v>
      </c>
      <c r="B40" s="57" t="inlineStr">
        <is>
          <t>オンライン</t>
        </is>
      </c>
      <c r="C40" s="57" t="inlineStr">
        <is>
          <t>ITB-002_注文検索</t>
        </is>
      </c>
      <c r="D40" s="57" t="inlineStr">
        <is>
          <t>ITB-002_注文検索-007</t>
        </is>
      </c>
      <c r="E40" s="57" t="inlineStr">
        <is>
          <t>2026/02/06</t>
        </is>
      </c>
      <c r="F40" s="66" t="inlineStr">
        <is>
          <t>未完了</t>
        </is>
      </c>
      <c r="G40" s="57" t="inlineStr">
        <is>
          <t>2026/02/11</t>
        </is>
      </c>
      <c r="H40" s="66" t="inlineStr">
        <is>
          <t>未完了</t>
        </is>
      </c>
    </row>
    <row r="41">
      <c r="A41" s="57" t="n">
        <v>31</v>
      </c>
      <c r="B41" s="57" t="inlineStr">
        <is>
          <t>オンライン</t>
        </is>
      </c>
      <c r="C41" s="57" t="inlineStr">
        <is>
          <t>ITB-002_注文検索</t>
        </is>
      </c>
      <c r="D41" s="57" t="inlineStr">
        <is>
          <t>ITB-002_注文検索-010</t>
        </is>
      </c>
      <c r="E41" s="57" t="inlineStr">
        <is>
          <t>2026/02/24</t>
        </is>
      </c>
      <c r="F41" s="57" t="inlineStr">
        <is>
          <t>2026/02/27</t>
        </is>
      </c>
      <c r="G41" s="57" t="inlineStr">
        <is>
          <t>2026/02/26</t>
        </is>
      </c>
      <c r="H41" s="66" t="inlineStr">
        <is>
          <t>未完了</t>
        </is>
      </c>
    </row>
    <row r="42">
      <c r="A42" s="57" t="n">
        <v>32</v>
      </c>
      <c r="B42" s="57" t="inlineStr">
        <is>
          <t>オンライン</t>
        </is>
      </c>
      <c r="C42" s="57" t="inlineStr">
        <is>
          <t>ITB-001_カート追加</t>
        </is>
      </c>
      <c r="D42" s="57" t="inlineStr">
        <is>
          <t>ITB-001_カート追加-002</t>
        </is>
      </c>
      <c r="E42" s="57" t="inlineStr">
        <is>
          <t>2026/01/10</t>
        </is>
      </c>
      <c r="F42" s="66" t="inlineStr">
        <is>
          <t>未完了</t>
        </is>
      </c>
      <c r="G42" s="57" t="inlineStr">
        <is>
          <t>2026/01/11</t>
        </is>
      </c>
      <c r="H42" s="66" t="inlineStr">
        <is>
          <t>未完了</t>
        </is>
      </c>
    </row>
    <row r="43">
      <c r="A43" s="57" t="n">
        <v>33</v>
      </c>
      <c r="B43" s="57" t="inlineStr">
        <is>
          <t>オンライン</t>
        </is>
      </c>
      <c r="C43" s="57" t="inlineStr">
        <is>
          <t>ITB-001_カート追加</t>
        </is>
      </c>
      <c r="D43" s="57" t="inlineStr">
        <is>
          <t>ITB-001_カート追加-004</t>
        </is>
      </c>
      <c r="E43" s="57" t="inlineStr">
        <is>
          <t>2026/02/15</t>
        </is>
      </c>
      <c r="F43" s="66" t="inlineStr">
        <is>
          <t>未完了</t>
        </is>
      </c>
      <c r="G43" s="57" t="inlineStr">
        <is>
          <t>2026/02/20</t>
        </is>
      </c>
      <c r="H43" s="66" t="inlineStr">
        <is>
          <t>未完了</t>
        </is>
      </c>
    </row>
    <row r="44">
      <c r="A44" s="57" t="n">
        <v>34</v>
      </c>
      <c r="B44" s="57" t="inlineStr">
        <is>
          <t>オンライン</t>
        </is>
      </c>
      <c r="C44" s="57" t="inlineStr">
        <is>
          <t>ITB-001_カート追加</t>
        </is>
      </c>
      <c r="D44" s="57" t="inlineStr">
        <is>
          <t>ITB-001_カート追加-005</t>
        </is>
      </c>
      <c r="E44" s="57" t="inlineStr">
        <is>
          <t>2026/03/06</t>
        </is>
      </c>
      <c r="F44" s="66" t="inlineStr">
        <is>
          <t>未完了</t>
        </is>
      </c>
      <c r="G44" s="57" t="inlineStr">
        <is>
          <t>2026/03/07</t>
        </is>
      </c>
      <c r="H44" s="66" t="inlineStr">
        <is>
          <t>未完了</t>
        </is>
      </c>
    </row>
    <row r="45">
      <c r="A45" s="57" t="n">
        <v>35</v>
      </c>
      <c r="B45" s="57" t="inlineStr">
        <is>
          <t>オンライン</t>
        </is>
      </c>
      <c r="C45" s="57" t="inlineStr">
        <is>
          <t>ITB-002_カート編集</t>
        </is>
      </c>
      <c r="D45" s="57" t="inlineStr">
        <is>
          <t>ITB-002_カート編集-001</t>
        </is>
      </c>
      <c r="E45" s="57" t="inlineStr">
        <is>
          <t>2025/12/14</t>
        </is>
      </c>
      <c r="F45" s="66" t="inlineStr">
        <is>
          <t>未完了</t>
        </is>
      </c>
      <c r="G45" s="57" t="inlineStr">
        <is>
          <t>2025/12/16</t>
        </is>
      </c>
      <c r="H45" s="66" t="inlineStr">
        <is>
          <t>未完了</t>
        </is>
      </c>
    </row>
    <row r="46">
      <c r="A46" s="57" t="n">
        <v>36</v>
      </c>
      <c r="B46" s="57" t="inlineStr">
        <is>
          <t>オンライン</t>
        </is>
      </c>
      <c r="C46" s="57" t="inlineStr">
        <is>
          <t>ITB-003_カート削除</t>
        </is>
      </c>
      <c r="D46" s="57" t="inlineStr">
        <is>
          <t>ITB-003_カート削除-005</t>
        </is>
      </c>
      <c r="E46" s="57" t="inlineStr">
        <is>
          <t>2026/03/03</t>
        </is>
      </c>
      <c r="F46" s="57" t="inlineStr">
        <is>
          <t>2026/03/03</t>
        </is>
      </c>
      <c r="G46" s="57" t="inlineStr">
        <is>
          <t>2026/03/08</t>
        </is>
      </c>
      <c r="H46" s="66" t="inlineStr">
        <is>
          <t>未完了</t>
        </is>
      </c>
    </row>
    <row r="47">
      <c r="A47" s="57" t="n">
        <v>37</v>
      </c>
      <c r="B47" s="57" t="inlineStr">
        <is>
          <t>オンライン</t>
        </is>
      </c>
      <c r="C47" s="57" t="inlineStr">
        <is>
          <t>ITB-001_マクロテスト</t>
        </is>
      </c>
      <c r="D47" s="57" t="inlineStr">
        <is>
          <t>ITB-001_マクロテスト-003</t>
        </is>
      </c>
      <c r="E47" s="57" t="inlineStr">
        <is>
          <t>2026/02/27</t>
        </is>
      </c>
      <c r="F47" s="57" t="inlineStr">
        <is>
          <t>2026/03/01</t>
        </is>
      </c>
      <c r="G47" s="57" t="inlineStr">
        <is>
          <t>2026/03/04</t>
        </is>
      </c>
      <c r="H47" s="66" t="inlineStr">
        <is>
          <t>未完了</t>
        </is>
      </c>
    </row>
    <row r="48">
      <c r="A48" s="57" t="n">
        <v>38</v>
      </c>
      <c r="B48" s="57" t="inlineStr">
        <is>
          <t>オンライン</t>
        </is>
      </c>
      <c r="C48" s="57" t="inlineStr">
        <is>
          <t>ITB-001_マクロテスト</t>
        </is>
      </c>
      <c r="D48" s="57" t="inlineStr">
        <is>
          <t>ITB-001_マクロテスト-004</t>
        </is>
      </c>
      <c r="E48" s="57" t="inlineStr">
        <is>
          <t>2026/03/01</t>
        </is>
      </c>
      <c r="F48" s="66" t="inlineStr">
        <is>
          <t>未完了</t>
        </is>
      </c>
      <c r="G48" s="57" t="inlineStr">
        <is>
          <t>2026/03/06</t>
        </is>
      </c>
      <c r="H48" s="66" t="inlineStr">
        <is>
          <t>未完了</t>
        </is>
      </c>
    </row>
    <row r="49">
      <c r="A49" s="57" t="n">
        <v>39</v>
      </c>
      <c r="B49" s="57" t="inlineStr">
        <is>
          <t>オンライン</t>
        </is>
      </c>
      <c r="C49" s="57" t="inlineStr">
        <is>
          <t>ITB-001_マクロテスト</t>
        </is>
      </c>
      <c r="D49" s="57" t="inlineStr">
        <is>
          <t>ITB-001_マクロテスト-005</t>
        </is>
      </c>
      <c r="E49" s="57" t="inlineStr">
        <is>
          <t>2026/03/03</t>
        </is>
      </c>
      <c r="F49" s="66" t="inlineStr">
        <is>
          <t>未完了</t>
        </is>
      </c>
      <c r="G49" s="57" t="inlineStr">
        <is>
          <t>2026/03/08</t>
        </is>
      </c>
      <c r="H49" s="66" t="inlineStr">
        <is>
          <t>未完了</t>
        </is>
      </c>
    </row>
    <row r="50">
      <c r="A50" s="57" t="n">
        <v>40</v>
      </c>
      <c r="B50" s="57" t="inlineStr">
        <is>
          <t>その他</t>
        </is>
      </c>
      <c r="C50" s="57" t="inlineStr">
        <is>
          <t>ITB-001_帳票出力</t>
        </is>
      </c>
      <c r="D50" s="57" t="inlineStr">
        <is>
          <t>ITB-001_帳票出力-002</t>
        </is>
      </c>
      <c r="E50" s="57" t="inlineStr">
        <is>
          <t>2026/01/14</t>
        </is>
      </c>
      <c r="F50" s="66" t="inlineStr">
        <is>
          <t>未完了</t>
        </is>
      </c>
      <c r="G50" s="57" t="inlineStr">
        <is>
          <t>2026/01/18</t>
        </is>
      </c>
      <c r="H50" s="66" t="inlineStr">
        <is>
          <t>未完了</t>
        </is>
      </c>
    </row>
    <row r="51">
      <c r="A51" s="57" t="n">
        <v>41</v>
      </c>
      <c r="B51" s="57" t="inlineStr">
        <is>
          <t>その他</t>
        </is>
      </c>
      <c r="C51" s="57" t="inlineStr">
        <is>
          <t>ITB-001_帳票出力</t>
        </is>
      </c>
      <c r="D51" s="57" t="inlineStr">
        <is>
          <t>ITB-001_帳票出力-004</t>
        </is>
      </c>
      <c r="E51" s="57" t="inlineStr">
        <is>
          <t>2026/02/28</t>
        </is>
      </c>
      <c r="F51" s="57" t="inlineStr">
        <is>
          <t>2026/02/26</t>
        </is>
      </c>
      <c r="G51" s="57" t="inlineStr">
        <is>
          <t>2026/03/05</t>
        </is>
      </c>
      <c r="H51" s="66" t="inlineStr">
        <is>
          <t>未完了</t>
        </is>
      </c>
    </row>
    <row r="52">
      <c r="A52" s="57" t="n">
        <v>42</v>
      </c>
      <c r="B52" s="57" t="inlineStr">
        <is>
          <t>その他</t>
        </is>
      </c>
      <c r="C52" s="57" t="inlineStr">
        <is>
          <t>ITB-001_API連携</t>
        </is>
      </c>
      <c r="D52" s="57" t="inlineStr">
        <is>
          <t>ITB-001_API連携-002</t>
        </is>
      </c>
      <c r="E52" s="57" t="inlineStr">
        <is>
          <t>2026/02/16</t>
        </is>
      </c>
      <c r="F52" s="57" t="inlineStr">
        <is>
          <t>2026/02/18</t>
        </is>
      </c>
      <c r="G52" s="57" t="inlineStr">
        <is>
          <t>2026/02/20</t>
        </is>
      </c>
      <c r="H52" s="66" t="inlineStr">
        <is>
          <t>未完了</t>
        </is>
      </c>
    </row>
    <row r="53">
      <c r="A53" s="57" t="n">
        <v>43</v>
      </c>
      <c r="B53" s="57" t="inlineStr">
        <is>
          <t>運用</t>
        </is>
      </c>
      <c r="C53" s="57" t="inlineStr">
        <is>
          <t>ITB-001_死活監視</t>
        </is>
      </c>
      <c r="D53" s="57" t="inlineStr">
        <is>
          <t>ITB-001_死活監視-001</t>
        </is>
      </c>
      <c r="E53" s="57" t="inlineStr">
        <is>
          <t>2025/12/14</t>
        </is>
      </c>
      <c r="F53" s="66" t="inlineStr">
        <is>
          <t>未完了</t>
        </is>
      </c>
      <c r="G53" s="57" t="inlineStr">
        <is>
          <t>2025/12/16</t>
        </is>
      </c>
      <c r="H53" s="66" t="inlineStr">
        <is>
          <t>未完了</t>
        </is>
      </c>
    </row>
    <row r="54">
      <c r="A54" s="57" t="n">
        <v>44</v>
      </c>
      <c r="B54" s="57" t="inlineStr">
        <is>
          <t>運用</t>
        </is>
      </c>
      <c r="C54" s="57" t="inlineStr">
        <is>
          <t>ITB-001_死活監視</t>
        </is>
      </c>
      <c r="D54" s="57" t="inlineStr">
        <is>
          <t>ITB-001_死活監視-005</t>
        </is>
      </c>
      <c r="E54" s="57" t="inlineStr">
        <is>
          <t>2026/03/03</t>
        </is>
      </c>
      <c r="F54" s="66" t="inlineStr">
        <is>
          <t>未完了</t>
        </is>
      </c>
      <c r="G54" s="57" t="inlineStr">
        <is>
          <t>2026/03/05</t>
        </is>
      </c>
      <c r="H54" s="66" t="inlineStr">
        <is>
          <t>未完了</t>
        </is>
      </c>
    </row>
    <row r="55">
      <c r="A55" s="57" t="n">
        <v>45</v>
      </c>
      <c r="B55" s="57" t="inlineStr">
        <is>
          <t>運用</t>
        </is>
      </c>
      <c r="C55" s="57" t="inlineStr">
        <is>
          <t>ITB-002_性能監視</t>
        </is>
      </c>
      <c r="D55" s="57" t="inlineStr">
        <is>
          <t>ITB-002_性能監視-005</t>
        </is>
      </c>
      <c r="E55" s="57" t="inlineStr">
        <is>
          <t>2026/03/03</t>
        </is>
      </c>
      <c r="F55" s="57" t="inlineStr">
        <is>
          <t>2026/03/01</t>
        </is>
      </c>
      <c r="G55" s="57" t="inlineStr">
        <is>
          <t>2026/03/08</t>
        </is>
      </c>
      <c r="H55" s="66" t="inlineStr">
        <is>
          <t>未完了</t>
        </is>
      </c>
    </row>
    <row r="56">
      <c r="A56" s="57" t="n">
        <v>46</v>
      </c>
      <c r="B56" s="57" t="inlineStr">
        <is>
          <t>運用</t>
        </is>
      </c>
      <c r="C56" s="57" t="inlineStr">
        <is>
          <t>ITB-003_アラート通知</t>
        </is>
      </c>
      <c r="D56" s="57" t="inlineStr">
        <is>
          <t>ITB-003_アラート通知-003</t>
        </is>
      </c>
      <c r="E56" s="57" t="inlineStr">
        <is>
          <t>2026/01/19</t>
        </is>
      </c>
      <c r="F56" s="66" t="inlineStr">
        <is>
          <t>未完了</t>
        </is>
      </c>
      <c r="G56" s="57" t="inlineStr">
        <is>
          <t>2026/01/21</t>
        </is>
      </c>
      <c r="H56" s="66" t="inlineStr">
        <is>
          <t>未完了</t>
        </is>
      </c>
    </row>
    <row r="57">
      <c r="A57" s="57" t="n">
        <v>47</v>
      </c>
      <c r="B57" s="57" t="inlineStr">
        <is>
          <t>運用</t>
        </is>
      </c>
      <c r="C57" s="57" t="inlineStr">
        <is>
          <t>ITB-003_アラート通知</t>
        </is>
      </c>
      <c r="D57" s="57" t="inlineStr">
        <is>
          <t>ITB-003_アラート通知-004</t>
        </is>
      </c>
      <c r="E57" s="57" t="inlineStr">
        <is>
          <t>2026/02/11</t>
        </is>
      </c>
      <c r="F57" s="66" t="inlineStr">
        <is>
          <t>未完了</t>
        </is>
      </c>
      <c r="G57" s="57" t="inlineStr">
        <is>
          <t>2026/02/14</t>
        </is>
      </c>
      <c r="H57" s="66" t="inlineStr">
        <is>
          <t>未完了</t>
        </is>
      </c>
    </row>
    <row r="58">
      <c r="A58" s="57" t="n">
        <v>48</v>
      </c>
      <c r="B58" s="57" t="inlineStr">
        <is>
          <t>運用</t>
        </is>
      </c>
      <c r="C58" s="57" t="inlineStr">
        <is>
          <t>ITB-003_メンテナンス</t>
        </is>
      </c>
      <c r="D58" s="57" t="inlineStr">
        <is>
          <t>ITB-003_メンテナンス-001</t>
        </is>
      </c>
      <c r="E58" s="57" t="inlineStr">
        <is>
          <t>2026/01/04</t>
        </is>
      </c>
      <c r="F58" s="57" t="inlineStr">
        <is>
          <t>2026/01/02</t>
        </is>
      </c>
      <c r="G58" s="57" t="inlineStr">
        <is>
          <t>2026/01/07</t>
        </is>
      </c>
      <c r="H58" s="66" t="inlineStr">
        <is>
          <t>未完了</t>
        </is>
      </c>
    </row>
    <row r="59">
      <c r="A59" s="57" t="n">
        <v>49</v>
      </c>
      <c r="B59" s="57" t="inlineStr">
        <is>
          <t>運用</t>
        </is>
      </c>
      <c r="C59" s="57" t="inlineStr">
        <is>
          <t>ITB-003_メンテナンス</t>
        </is>
      </c>
      <c r="D59" s="57" t="inlineStr">
        <is>
          <t>ITB-003_メンテナンス-003</t>
        </is>
      </c>
      <c r="E59" s="57" t="inlineStr">
        <is>
          <t>2026/03/03</t>
        </is>
      </c>
      <c r="F59" s="57" t="inlineStr">
        <is>
          <t>2026/03/03</t>
        </is>
      </c>
      <c r="G59" s="57" t="inlineStr">
        <is>
          <t>2026/03/06</t>
        </is>
      </c>
      <c r="H59" s="66" t="inlineStr">
        <is>
          <t>未完了</t>
        </is>
      </c>
    </row>
    <row r="60">
      <c r="A60" s="57" t="n">
        <v>50</v>
      </c>
      <c r="B60" s="57" t="inlineStr">
        <is>
          <t>基盤</t>
        </is>
      </c>
      <c r="C60" s="57" t="inlineStr">
        <is>
          <t>ITB-001_SSO</t>
        </is>
      </c>
      <c r="D60" s="57" t="inlineStr">
        <is>
          <t>ITB-001_SSO-003</t>
        </is>
      </c>
      <c r="E60" s="57" t="inlineStr">
        <is>
          <t>2026/01/11</t>
        </is>
      </c>
      <c r="F60" s="57" t="inlineStr">
        <is>
          <t>2026/01/12</t>
        </is>
      </c>
      <c r="G60" s="57" t="inlineStr">
        <is>
          <t>2026/01/15</t>
        </is>
      </c>
      <c r="H60" s="66" t="inlineStr">
        <is>
          <t>未完了</t>
        </is>
      </c>
    </row>
    <row r="61">
      <c r="A61" s="57" t="n">
        <v>51</v>
      </c>
      <c r="B61" s="57" t="inlineStr">
        <is>
          <t>基盤</t>
        </is>
      </c>
      <c r="C61" s="57" t="inlineStr">
        <is>
          <t>ITB-001_SSO</t>
        </is>
      </c>
      <c r="D61" s="57" t="inlineStr">
        <is>
          <t>ITB-001_SSO-005</t>
        </is>
      </c>
      <c r="E61" s="57" t="inlineStr">
        <is>
          <t>2026/02/17</t>
        </is>
      </c>
      <c r="F61" s="57" t="inlineStr">
        <is>
          <t>2026/02/16</t>
        </is>
      </c>
      <c r="G61" s="57" t="inlineStr">
        <is>
          <t>2026/02/18</t>
        </is>
      </c>
      <c r="H61" s="66" t="inlineStr">
        <is>
          <t>未完了</t>
        </is>
      </c>
    </row>
    <row r="62">
      <c r="A62" s="57" t="n">
        <v>52</v>
      </c>
      <c r="B62" s="57" t="inlineStr">
        <is>
          <t>基盤</t>
        </is>
      </c>
      <c r="C62" s="57" t="inlineStr">
        <is>
          <t>ITB-003_権限制御</t>
        </is>
      </c>
      <c r="D62" s="57" t="inlineStr">
        <is>
          <t>ITB-003_権限制御-001</t>
        </is>
      </c>
      <c r="E62" s="57" t="inlineStr">
        <is>
          <t>2025/12/12</t>
        </is>
      </c>
      <c r="F62" s="66" t="inlineStr">
        <is>
          <t>未完了</t>
        </is>
      </c>
      <c r="G62" s="57" t="inlineStr">
        <is>
          <t>2025/12/14</t>
        </is>
      </c>
      <c r="H62" s="66" t="inlineStr">
        <is>
          <t>未完了</t>
        </is>
      </c>
    </row>
    <row r="63">
      <c r="A63" s="57" t="n">
        <v>53</v>
      </c>
      <c r="B63" s="57" t="inlineStr">
        <is>
          <t>基盤</t>
        </is>
      </c>
      <c r="C63" s="57" t="inlineStr">
        <is>
          <t>ITB-003_権限制御</t>
        </is>
      </c>
      <c r="D63" s="57" t="inlineStr">
        <is>
          <t>ITB-003_権限制御-002</t>
        </is>
      </c>
      <c r="E63" s="57" t="inlineStr">
        <is>
          <t>2025/12/28</t>
        </is>
      </c>
      <c r="F63" s="57" t="inlineStr">
        <is>
          <t>2025/12/30</t>
        </is>
      </c>
      <c r="G63" s="57" t="inlineStr">
        <is>
          <t>2026/01/01</t>
        </is>
      </c>
      <c r="H63" s="66" t="inlineStr">
        <is>
          <t>未完了</t>
        </is>
      </c>
    </row>
    <row r="64">
      <c r="A64" s="57" t="n">
        <v>54</v>
      </c>
      <c r="B64" s="57" t="inlineStr">
        <is>
          <t>基盤</t>
        </is>
      </c>
      <c r="C64" s="57" t="inlineStr">
        <is>
          <t>ITB-003_権限制御</t>
        </is>
      </c>
      <c r="D64" s="57" t="inlineStr">
        <is>
          <t>ITB-003_権限制御-005</t>
        </is>
      </c>
      <c r="E64" s="57" t="inlineStr">
        <is>
          <t>2026/02/11</t>
        </is>
      </c>
      <c r="F64" s="57" t="inlineStr">
        <is>
          <t>2026/02/09</t>
        </is>
      </c>
      <c r="G64" s="57" t="inlineStr">
        <is>
          <t>2026/02/15</t>
        </is>
      </c>
      <c r="H64" s="66" t="inlineStr">
        <is>
          <t>未完了</t>
        </is>
      </c>
    </row>
    <row r="65">
      <c r="A65" s="57" t="n">
        <v>55</v>
      </c>
      <c r="B65" s="57" t="inlineStr">
        <is>
          <t>基盤</t>
        </is>
      </c>
      <c r="C65" s="57" t="inlineStr">
        <is>
          <t>ITB-003_権限制御</t>
        </is>
      </c>
      <c r="D65" s="57" t="inlineStr">
        <is>
          <t>ITB-003_権限制御-006</t>
        </is>
      </c>
      <c r="E65" s="57" t="inlineStr">
        <is>
          <t>2026/03/06</t>
        </is>
      </c>
      <c r="F65" s="66" t="inlineStr">
        <is>
          <t>未完了</t>
        </is>
      </c>
      <c r="G65" s="57" t="inlineStr">
        <is>
          <t>2026/03/08</t>
        </is>
      </c>
      <c r="H65" s="66" t="inlineStr">
        <is>
          <t>未完了</t>
        </is>
      </c>
    </row>
    <row r="66">
      <c r="A66" s="57" t="n">
        <v>56</v>
      </c>
      <c r="B66" s="57" t="inlineStr">
        <is>
          <t>基盤</t>
        </is>
      </c>
      <c r="C66" s="57" t="inlineStr">
        <is>
          <t>ITB-001_アクセスログ</t>
        </is>
      </c>
      <c r="D66" s="57" t="inlineStr">
        <is>
          <t>ITB-001_アクセスログ-004</t>
        </is>
      </c>
      <c r="E66" s="57" t="inlineStr">
        <is>
          <t>2026/03/06</t>
        </is>
      </c>
      <c r="F66" s="66" t="inlineStr">
        <is>
          <t>未完了</t>
        </is>
      </c>
      <c r="G66" s="57" t="inlineStr">
        <is>
          <t>2026/03/11</t>
        </is>
      </c>
      <c r="H66" s="57" t="inlineStr">
        <is>
          <t>未完了</t>
        </is>
      </c>
    </row>
    <row r="67">
      <c r="A67" s="57" t="n">
        <v>57</v>
      </c>
      <c r="B67" s="57" t="inlineStr">
        <is>
          <t>基盤</t>
        </is>
      </c>
      <c r="C67" s="57" t="inlineStr">
        <is>
          <t>ITB-002_エラーログ</t>
        </is>
      </c>
      <c r="D67" s="57" t="inlineStr">
        <is>
          <t>ITB-002_エラーログ-001</t>
        </is>
      </c>
      <c r="E67" s="57" t="inlineStr">
        <is>
          <t>2025/12/26</t>
        </is>
      </c>
      <c r="F67" s="66" t="inlineStr">
        <is>
          <t>未完了</t>
        </is>
      </c>
      <c r="G67" s="57" t="inlineStr">
        <is>
          <t>2025/12/27</t>
        </is>
      </c>
      <c r="H67" s="66" t="inlineStr">
        <is>
          <t>未完了</t>
        </is>
      </c>
    </row>
    <row r="68">
      <c r="A68" s="57" t="n">
        <v>58</v>
      </c>
      <c r="B68" s="57" t="inlineStr">
        <is>
          <t>基盤</t>
        </is>
      </c>
      <c r="C68" s="57" t="inlineStr">
        <is>
          <t>ITB-002_エラーログ</t>
        </is>
      </c>
      <c r="D68" s="57" t="inlineStr">
        <is>
          <t>ITB-002_エラーログ-002</t>
        </is>
      </c>
      <c r="E68" s="57" t="inlineStr">
        <is>
          <t>2026/01/11</t>
        </is>
      </c>
      <c r="F68" s="57" t="inlineStr">
        <is>
          <t>2026/01/13</t>
        </is>
      </c>
      <c r="G68" s="57" t="inlineStr">
        <is>
          <t>2026/01/16</t>
        </is>
      </c>
      <c r="H68" s="66" t="inlineStr">
        <is>
          <t>未完了</t>
        </is>
      </c>
    </row>
    <row r="69">
      <c r="A69" s="57" t="n">
        <v>59</v>
      </c>
      <c r="B69" s="57" t="inlineStr">
        <is>
          <t>基盤</t>
        </is>
      </c>
      <c r="C69" s="57" t="inlineStr">
        <is>
          <t>ITB-002_エラーログ</t>
        </is>
      </c>
      <c r="D69" s="57" t="inlineStr">
        <is>
          <t>ITB-002_エラーログ-004</t>
        </is>
      </c>
      <c r="E69" s="57" t="inlineStr">
        <is>
          <t>2026/02/27</t>
        </is>
      </c>
      <c r="F69" s="66" t="inlineStr">
        <is>
          <t>未完了</t>
        </is>
      </c>
      <c r="G69" s="57" t="inlineStr">
        <is>
          <t>2026/03/01</t>
        </is>
      </c>
      <c r="H69" s="66" t="inlineStr">
        <is>
          <t>未完了</t>
        </is>
      </c>
    </row>
    <row r="70">
      <c r="A70" s="57" t="n">
        <v>60</v>
      </c>
      <c r="B70" s="57" t="inlineStr">
        <is>
          <t>基盤</t>
        </is>
      </c>
      <c r="C70" s="57" t="inlineStr">
        <is>
          <t>ITB-003_監査ログ</t>
        </is>
      </c>
      <c r="D70" s="57" t="inlineStr">
        <is>
          <t>ITB-003_監査ログ-002</t>
        </is>
      </c>
      <c r="E70" s="57" t="inlineStr">
        <is>
          <t>2026/01/12</t>
        </is>
      </c>
      <c r="F70" s="57" t="inlineStr">
        <is>
          <t>2026/01/13</t>
        </is>
      </c>
      <c r="G70" s="57" t="inlineStr">
        <is>
          <t>2026/01/15</t>
        </is>
      </c>
      <c r="H70" s="66" t="inlineStr">
        <is>
          <t>未完了</t>
        </is>
      </c>
    </row>
    <row r="71">
      <c r="A71" s="57" t="n">
        <v>61</v>
      </c>
      <c r="B71" s="57" t="inlineStr">
        <is>
          <t>基盤</t>
        </is>
      </c>
      <c r="C71" s="57" t="inlineStr">
        <is>
          <t>ITB-003_監査ログ</t>
        </is>
      </c>
      <c r="D71" s="57" t="inlineStr">
        <is>
          <t>ITB-003_監査ログ-004</t>
        </is>
      </c>
      <c r="E71" s="57" t="inlineStr">
        <is>
          <t>2026/03/02</t>
        </is>
      </c>
      <c r="F71" s="57" t="inlineStr">
        <is>
          <t>2026/03/04</t>
        </is>
      </c>
      <c r="G71" s="57" t="inlineStr">
        <is>
          <t>2026/03/07</t>
        </is>
      </c>
      <c r="H71" s="66" t="inlineStr">
        <is>
          <t>未完了</t>
        </is>
      </c>
    </row>
  </sheetData>
  <mergeCells count="3">
    <mergeCell ref="A9:H9"/>
    <mergeCell ref="A4:H4"/>
    <mergeCell ref="A1:H1"/>
  </mergeCells>
  <conditionalFormatting sqref="B6">
    <cfRule type="expression" priority="1" dxfId="0">
      <formula>B6&gt;0</formula>
    </cfRule>
  </conditionalFormatting>
  <conditionalFormatting sqref="B7">
    <cfRule type="expression" priority="2" dxfId="0">
      <formula>B7&gt;0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B5797"/>
    <outlinePr summaryBelow="1" summaryRight="1"/>
    <pageSetUpPr/>
  </sheetPr>
  <dimension ref="A1:S19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テスト進捗サマリー（全体）</t>
        </is>
      </c>
    </row>
    <row r="2" ht="22" customHeight="1">
      <c r="A2" s="68" t="inlineStr">
        <is>
          <t>集計期間: 2025/12/07 ～ 2026/06/10 (186日間)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SUM(D6:D191)</f>
        <v/>
      </c>
      <c r="E5" s="91">
        <f>SUM(E6:E191)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SUM(K6:K191)</f>
        <v/>
      </c>
      <c r="L5" s="91">
        <f>SUM(L6:L191)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45998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COUNTIFS(明細!$F$5:$F$363,A6)</f>
        <v/>
      </c>
      <c r="E6" s="98">
        <f>COUNTIFS(明細!$G$5:$G$363,A6)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COUNTIFS(明細!$I$5:$I$363,A6)</f>
        <v/>
      </c>
      <c r="L6" s="98">
        <f>COUNTIFS(明細!$J$5:$J$363,A6)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45999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COUNTIFS(明細!$F$5:$F$363,A7)</f>
        <v/>
      </c>
      <c r="E7" s="98">
        <f>COUNTIFS(明細!$G$5:$G$363,A7)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COUNTIFS(明細!$I$5:$I$363,A7)</f>
        <v/>
      </c>
      <c r="L7" s="98">
        <f>COUNTIFS(明細!$J$5:$J$363,A7)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46000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COUNTIFS(明細!$F$5:$F$363,A8)</f>
        <v/>
      </c>
      <c r="E8" s="98">
        <f>COUNTIFS(明細!$G$5:$G$363,A8)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COUNTIFS(明細!$I$5:$I$363,A8)</f>
        <v/>
      </c>
      <c r="L8" s="98">
        <f>COUNTIFS(明細!$J$5:$J$363,A8)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46001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COUNTIFS(明細!$F$5:$F$363,A9)</f>
        <v/>
      </c>
      <c r="E9" s="98">
        <f>COUNTIFS(明細!$G$5:$G$363,A9)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COUNTIFS(明細!$I$5:$I$363,A9)</f>
        <v/>
      </c>
      <c r="L9" s="98">
        <f>COUNTIFS(明細!$J$5:$J$363,A9)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46002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COUNTIFS(明細!$F$5:$F$363,A10)</f>
        <v/>
      </c>
      <c r="E10" s="98">
        <f>COUNTIFS(明細!$G$5:$G$363,A10)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COUNTIFS(明細!$I$5:$I$363,A10)</f>
        <v/>
      </c>
      <c r="L10" s="98">
        <f>COUNTIFS(明細!$J$5:$J$363,A10)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46003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COUNTIFS(明細!$F$5:$F$363,A11)</f>
        <v/>
      </c>
      <c r="E11" s="98">
        <f>COUNTIFS(明細!$G$5:$G$363,A11)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COUNTIFS(明細!$I$5:$I$363,A11)</f>
        <v/>
      </c>
      <c r="L11" s="98">
        <f>COUNTIFS(明細!$J$5:$J$363,A11)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46004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COUNTIFS(明細!$F$5:$F$363,A12)</f>
        <v/>
      </c>
      <c r="E12" s="98">
        <f>COUNTIFS(明細!$G$5:$G$363,A12)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COUNTIFS(明細!$I$5:$I$363,A12)</f>
        <v/>
      </c>
      <c r="L12" s="98">
        <f>COUNTIFS(明細!$J$5:$J$363,A12)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46005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COUNTIFS(明細!$F$5:$F$363,A13)</f>
        <v/>
      </c>
      <c r="E13" s="98">
        <f>COUNTIFS(明細!$G$5:$G$363,A13)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COUNTIFS(明細!$I$5:$I$363,A13)</f>
        <v/>
      </c>
      <c r="L13" s="98">
        <f>COUNTIFS(明細!$J$5:$J$363,A13)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46006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COUNTIFS(明細!$F$5:$F$363,A14)</f>
        <v/>
      </c>
      <c r="E14" s="98">
        <f>COUNTIFS(明細!$G$5:$G$363,A14)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COUNTIFS(明細!$I$5:$I$363,A14)</f>
        <v/>
      </c>
      <c r="L14" s="98">
        <f>COUNTIFS(明細!$J$5:$J$363,A14)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46007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COUNTIFS(明細!$F$5:$F$363,A15)</f>
        <v/>
      </c>
      <c r="E15" s="98">
        <f>COUNTIFS(明細!$G$5:$G$363,A15)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COUNTIFS(明細!$I$5:$I$363,A15)</f>
        <v/>
      </c>
      <c r="L15" s="98">
        <f>COUNTIFS(明細!$J$5:$J$363,A15)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46008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COUNTIFS(明細!$F$5:$F$363,A16)</f>
        <v/>
      </c>
      <c r="E16" s="98">
        <f>COUNTIFS(明細!$G$5:$G$363,A16)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COUNTIFS(明細!$I$5:$I$363,A16)</f>
        <v/>
      </c>
      <c r="L16" s="98">
        <f>COUNTIFS(明細!$J$5:$J$363,A16)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46009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COUNTIFS(明細!$F$5:$F$363,A17)</f>
        <v/>
      </c>
      <c r="E17" s="98">
        <f>COUNTIFS(明細!$G$5:$G$363,A17)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COUNTIFS(明細!$I$5:$I$363,A17)</f>
        <v/>
      </c>
      <c r="L17" s="98">
        <f>COUNTIFS(明細!$J$5:$J$363,A17)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46010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COUNTIFS(明細!$F$5:$F$363,A18)</f>
        <v/>
      </c>
      <c r="E18" s="98">
        <f>COUNTIFS(明細!$G$5:$G$363,A18)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COUNTIFS(明細!$I$5:$I$363,A18)</f>
        <v/>
      </c>
      <c r="L18" s="98">
        <f>COUNTIFS(明細!$J$5:$J$363,A18)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46011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COUNTIFS(明細!$F$5:$F$363,A19)</f>
        <v/>
      </c>
      <c r="E19" s="98">
        <f>COUNTIFS(明細!$G$5:$G$363,A19)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COUNTIFS(明細!$I$5:$I$363,A19)</f>
        <v/>
      </c>
      <c r="L19" s="98">
        <f>COUNTIFS(明細!$J$5:$J$363,A19)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46012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COUNTIFS(明細!$F$5:$F$363,A20)</f>
        <v/>
      </c>
      <c r="E20" s="98">
        <f>COUNTIFS(明細!$G$5:$G$363,A20)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COUNTIFS(明細!$I$5:$I$363,A20)</f>
        <v/>
      </c>
      <c r="L20" s="98">
        <f>COUNTIFS(明細!$J$5:$J$363,A20)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46013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COUNTIFS(明細!$F$5:$F$363,A21)</f>
        <v/>
      </c>
      <c r="E21" s="98">
        <f>COUNTIFS(明細!$G$5:$G$363,A21)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COUNTIFS(明細!$I$5:$I$363,A21)</f>
        <v/>
      </c>
      <c r="L21" s="98">
        <f>COUNTIFS(明細!$J$5:$J$363,A21)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46014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COUNTIFS(明細!$F$5:$F$363,A22)</f>
        <v/>
      </c>
      <c r="E22" s="98">
        <f>COUNTIFS(明細!$G$5:$G$363,A22)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COUNTIFS(明細!$I$5:$I$363,A22)</f>
        <v/>
      </c>
      <c r="L22" s="98">
        <f>COUNTIFS(明細!$J$5:$J$363,A22)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46015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COUNTIFS(明細!$F$5:$F$363,A23)</f>
        <v/>
      </c>
      <c r="E23" s="98">
        <f>COUNTIFS(明細!$G$5:$G$363,A23)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COUNTIFS(明細!$I$5:$I$363,A23)</f>
        <v/>
      </c>
      <c r="L23" s="98">
        <f>COUNTIFS(明細!$J$5:$J$363,A23)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46016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COUNTIFS(明細!$F$5:$F$363,A24)</f>
        <v/>
      </c>
      <c r="E24" s="98">
        <f>COUNTIFS(明細!$G$5:$G$363,A24)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COUNTIFS(明細!$I$5:$I$363,A24)</f>
        <v/>
      </c>
      <c r="L24" s="98">
        <f>COUNTIFS(明細!$J$5:$J$363,A24)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46017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COUNTIFS(明細!$F$5:$F$363,A25)</f>
        <v/>
      </c>
      <c r="E25" s="98">
        <f>COUNTIFS(明細!$G$5:$G$363,A25)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COUNTIFS(明細!$I$5:$I$363,A25)</f>
        <v/>
      </c>
      <c r="L25" s="98">
        <f>COUNTIFS(明細!$J$5:$J$363,A25)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46018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COUNTIFS(明細!$F$5:$F$363,A26)</f>
        <v/>
      </c>
      <c r="E26" s="98">
        <f>COUNTIFS(明細!$G$5:$G$363,A26)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COUNTIFS(明細!$I$5:$I$363,A26)</f>
        <v/>
      </c>
      <c r="L26" s="98">
        <f>COUNTIFS(明細!$J$5:$J$363,A26)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46019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COUNTIFS(明細!$F$5:$F$363,A27)</f>
        <v/>
      </c>
      <c r="E27" s="98">
        <f>COUNTIFS(明細!$G$5:$G$363,A27)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COUNTIFS(明細!$I$5:$I$363,A27)</f>
        <v/>
      </c>
      <c r="L27" s="98">
        <f>COUNTIFS(明細!$J$5:$J$363,A27)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46020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COUNTIFS(明細!$F$5:$F$363,A28)</f>
        <v/>
      </c>
      <c r="E28" s="98">
        <f>COUNTIFS(明細!$G$5:$G$363,A28)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COUNTIFS(明細!$I$5:$I$363,A28)</f>
        <v/>
      </c>
      <c r="L28" s="98">
        <f>COUNTIFS(明細!$J$5:$J$363,A28)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46021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COUNTIFS(明細!$F$5:$F$363,A29)</f>
        <v/>
      </c>
      <c r="E29" s="98">
        <f>COUNTIFS(明細!$G$5:$G$363,A29)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COUNTIFS(明細!$I$5:$I$363,A29)</f>
        <v/>
      </c>
      <c r="L29" s="98">
        <f>COUNTIFS(明細!$J$5:$J$363,A29)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46022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COUNTIFS(明細!$F$5:$F$363,A30)</f>
        <v/>
      </c>
      <c r="E30" s="98">
        <f>COUNTIFS(明細!$G$5:$G$363,A30)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COUNTIFS(明細!$I$5:$I$363,A30)</f>
        <v/>
      </c>
      <c r="L30" s="98">
        <f>COUNTIFS(明細!$J$5:$J$363,A30)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46023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COUNTIFS(明細!$F$5:$F$363,A31)</f>
        <v/>
      </c>
      <c r="E31" s="98">
        <f>COUNTIFS(明細!$G$5:$G$363,A31)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COUNTIFS(明細!$I$5:$I$363,A31)</f>
        <v/>
      </c>
      <c r="L31" s="98">
        <f>COUNTIFS(明細!$J$5:$J$363,A31)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46024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COUNTIFS(明細!$F$5:$F$363,A32)</f>
        <v/>
      </c>
      <c r="E32" s="98">
        <f>COUNTIFS(明細!$G$5:$G$363,A32)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COUNTIFS(明細!$I$5:$I$363,A32)</f>
        <v/>
      </c>
      <c r="L32" s="98">
        <f>COUNTIFS(明細!$J$5:$J$363,A32)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46025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COUNTIFS(明細!$F$5:$F$363,A33)</f>
        <v/>
      </c>
      <c r="E33" s="98">
        <f>COUNTIFS(明細!$G$5:$G$363,A33)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COUNTIFS(明細!$I$5:$I$363,A33)</f>
        <v/>
      </c>
      <c r="L33" s="98">
        <f>COUNTIFS(明細!$J$5:$J$363,A33)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46026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COUNTIFS(明細!$F$5:$F$363,A34)</f>
        <v/>
      </c>
      <c r="E34" s="98">
        <f>COUNTIFS(明細!$G$5:$G$363,A34)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COUNTIFS(明細!$I$5:$I$363,A34)</f>
        <v/>
      </c>
      <c r="L34" s="98">
        <f>COUNTIFS(明細!$J$5:$J$363,A34)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46027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COUNTIFS(明細!$F$5:$F$363,A35)</f>
        <v/>
      </c>
      <c r="E35" s="98">
        <f>COUNTIFS(明細!$G$5:$G$363,A35)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COUNTIFS(明細!$I$5:$I$363,A35)</f>
        <v/>
      </c>
      <c r="L35" s="98">
        <f>COUNTIFS(明細!$J$5:$J$363,A35)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46028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COUNTIFS(明細!$F$5:$F$363,A36)</f>
        <v/>
      </c>
      <c r="E36" s="98">
        <f>COUNTIFS(明細!$G$5:$G$363,A36)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COUNTIFS(明細!$I$5:$I$363,A36)</f>
        <v/>
      </c>
      <c r="L36" s="98">
        <f>COUNTIFS(明細!$J$5:$J$363,A36)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46029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COUNTIFS(明細!$F$5:$F$363,A37)</f>
        <v/>
      </c>
      <c r="E37" s="98">
        <f>COUNTIFS(明細!$G$5:$G$363,A37)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COUNTIFS(明細!$I$5:$I$363,A37)</f>
        <v/>
      </c>
      <c r="L37" s="98">
        <f>COUNTIFS(明細!$J$5:$J$363,A37)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46030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COUNTIFS(明細!$F$5:$F$363,A38)</f>
        <v/>
      </c>
      <c r="E38" s="98">
        <f>COUNTIFS(明細!$G$5:$G$363,A38)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COUNTIFS(明細!$I$5:$I$363,A38)</f>
        <v/>
      </c>
      <c r="L38" s="98">
        <f>COUNTIFS(明細!$J$5:$J$363,A38)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46031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COUNTIFS(明細!$F$5:$F$363,A39)</f>
        <v/>
      </c>
      <c r="E39" s="98">
        <f>COUNTIFS(明細!$G$5:$G$363,A39)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COUNTIFS(明細!$I$5:$I$363,A39)</f>
        <v/>
      </c>
      <c r="L39" s="98">
        <f>COUNTIFS(明細!$J$5:$J$363,A39)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46032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COUNTIFS(明細!$F$5:$F$363,A40)</f>
        <v/>
      </c>
      <c r="E40" s="98">
        <f>COUNTIFS(明細!$G$5:$G$363,A40)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COUNTIFS(明細!$I$5:$I$363,A40)</f>
        <v/>
      </c>
      <c r="L40" s="98">
        <f>COUNTIFS(明細!$J$5:$J$363,A40)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46033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COUNTIFS(明細!$F$5:$F$363,A41)</f>
        <v/>
      </c>
      <c r="E41" s="98">
        <f>COUNTIFS(明細!$G$5:$G$363,A41)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COUNTIFS(明細!$I$5:$I$363,A41)</f>
        <v/>
      </c>
      <c r="L41" s="98">
        <f>COUNTIFS(明細!$J$5:$J$363,A41)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46034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COUNTIFS(明細!$F$5:$F$363,A42)</f>
        <v/>
      </c>
      <c r="E42" s="98">
        <f>COUNTIFS(明細!$G$5:$G$363,A42)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COUNTIFS(明細!$I$5:$I$363,A42)</f>
        <v/>
      </c>
      <c r="L42" s="98">
        <f>COUNTIFS(明細!$J$5:$J$363,A42)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46035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COUNTIFS(明細!$F$5:$F$363,A43)</f>
        <v/>
      </c>
      <c r="E43" s="98">
        <f>COUNTIFS(明細!$G$5:$G$363,A43)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COUNTIFS(明細!$I$5:$I$363,A43)</f>
        <v/>
      </c>
      <c r="L43" s="98">
        <f>COUNTIFS(明細!$J$5:$J$363,A43)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46036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COUNTIFS(明細!$F$5:$F$363,A44)</f>
        <v/>
      </c>
      <c r="E44" s="98">
        <f>COUNTIFS(明細!$G$5:$G$363,A44)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COUNTIFS(明細!$I$5:$I$363,A44)</f>
        <v/>
      </c>
      <c r="L44" s="98">
        <f>COUNTIFS(明細!$J$5:$J$363,A44)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46037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COUNTIFS(明細!$F$5:$F$363,A45)</f>
        <v/>
      </c>
      <c r="E45" s="98">
        <f>COUNTIFS(明細!$G$5:$G$363,A45)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COUNTIFS(明細!$I$5:$I$363,A45)</f>
        <v/>
      </c>
      <c r="L45" s="98">
        <f>COUNTIFS(明細!$J$5:$J$363,A45)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46038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COUNTIFS(明細!$F$5:$F$363,A46)</f>
        <v/>
      </c>
      <c r="E46" s="98">
        <f>COUNTIFS(明細!$G$5:$G$363,A46)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COUNTIFS(明細!$I$5:$I$363,A46)</f>
        <v/>
      </c>
      <c r="L46" s="98">
        <f>COUNTIFS(明細!$J$5:$J$363,A46)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46039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COUNTIFS(明細!$F$5:$F$363,A47)</f>
        <v/>
      </c>
      <c r="E47" s="98">
        <f>COUNTIFS(明細!$G$5:$G$363,A47)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COUNTIFS(明細!$I$5:$I$363,A47)</f>
        <v/>
      </c>
      <c r="L47" s="98">
        <f>COUNTIFS(明細!$J$5:$J$363,A47)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46040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COUNTIFS(明細!$F$5:$F$363,A48)</f>
        <v/>
      </c>
      <c r="E48" s="98">
        <f>COUNTIFS(明細!$G$5:$G$363,A48)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COUNTIFS(明細!$I$5:$I$363,A48)</f>
        <v/>
      </c>
      <c r="L48" s="98">
        <f>COUNTIFS(明細!$J$5:$J$363,A48)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46041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COUNTIFS(明細!$F$5:$F$363,A49)</f>
        <v/>
      </c>
      <c r="E49" s="98">
        <f>COUNTIFS(明細!$G$5:$G$363,A49)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COUNTIFS(明細!$I$5:$I$363,A49)</f>
        <v/>
      </c>
      <c r="L49" s="98">
        <f>COUNTIFS(明細!$J$5:$J$363,A49)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46042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COUNTIFS(明細!$F$5:$F$363,A50)</f>
        <v/>
      </c>
      <c r="E50" s="98">
        <f>COUNTIFS(明細!$G$5:$G$363,A50)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COUNTIFS(明細!$I$5:$I$363,A50)</f>
        <v/>
      </c>
      <c r="L50" s="98">
        <f>COUNTIFS(明細!$J$5:$J$363,A50)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46043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COUNTIFS(明細!$F$5:$F$363,A51)</f>
        <v/>
      </c>
      <c r="E51" s="98">
        <f>COUNTIFS(明細!$G$5:$G$363,A51)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COUNTIFS(明細!$I$5:$I$363,A51)</f>
        <v/>
      </c>
      <c r="L51" s="98">
        <f>COUNTIFS(明細!$J$5:$J$363,A51)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46044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COUNTIFS(明細!$F$5:$F$363,A52)</f>
        <v/>
      </c>
      <c r="E52" s="98">
        <f>COUNTIFS(明細!$G$5:$G$363,A52)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COUNTIFS(明細!$I$5:$I$363,A52)</f>
        <v/>
      </c>
      <c r="L52" s="98">
        <f>COUNTIFS(明細!$J$5:$J$363,A52)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46045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COUNTIFS(明細!$F$5:$F$363,A53)</f>
        <v/>
      </c>
      <c r="E53" s="98">
        <f>COUNTIFS(明細!$G$5:$G$363,A53)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COUNTIFS(明細!$I$5:$I$363,A53)</f>
        <v/>
      </c>
      <c r="L53" s="98">
        <f>COUNTIFS(明細!$J$5:$J$363,A53)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46046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COUNTIFS(明細!$F$5:$F$363,A54)</f>
        <v/>
      </c>
      <c r="E54" s="98">
        <f>COUNTIFS(明細!$G$5:$G$363,A54)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COUNTIFS(明細!$I$5:$I$363,A54)</f>
        <v/>
      </c>
      <c r="L54" s="98">
        <f>COUNTIFS(明細!$J$5:$J$363,A54)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46047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COUNTIFS(明細!$F$5:$F$363,A55)</f>
        <v/>
      </c>
      <c r="E55" s="98">
        <f>COUNTIFS(明細!$G$5:$G$363,A55)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COUNTIFS(明細!$I$5:$I$363,A55)</f>
        <v/>
      </c>
      <c r="L55" s="98">
        <f>COUNTIFS(明細!$J$5:$J$363,A55)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46048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COUNTIFS(明細!$F$5:$F$363,A56)</f>
        <v/>
      </c>
      <c r="E56" s="98">
        <f>COUNTIFS(明細!$G$5:$G$363,A56)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COUNTIFS(明細!$I$5:$I$363,A56)</f>
        <v/>
      </c>
      <c r="L56" s="98">
        <f>COUNTIFS(明細!$J$5:$J$363,A56)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46049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COUNTIFS(明細!$F$5:$F$363,A57)</f>
        <v/>
      </c>
      <c r="E57" s="98">
        <f>COUNTIFS(明細!$G$5:$G$363,A57)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COUNTIFS(明細!$I$5:$I$363,A57)</f>
        <v/>
      </c>
      <c r="L57" s="98">
        <f>COUNTIFS(明細!$J$5:$J$363,A57)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46050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COUNTIFS(明細!$F$5:$F$363,A58)</f>
        <v/>
      </c>
      <c r="E58" s="98">
        <f>COUNTIFS(明細!$G$5:$G$363,A58)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COUNTIFS(明細!$I$5:$I$363,A58)</f>
        <v/>
      </c>
      <c r="L58" s="98">
        <f>COUNTIFS(明細!$J$5:$J$363,A58)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46051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COUNTIFS(明細!$F$5:$F$363,A59)</f>
        <v/>
      </c>
      <c r="E59" s="98">
        <f>COUNTIFS(明細!$G$5:$G$363,A59)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COUNTIFS(明細!$I$5:$I$363,A59)</f>
        <v/>
      </c>
      <c r="L59" s="98">
        <f>COUNTIFS(明細!$J$5:$J$363,A59)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46052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COUNTIFS(明細!$F$5:$F$363,A60)</f>
        <v/>
      </c>
      <c r="E60" s="98">
        <f>COUNTIFS(明細!$G$5:$G$363,A60)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COUNTIFS(明細!$I$5:$I$363,A60)</f>
        <v/>
      </c>
      <c r="L60" s="98">
        <f>COUNTIFS(明細!$J$5:$J$363,A60)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46053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COUNTIFS(明細!$F$5:$F$363,A61)</f>
        <v/>
      </c>
      <c r="E61" s="98">
        <f>COUNTIFS(明細!$G$5:$G$363,A61)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COUNTIFS(明細!$I$5:$I$363,A61)</f>
        <v/>
      </c>
      <c r="L61" s="98">
        <f>COUNTIFS(明細!$J$5:$J$363,A61)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46054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COUNTIFS(明細!$F$5:$F$363,A62)</f>
        <v/>
      </c>
      <c r="E62" s="98">
        <f>COUNTIFS(明細!$G$5:$G$363,A62)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COUNTIFS(明細!$I$5:$I$363,A62)</f>
        <v/>
      </c>
      <c r="L62" s="98">
        <f>COUNTIFS(明細!$J$5:$J$363,A62)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46055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COUNTIFS(明細!$F$5:$F$363,A63)</f>
        <v/>
      </c>
      <c r="E63" s="98">
        <f>COUNTIFS(明細!$G$5:$G$363,A63)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COUNTIFS(明細!$I$5:$I$363,A63)</f>
        <v/>
      </c>
      <c r="L63" s="98">
        <f>COUNTIFS(明細!$J$5:$J$363,A63)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46056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COUNTIFS(明細!$F$5:$F$363,A64)</f>
        <v/>
      </c>
      <c r="E64" s="98">
        <f>COUNTIFS(明細!$G$5:$G$363,A64)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COUNTIFS(明細!$I$5:$I$363,A64)</f>
        <v/>
      </c>
      <c r="L64" s="98">
        <f>COUNTIFS(明細!$J$5:$J$363,A64)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46057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COUNTIFS(明細!$F$5:$F$363,A65)</f>
        <v/>
      </c>
      <c r="E65" s="98">
        <f>COUNTIFS(明細!$G$5:$G$363,A65)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COUNTIFS(明細!$I$5:$I$363,A65)</f>
        <v/>
      </c>
      <c r="L65" s="98">
        <f>COUNTIFS(明細!$J$5:$J$363,A65)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46058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COUNTIFS(明細!$F$5:$F$363,A66)</f>
        <v/>
      </c>
      <c r="E66" s="98">
        <f>COUNTIFS(明細!$G$5:$G$363,A66)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COUNTIFS(明細!$I$5:$I$363,A66)</f>
        <v/>
      </c>
      <c r="L66" s="98">
        <f>COUNTIFS(明細!$J$5:$J$363,A66)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46059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COUNTIFS(明細!$F$5:$F$363,A67)</f>
        <v/>
      </c>
      <c r="E67" s="98">
        <f>COUNTIFS(明細!$G$5:$G$363,A67)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COUNTIFS(明細!$I$5:$I$363,A67)</f>
        <v/>
      </c>
      <c r="L67" s="98">
        <f>COUNTIFS(明細!$J$5:$J$363,A67)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46060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COUNTIFS(明細!$F$5:$F$363,A68)</f>
        <v/>
      </c>
      <c r="E68" s="98">
        <f>COUNTIFS(明細!$G$5:$G$363,A68)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COUNTIFS(明細!$I$5:$I$363,A68)</f>
        <v/>
      </c>
      <c r="L68" s="98">
        <f>COUNTIFS(明細!$J$5:$J$363,A68)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46061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COUNTIFS(明細!$F$5:$F$363,A69)</f>
        <v/>
      </c>
      <c r="E69" s="98">
        <f>COUNTIFS(明細!$G$5:$G$363,A69)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COUNTIFS(明細!$I$5:$I$363,A69)</f>
        <v/>
      </c>
      <c r="L69" s="98">
        <f>COUNTIFS(明細!$J$5:$J$363,A69)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46062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COUNTIFS(明細!$F$5:$F$363,A70)</f>
        <v/>
      </c>
      <c r="E70" s="98">
        <f>COUNTIFS(明細!$G$5:$G$363,A70)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COUNTIFS(明細!$I$5:$I$363,A70)</f>
        <v/>
      </c>
      <c r="L70" s="98">
        <f>COUNTIFS(明細!$J$5:$J$363,A70)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46063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COUNTIFS(明細!$F$5:$F$363,A71)</f>
        <v/>
      </c>
      <c r="E71" s="98">
        <f>COUNTIFS(明細!$G$5:$G$363,A71)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COUNTIFS(明細!$I$5:$I$363,A71)</f>
        <v/>
      </c>
      <c r="L71" s="98">
        <f>COUNTIFS(明細!$J$5:$J$363,A71)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46064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COUNTIFS(明細!$F$5:$F$363,A72)</f>
        <v/>
      </c>
      <c r="E72" s="98">
        <f>COUNTIFS(明細!$G$5:$G$363,A72)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COUNTIFS(明細!$I$5:$I$363,A72)</f>
        <v/>
      </c>
      <c r="L72" s="98">
        <f>COUNTIFS(明細!$J$5:$J$363,A72)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46065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COUNTIFS(明細!$F$5:$F$363,A73)</f>
        <v/>
      </c>
      <c r="E73" s="98">
        <f>COUNTIFS(明細!$G$5:$G$363,A73)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COUNTIFS(明細!$I$5:$I$363,A73)</f>
        <v/>
      </c>
      <c r="L73" s="98">
        <f>COUNTIFS(明細!$J$5:$J$363,A73)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46066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COUNTIFS(明細!$F$5:$F$363,A74)</f>
        <v/>
      </c>
      <c r="E74" s="98">
        <f>COUNTIFS(明細!$G$5:$G$363,A74)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COUNTIFS(明細!$I$5:$I$363,A74)</f>
        <v/>
      </c>
      <c r="L74" s="98">
        <f>COUNTIFS(明細!$J$5:$J$363,A74)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46067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COUNTIFS(明細!$F$5:$F$363,A75)</f>
        <v/>
      </c>
      <c r="E75" s="98">
        <f>COUNTIFS(明細!$G$5:$G$363,A75)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COUNTIFS(明細!$I$5:$I$363,A75)</f>
        <v/>
      </c>
      <c r="L75" s="98">
        <f>COUNTIFS(明細!$J$5:$J$363,A75)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46068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COUNTIFS(明細!$F$5:$F$363,A76)</f>
        <v/>
      </c>
      <c r="E76" s="98">
        <f>COUNTIFS(明細!$G$5:$G$363,A76)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COUNTIFS(明細!$I$5:$I$363,A76)</f>
        <v/>
      </c>
      <c r="L76" s="98">
        <f>COUNTIFS(明細!$J$5:$J$363,A76)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46069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COUNTIFS(明細!$F$5:$F$363,A77)</f>
        <v/>
      </c>
      <c r="E77" s="98">
        <f>COUNTIFS(明細!$G$5:$G$363,A77)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COUNTIFS(明細!$I$5:$I$363,A77)</f>
        <v/>
      </c>
      <c r="L77" s="98">
        <f>COUNTIFS(明細!$J$5:$J$363,A77)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46070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COUNTIFS(明細!$F$5:$F$363,A78)</f>
        <v/>
      </c>
      <c r="E78" s="98">
        <f>COUNTIFS(明細!$G$5:$G$363,A78)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COUNTIFS(明細!$I$5:$I$363,A78)</f>
        <v/>
      </c>
      <c r="L78" s="98">
        <f>COUNTIFS(明細!$J$5:$J$363,A78)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46071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COUNTIFS(明細!$F$5:$F$363,A79)</f>
        <v/>
      </c>
      <c r="E79" s="98">
        <f>COUNTIFS(明細!$G$5:$G$363,A79)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COUNTIFS(明細!$I$5:$I$363,A79)</f>
        <v/>
      </c>
      <c r="L79" s="98">
        <f>COUNTIFS(明細!$J$5:$J$363,A79)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46072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COUNTIFS(明細!$F$5:$F$363,A80)</f>
        <v/>
      </c>
      <c r="E80" s="98">
        <f>COUNTIFS(明細!$G$5:$G$363,A80)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COUNTIFS(明細!$I$5:$I$363,A80)</f>
        <v/>
      </c>
      <c r="L80" s="98">
        <f>COUNTIFS(明細!$J$5:$J$363,A80)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46073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COUNTIFS(明細!$F$5:$F$363,A81)</f>
        <v/>
      </c>
      <c r="E81" s="98">
        <f>COUNTIFS(明細!$G$5:$G$363,A81)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COUNTIFS(明細!$I$5:$I$363,A81)</f>
        <v/>
      </c>
      <c r="L81" s="98">
        <f>COUNTIFS(明細!$J$5:$J$363,A81)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46074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COUNTIFS(明細!$F$5:$F$363,A82)</f>
        <v/>
      </c>
      <c r="E82" s="98">
        <f>COUNTIFS(明細!$G$5:$G$363,A82)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COUNTIFS(明細!$I$5:$I$363,A82)</f>
        <v/>
      </c>
      <c r="L82" s="98">
        <f>COUNTIFS(明細!$J$5:$J$363,A82)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46075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COUNTIFS(明細!$F$5:$F$363,A83)</f>
        <v/>
      </c>
      <c r="E83" s="98">
        <f>COUNTIFS(明細!$G$5:$G$363,A83)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COUNTIFS(明細!$I$5:$I$363,A83)</f>
        <v/>
      </c>
      <c r="L83" s="98">
        <f>COUNTIFS(明細!$J$5:$J$363,A83)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46076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COUNTIFS(明細!$F$5:$F$363,A84)</f>
        <v/>
      </c>
      <c r="E84" s="98">
        <f>COUNTIFS(明細!$G$5:$G$363,A84)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COUNTIFS(明細!$I$5:$I$363,A84)</f>
        <v/>
      </c>
      <c r="L84" s="98">
        <f>COUNTIFS(明細!$J$5:$J$363,A84)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46077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COUNTIFS(明細!$F$5:$F$363,A85)</f>
        <v/>
      </c>
      <c r="E85" s="98">
        <f>COUNTIFS(明細!$G$5:$G$363,A85)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COUNTIFS(明細!$I$5:$I$363,A85)</f>
        <v/>
      </c>
      <c r="L85" s="98">
        <f>COUNTIFS(明細!$J$5:$J$363,A85)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46078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COUNTIFS(明細!$F$5:$F$363,A86)</f>
        <v/>
      </c>
      <c r="E86" s="98">
        <f>COUNTIFS(明細!$G$5:$G$363,A86)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COUNTIFS(明細!$I$5:$I$363,A86)</f>
        <v/>
      </c>
      <c r="L86" s="98">
        <f>COUNTIFS(明細!$J$5:$J$363,A86)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46079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COUNTIFS(明細!$F$5:$F$363,A87)</f>
        <v/>
      </c>
      <c r="E87" s="98">
        <f>COUNTIFS(明細!$G$5:$G$363,A87)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COUNTIFS(明細!$I$5:$I$363,A87)</f>
        <v/>
      </c>
      <c r="L87" s="98">
        <f>COUNTIFS(明細!$J$5:$J$363,A87)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46080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COUNTIFS(明細!$F$5:$F$363,A88)</f>
        <v/>
      </c>
      <c r="E88" s="98">
        <f>COUNTIFS(明細!$G$5:$G$363,A88)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COUNTIFS(明細!$I$5:$I$363,A88)</f>
        <v/>
      </c>
      <c r="L88" s="98">
        <f>COUNTIFS(明細!$J$5:$J$363,A88)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46081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COUNTIFS(明細!$F$5:$F$363,A89)</f>
        <v/>
      </c>
      <c r="E89" s="98">
        <f>COUNTIFS(明細!$G$5:$G$363,A89)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COUNTIFS(明細!$I$5:$I$363,A89)</f>
        <v/>
      </c>
      <c r="L89" s="98">
        <f>COUNTIFS(明細!$J$5:$J$363,A89)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46082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COUNTIFS(明細!$F$5:$F$363,A90)</f>
        <v/>
      </c>
      <c r="E90" s="98">
        <f>COUNTIFS(明細!$G$5:$G$363,A90)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COUNTIFS(明細!$I$5:$I$363,A90)</f>
        <v/>
      </c>
      <c r="L90" s="98">
        <f>COUNTIFS(明細!$J$5:$J$363,A90)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46083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COUNTIFS(明細!$F$5:$F$363,A91)</f>
        <v/>
      </c>
      <c r="E91" s="98">
        <f>COUNTIFS(明細!$G$5:$G$363,A91)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COUNTIFS(明細!$I$5:$I$363,A91)</f>
        <v/>
      </c>
      <c r="L91" s="98">
        <f>COUNTIFS(明細!$J$5:$J$363,A91)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46084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COUNTIFS(明細!$F$5:$F$363,A92)</f>
        <v/>
      </c>
      <c r="E92" s="98">
        <f>COUNTIFS(明細!$G$5:$G$363,A92)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COUNTIFS(明細!$I$5:$I$363,A92)</f>
        <v/>
      </c>
      <c r="L92" s="98">
        <f>COUNTIFS(明細!$J$5:$J$363,A92)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46085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COUNTIFS(明細!$F$5:$F$363,A93)</f>
        <v/>
      </c>
      <c r="E93" s="98">
        <f>COUNTIFS(明細!$G$5:$G$363,A93)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COUNTIFS(明細!$I$5:$I$363,A93)</f>
        <v/>
      </c>
      <c r="L93" s="98">
        <f>COUNTIFS(明細!$J$5:$J$363,A93)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46086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COUNTIFS(明細!$F$5:$F$363,A94)</f>
        <v/>
      </c>
      <c r="E94" s="98">
        <f>COUNTIFS(明細!$G$5:$G$363,A94)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COUNTIFS(明細!$I$5:$I$363,A94)</f>
        <v/>
      </c>
      <c r="L94" s="98">
        <f>COUNTIFS(明細!$J$5:$J$363,A94)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46087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COUNTIFS(明細!$F$5:$F$363,A95)</f>
        <v/>
      </c>
      <c r="E95" s="98">
        <f>COUNTIFS(明細!$G$5:$G$363,A95)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COUNTIFS(明細!$I$5:$I$363,A95)</f>
        <v/>
      </c>
      <c r="L95" s="98">
        <f>COUNTIFS(明細!$J$5:$J$363,A95)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46088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COUNTIFS(明細!$F$5:$F$363,A96)</f>
        <v/>
      </c>
      <c r="E96" s="98">
        <f>COUNTIFS(明細!$G$5:$G$363,A96)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COUNTIFS(明細!$I$5:$I$363,A96)</f>
        <v/>
      </c>
      <c r="L96" s="98">
        <f>COUNTIFS(明細!$J$5:$J$363,A96)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46089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COUNTIFS(明細!$F$5:$F$363,A97)</f>
        <v/>
      </c>
      <c r="E97" s="98">
        <f>COUNTIFS(明細!$G$5:$G$363,A97)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COUNTIFS(明細!$I$5:$I$363,A97)</f>
        <v/>
      </c>
      <c r="L97" s="98">
        <f>COUNTIFS(明細!$J$5:$J$363,A97)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46090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COUNTIFS(明細!$F$5:$F$363,A98)</f>
        <v/>
      </c>
      <c r="E98" s="98">
        <f>COUNTIFS(明細!$G$5:$G$363,A98)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COUNTIFS(明細!$I$5:$I$363,A98)</f>
        <v/>
      </c>
      <c r="L98" s="98">
        <f>COUNTIFS(明細!$J$5:$J$363,A98)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46091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COUNTIFS(明細!$F$5:$F$363,A99)</f>
        <v/>
      </c>
      <c r="E99" s="98">
        <f>COUNTIFS(明細!$G$5:$G$363,A99)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COUNTIFS(明細!$I$5:$I$363,A99)</f>
        <v/>
      </c>
      <c r="L99" s="98">
        <f>COUNTIFS(明細!$J$5:$J$363,A99)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46092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COUNTIFS(明細!$F$5:$F$363,A100)</f>
        <v/>
      </c>
      <c r="E100" s="98">
        <f>COUNTIFS(明細!$G$5:$G$363,A100)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COUNTIFS(明細!$I$5:$I$363,A100)</f>
        <v/>
      </c>
      <c r="L100" s="98">
        <f>COUNTIFS(明細!$J$5:$J$363,A100)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46093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COUNTIFS(明細!$F$5:$F$363,A101)</f>
        <v/>
      </c>
      <c r="E101" s="98">
        <f>COUNTIFS(明細!$G$5:$G$363,A101)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COUNTIFS(明細!$I$5:$I$363,A101)</f>
        <v/>
      </c>
      <c r="L101" s="98">
        <f>COUNTIFS(明細!$J$5:$J$363,A101)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46094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COUNTIFS(明細!$F$5:$F$363,A102)</f>
        <v/>
      </c>
      <c r="E102" s="98">
        <f>COUNTIFS(明細!$G$5:$G$363,A102)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COUNTIFS(明細!$I$5:$I$363,A102)</f>
        <v/>
      </c>
      <c r="L102" s="98">
        <f>COUNTIFS(明細!$J$5:$J$363,A102)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46095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COUNTIFS(明細!$F$5:$F$363,A103)</f>
        <v/>
      </c>
      <c r="E103" s="98">
        <f>COUNTIFS(明細!$G$5:$G$363,A103)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COUNTIFS(明細!$I$5:$I$363,A103)</f>
        <v/>
      </c>
      <c r="L103" s="98">
        <f>COUNTIFS(明細!$J$5:$J$363,A103)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46096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COUNTIFS(明細!$F$5:$F$363,A104)</f>
        <v/>
      </c>
      <c r="E104" s="98">
        <f>COUNTIFS(明細!$G$5:$G$363,A104)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COUNTIFS(明細!$I$5:$I$363,A104)</f>
        <v/>
      </c>
      <c r="L104" s="98">
        <f>COUNTIFS(明細!$J$5:$J$363,A104)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46097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COUNTIFS(明細!$F$5:$F$363,A105)</f>
        <v/>
      </c>
      <c r="E105" s="98">
        <f>COUNTIFS(明細!$G$5:$G$363,A105)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COUNTIFS(明細!$I$5:$I$363,A105)</f>
        <v/>
      </c>
      <c r="L105" s="98">
        <f>COUNTIFS(明細!$J$5:$J$363,A105)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46098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COUNTIFS(明細!$F$5:$F$363,A106)</f>
        <v/>
      </c>
      <c r="E106" s="98">
        <f>COUNTIFS(明細!$G$5:$G$363,A106)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COUNTIFS(明細!$I$5:$I$363,A106)</f>
        <v/>
      </c>
      <c r="L106" s="98">
        <f>COUNTIFS(明細!$J$5:$J$363,A106)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46099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COUNTIFS(明細!$F$5:$F$363,A107)</f>
        <v/>
      </c>
      <c r="E107" s="98">
        <f>COUNTIFS(明細!$G$5:$G$363,A107)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COUNTIFS(明細!$I$5:$I$363,A107)</f>
        <v/>
      </c>
      <c r="L107" s="98">
        <f>COUNTIFS(明細!$J$5:$J$363,A107)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46100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COUNTIFS(明細!$F$5:$F$363,A108)</f>
        <v/>
      </c>
      <c r="E108" s="98">
        <f>COUNTIFS(明細!$G$5:$G$363,A108)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COUNTIFS(明細!$I$5:$I$363,A108)</f>
        <v/>
      </c>
      <c r="L108" s="98">
        <f>COUNTIFS(明細!$J$5:$J$363,A108)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46101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COUNTIFS(明細!$F$5:$F$363,A109)</f>
        <v/>
      </c>
      <c r="E109" s="98">
        <f>COUNTIFS(明細!$G$5:$G$363,A109)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COUNTIFS(明細!$I$5:$I$363,A109)</f>
        <v/>
      </c>
      <c r="L109" s="98">
        <f>COUNTIFS(明細!$J$5:$J$363,A109)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46102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COUNTIFS(明細!$F$5:$F$363,A110)</f>
        <v/>
      </c>
      <c r="E110" s="98">
        <f>COUNTIFS(明細!$G$5:$G$363,A110)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COUNTIFS(明細!$I$5:$I$363,A110)</f>
        <v/>
      </c>
      <c r="L110" s="98">
        <f>COUNTIFS(明細!$J$5:$J$363,A110)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46103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COUNTIFS(明細!$F$5:$F$363,A111)</f>
        <v/>
      </c>
      <c r="E111" s="98">
        <f>COUNTIFS(明細!$G$5:$G$363,A111)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COUNTIFS(明細!$I$5:$I$363,A111)</f>
        <v/>
      </c>
      <c r="L111" s="98">
        <f>COUNTIFS(明細!$J$5:$J$363,A111)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46104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COUNTIFS(明細!$F$5:$F$363,A112)</f>
        <v/>
      </c>
      <c r="E112" s="98">
        <f>COUNTIFS(明細!$G$5:$G$363,A112)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COUNTIFS(明細!$I$5:$I$363,A112)</f>
        <v/>
      </c>
      <c r="L112" s="98">
        <f>COUNTIFS(明細!$J$5:$J$363,A112)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46105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COUNTIFS(明細!$F$5:$F$363,A113)</f>
        <v/>
      </c>
      <c r="E113" s="98">
        <f>COUNTIFS(明細!$G$5:$G$363,A113)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COUNTIFS(明細!$I$5:$I$363,A113)</f>
        <v/>
      </c>
      <c r="L113" s="98">
        <f>COUNTIFS(明細!$J$5:$J$363,A113)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46106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COUNTIFS(明細!$F$5:$F$363,A114)</f>
        <v/>
      </c>
      <c r="E114" s="98">
        <f>COUNTIFS(明細!$G$5:$G$363,A114)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COUNTIFS(明細!$I$5:$I$363,A114)</f>
        <v/>
      </c>
      <c r="L114" s="98">
        <f>COUNTIFS(明細!$J$5:$J$363,A114)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46107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COUNTIFS(明細!$F$5:$F$363,A115)</f>
        <v/>
      </c>
      <c r="E115" s="98">
        <f>COUNTIFS(明細!$G$5:$G$363,A115)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COUNTIFS(明細!$I$5:$I$363,A115)</f>
        <v/>
      </c>
      <c r="L115" s="98">
        <f>COUNTIFS(明細!$J$5:$J$363,A115)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46108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COUNTIFS(明細!$F$5:$F$363,A116)</f>
        <v/>
      </c>
      <c r="E116" s="98">
        <f>COUNTIFS(明細!$G$5:$G$363,A116)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COUNTIFS(明細!$I$5:$I$363,A116)</f>
        <v/>
      </c>
      <c r="L116" s="98">
        <f>COUNTIFS(明細!$J$5:$J$363,A116)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46109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COUNTIFS(明細!$F$5:$F$363,A117)</f>
        <v/>
      </c>
      <c r="E117" s="98">
        <f>COUNTIFS(明細!$G$5:$G$363,A117)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COUNTIFS(明細!$I$5:$I$363,A117)</f>
        <v/>
      </c>
      <c r="L117" s="98">
        <f>COUNTIFS(明細!$J$5:$J$363,A117)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46110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COUNTIFS(明細!$F$5:$F$363,A118)</f>
        <v/>
      </c>
      <c r="E118" s="98">
        <f>COUNTIFS(明細!$G$5:$G$363,A118)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COUNTIFS(明細!$I$5:$I$363,A118)</f>
        <v/>
      </c>
      <c r="L118" s="98">
        <f>COUNTIFS(明細!$J$5:$J$363,A118)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46111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COUNTIFS(明細!$F$5:$F$363,A119)</f>
        <v/>
      </c>
      <c r="E119" s="98">
        <f>COUNTIFS(明細!$G$5:$G$363,A119)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COUNTIFS(明細!$I$5:$I$363,A119)</f>
        <v/>
      </c>
      <c r="L119" s="98">
        <f>COUNTIFS(明細!$J$5:$J$363,A119)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46112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COUNTIFS(明細!$F$5:$F$363,A120)</f>
        <v/>
      </c>
      <c r="E120" s="98">
        <f>COUNTIFS(明細!$G$5:$G$363,A120)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COUNTIFS(明細!$I$5:$I$363,A120)</f>
        <v/>
      </c>
      <c r="L120" s="98">
        <f>COUNTIFS(明細!$J$5:$J$363,A120)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46113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COUNTIFS(明細!$F$5:$F$363,A121)</f>
        <v/>
      </c>
      <c r="E121" s="98">
        <f>COUNTIFS(明細!$G$5:$G$363,A121)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COUNTIFS(明細!$I$5:$I$363,A121)</f>
        <v/>
      </c>
      <c r="L121" s="98">
        <f>COUNTIFS(明細!$J$5:$J$363,A121)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46114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COUNTIFS(明細!$F$5:$F$363,A122)</f>
        <v/>
      </c>
      <c r="E122" s="98">
        <f>COUNTIFS(明細!$G$5:$G$363,A122)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COUNTIFS(明細!$I$5:$I$363,A122)</f>
        <v/>
      </c>
      <c r="L122" s="98">
        <f>COUNTIFS(明細!$J$5:$J$363,A122)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46115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COUNTIFS(明細!$F$5:$F$363,A123)</f>
        <v/>
      </c>
      <c r="E123" s="98">
        <f>COUNTIFS(明細!$G$5:$G$363,A123)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COUNTIFS(明細!$I$5:$I$363,A123)</f>
        <v/>
      </c>
      <c r="L123" s="98">
        <f>COUNTIFS(明細!$J$5:$J$363,A123)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46116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COUNTIFS(明細!$F$5:$F$363,A124)</f>
        <v/>
      </c>
      <c r="E124" s="98">
        <f>COUNTIFS(明細!$G$5:$G$363,A124)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COUNTIFS(明細!$I$5:$I$363,A124)</f>
        <v/>
      </c>
      <c r="L124" s="98">
        <f>COUNTIFS(明細!$J$5:$J$363,A124)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46117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COUNTIFS(明細!$F$5:$F$363,A125)</f>
        <v/>
      </c>
      <c r="E125" s="98">
        <f>COUNTIFS(明細!$G$5:$G$363,A125)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COUNTIFS(明細!$I$5:$I$363,A125)</f>
        <v/>
      </c>
      <c r="L125" s="98">
        <f>COUNTIFS(明細!$J$5:$J$363,A125)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46118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COUNTIFS(明細!$F$5:$F$363,A126)</f>
        <v/>
      </c>
      <c r="E126" s="98">
        <f>COUNTIFS(明細!$G$5:$G$363,A126)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COUNTIFS(明細!$I$5:$I$363,A126)</f>
        <v/>
      </c>
      <c r="L126" s="98">
        <f>COUNTIFS(明細!$J$5:$J$363,A126)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46119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COUNTIFS(明細!$F$5:$F$363,A127)</f>
        <v/>
      </c>
      <c r="E127" s="98">
        <f>COUNTIFS(明細!$G$5:$G$363,A127)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COUNTIFS(明細!$I$5:$I$363,A127)</f>
        <v/>
      </c>
      <c r="L127" s="98">
        <f>COUNTIFS(明細!$J$5:$J$363,A127)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46120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COUNTIFS(明細!$F$5:$F$363,A128)</f>
        <v/>
      </c>
      <c r="E128" s="98">
        <f>COUNTIFS(明細!$G$5:$G$363,A128)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COUNTIFS(明細!$I$5:$I$363,A128)</f>
        <v/>
      </c>
      <c r="L128" s="98">
        <f>COUNTIFS(明細!$J$5:$J$363,A128)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46121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COUNTIFS(明細!$F$5:$F$363,A129)</f>
        <v/>
      </c>
      <c r="E129" s="98">
        <f>COUNTIFS(明細!$G$5:$G$363,A129)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COUNTIFS(明細!$I$5:$I$363,A129)</f>
        <v/>
      </c>
      <c r="L129" s="98">
        <f>COUNTIFS(明細!$J$5:$J$363,A129)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46122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COUNTIFS(明細!$F$5:$F$363,A130)</f>
        <v/>
      </c>
      <c r="E130" s="98">
        <f>COUNTIFS(明細!$G$5:$G$363,A130)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COUNTIFS(明細!$I$5:$I$363,A130)</f>
        <v/>
      </c>
      <c r="L130" s="98">
        <f>COUNTIFS(明細!$J$5:$J$363,A130)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46123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COUNTIFS(明細!$F$5:$F$363,A131)</f>
        <v/>
      </c>
      <c r="E131" s="98">
        <f>COUNTIFS(明細!$G$5:$G$363,A131)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COUNTIFS(明細!$I$5:$I$363,A131)</f>
        <v/>
      </c>
      <c r="L131" s="98">
        <f>COUNTIFS(明細!$J$5:$J$363,A131)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46124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COUNTIFS(明細!$F$5:$F$363,A132)</f>
        <v/>
      </c>
      <c r="E132" s="98">
        <f>COUNTIFS(明細!$G$5:$G$363,A132)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COUNTIFS(明細!$I$5:$I$363,A132)</f>
        <v/>
      </c>
      <c r="L132" s="98">
        <f>COUNTIFS(明細!$J$5:$J$363,A132)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46125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COUNTIFS(明細!$F$5:$F$363,A133)</f>
        <v/>
      </c>
      <c r="E133" s="98">
        <f>COUNTIFS(明細!$G$5:$G$363,A133)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COUNTIFS(明細!$I$5:$I$363,A133)</f>
        <v/>
      </c>
      <c r="L133" s="98">
        <f>COUNTIFS(明細!$J$5:$J$363,A133)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46126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COUNTIFS(明細!$F$5:$F$363,A134)</f>
        <v/>
      </c>
      <c r="E134" s="98">
        <f>COUNTIFS(明細!$G$5:$G$363,A134)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COUNTIFS(明細!$I$5:$I$363,A134)</f>
        <v/>
      </c>
      <c r="L134" s="98">
        <f>COUNTIFS(明細!$J$5:$J$363,A134)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46127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COUNTIFS(明細!$F$5:$F$363,A135)</f>
        <v/>
      </c>
      <c r="E135" s="98">
        <f>COUNTIFS(明細!$G$5:$G$363,A135)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COUNTIFS(明細!$I$5:$I$363,A135)</f>
        <v/>
      </c>
      <c r="L135" s="98">
        <f>COUNTIFS(明細!$J$5:$J$363,A135)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46128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COUNTIFS(明細!$F$5:$F$363,A136)</f>
        <v/>
      </c>
      <c r="E136" s="98">
        <f>COUNTIFS(明細!$G$5:$G$363,A136)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COUNTIFS(明細!$I$5:$I$363,A136)</f>
        <v/>
      </c>
      <c r="L136" s="98">
        <f>COUNTIFS(明細!$J$5:$J$363,A136)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46129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COUNTIFS(明細!$F$5:$F$363,A137)</f>
        <v/>
      </c>
      <c r="E137" s="98">
        <f>COUNTIFS(明細!$G$5:$G$363,A137)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COUNTIFS(明細!$I$5:$I$363,A137)</f>
        <v/>
      </c>
      <c r="L137" s="98">
        <f>COUNTIFS(明細!$J$5:$J$363,A137)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46130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COUNTIFS(明細!$F$5:$F$363,A138)</f>
        <v/>
      </c>
      <c r="E138" s="98">
        <f>COUNTIFS(明細!$G$5:$G$363,A138)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COUNTIFS(明細!$I$5:$I$363,A138)</f>
        <v/>
      </c>
      <c r="L138" s="98">
        <f>COUNTIFS(明細!$J$5:$J$363,A138)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46131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COUNTIFS(明細!$F$5:$F$363,A139)</f>
        <v/>
      </c>
      <c r="E139" s="98">
        <f>COUNTIFS(明細!$G$5:$G$363,A139)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COUNTIFS(明細!$I$5:$I$363,A139)</f>
        <v/>
      </c>
      <c r="L139" s="98">
        <f>COUNTIFS(明細!$J$5:$J$363,A139)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46132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COUNTIFS(明細!$F$5:$F$363,A140)</f>
        <v/>
      </c>
      <c r="E140" s="98">
        <f>COUNTIFS(明細!$G$5:$G$363,A140)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COUNTIFS(明細!$I$5:$I$363,A140)</f>
        <v/>
      </c>
      <c r="L140" s="98">
        <f>COUNTIFS(明細!$J$5:$J$363,A140)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46133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COUNTIFS(明細!$F$5:$F$363,A141)</f>
        <v/>
      </c>
      <c r="E141" s="98">
        <f>COUNTIFS(明細!$G$5:$G$363,A141)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COUNTIFS(明細!$I$5:$I$363,A141)</f>
        <v/>
      </c>
      <c r="L141" s="98">
        <f>COUNTIFS(明細!$J$5:$J$363,A141)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46134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COUNTIFS(明細!$F$5:$F$363,A142)</f>
        <v/>
      </c>
      <c r="E142" s="98">
        <f>COUNTIFS(明細!$G$5:$G$363,A142)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COUNTIFS(明細!$I$5:$I$363,A142)</f>
        <v/>
      </c>
      <c r="L142" s="98">
        <f>COUNTIFS(明細!$J$5:$J$363,A142)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46135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COUNTIFS(明細!$F$5:$F$363,A143)</f>
        <v/>
      </c>
      <c r="E143" s="98">
        <f>COUNTIFS(明細!$G$5:$G$363,A143)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COUNTIFS(明細!$I$5:$I$363,A143)</f>
        <v/>
      </c>
      <c r="L143" s="98">
        <f>COUNTIFS(明細!$J$5:$J$363,A143)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46136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COUNTIFS(明細!$F$5:$F$363,A144)</f>
        <v/>
      </c>
      <c r="E144" s="98">
        <f>COUNTIFS(明細!$G$5:$G$363,A144)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COUNTIFS(明細!$I$5:$I$363,A144)</f>
        <v/>
      </c>
      <c r="L144" s="98">
        <f>COUNTIFS(明細!$J$5:$J$363,A144)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46137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COUNTIFS(明細!$F$5:$F$363,A145)</f>
        <v/>
      </c>
      <c r="E145" s="98">
        <f>COUNTIFS(明細!$G$5:$G$363,A145)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COUNTIFS(明細!$I$5:$I$363,A145)</f>
        <v/>
      </c>
      <c r="L145" s="98">
        <f>COUNTIFS(明細!$J$5:$J$363,A145)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46138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COUNTIFS(明細!$F$5:$F$363,A146)</f>
        <v/>
      </c>
      <c r="E146" s="98">
        <f>COUNTIFS(明細!$G$5:$G$363,A146)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COUNTIFS(明細!$I$5:$I$363,A146)</f>
        <v/>
      </c>
      <c r="L146" s="98">
        <f>COUNTIFS(明細!$J$5:$J$363,A146)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46139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COUNTIFS(明細!$F$5:$F$363,A147)</f>
        <v/>
      </c>
      <c r="E147" s="98">
        <f>COUNTIFS(明細!$G$5:$G$363,A147)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COUNTIFS(明細!$I$5:$I$363,A147)</f>
        <v/>
      </c>
      <c r="L147" s="98">
        <f>COUNTIFS(明細!$J$5:$J$363,A147)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46140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COUNTIFS(明細!$F$5:$F$363,A148)</f>
        <v/>
      </c>
      <c r="E148" s="98">
        <f>COUNTIFS(明細!$G$5:$G$363,A148)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COUNTIFS(明細!$I$5:$I$363,A148)</f>
        <v/>
      </c>
      <c r="L148" s="98">
        <f>COUNTIFS(明細!$J$5:$J$363,A148)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46141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COUNTIFS(明細!$F$5:$F$363,A149)</f>
        <v/>
      </c>
      <c r="E149" s="98">
        <f>COUNTIFS(明細!$G$5:$G$363,A149)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COUNTIFS(明細!$I$5:$I$363,A149)</f>
        <v/>
      </c>
      <c r="L149" s="98">
        <f>COUNTIFS(明細!$J$5:$J$363,A149)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46142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COUNTIFS(明細!$F$5:$F$363,A150)</f>
        <v/>
      </c>
      <c r="E150" s="98">
        <f>COUNTIFS(明細!$G$5:$G$363,A150)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COUNTIFS(明細!$I$5:$I$363,A150)</f>
        <v/>
      </c>
      <c r="L150" s="98">
        <f>COUNTIFS(明細!$J$5:$J$363,A150)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46143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COUNTIFS(明細!$F$5:$F$363,A151)</f>
        <v/>
      </c>
      <c r="E151" s="98">
        <f>COUNTIFS(明細!$G$5:$G$363,A151)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COUNTIFS(明細!$I$5:$I$363,A151)</f>
        <v/>
      </c>
      <c r="L151" s="98">
        <f>COUNTIFS(明細!$J$5:$J$363,A151)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46144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COUNTIFS(明細!$F$5:$F$363,A152)</f>
        <v/>
      </c>
      <c r="E152" s="98">
        <f>COUNTIFS(明細!$G$5:$G$363,A152)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COUNTIFS(明細!$I$5:$I$363,A152)</f>
        <v/>
      </c>
      <c r="L152" s="98">
        <f>COUNTIFS(明細!$J$5:$J$363,A152)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46145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COUNTIFS(明細!$F$5:$F$363,A153)</f>
        <v/>
      </c>
      <c r="E153" s="98">
        <f>COUNTIFS(明細!$G$5:$G$363,A153)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COUNTIFS(明細!$I$5:$I$363,A153)</f>
        <v/>
      </c>
      <c r="L153" s="98">
        <f>COUNTIFS(明細!$J$5:$J$363,A153)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46146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COUNTIFS(明細!$F$5:$F$363,A154)</f>
        <v/>
      </c>
      <c r="E154" s="98">
        <f>COUNTIFS(明細!$G$5:$G$363,A154)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COUNTIFS(明細!$I$5:$I$363,A154)</f>
        <v/>
      </c>
      <c r="L154" s="98">
        <f>COUNTIFS(明細!$J$5:$J$363,A154)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46147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COUNTIFS(明細!$F$5:$F$363,A155)</f>
        <v/>
      </c>
      <c r="E155" s="98">
        <f>COUNTIFS(明細!$G$5:$G$363,A155)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COUNTIFS(明細!$I$5:$I$363,A155)</f>
        <v/>
      </c>
      <c r="L155" s="98">
        <f>COUNTIFS(明細!$J$5:$J$363,A155)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46148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COUNTIFS(明細!$F$5:$F$363,A156)</f>
        <v/>
      </c>
      <c r="E156" s="98">
        <f>COUNTIFS(明細!$G$5:$G$363,A156)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COUNTIFS(明細!$I$5:$I$363,A156)</f>
        <v/>
      </c>
      <c r="L156" s="98">
        <f>COUNTIFS(明細!$J$5:$J$363,A156)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46149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COUNTIFS(明細!$F$5:$F$363,A157)</f>
        <v/>
      </c>
      <c r="E157" s="98">
        <f>COUNTIFS(明細!$G$5:$G$363,A157)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COUNTIFS(明細!$I$5:$I$363,A157)</f>
        <v/>
      </c>
      <c r="L157" s="98">
        <f>COUNTIFS(明細!$J$5:$J$363,A157)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46150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COUNTIFS(明細!$F$5:$F$363,A158)</f>
        <v/>
      </c>
      <c r="E158" s="98">
        <f>COUNTIFS(明細!$G$5:$G$363,A158)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COUNTIFS(明細!$I$5:$I$363,A158)</f>
        <v/>
      </c>
      <c r="L158" s="98">
        <f>COUNTIFS(明細!$J$5:$J$363,A158)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46151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COUNTIFS(明細!$F$5:$F$363,A159)</f>
        <v/>
      </c>
      <c r="E159" s="98">
        <f>COUNTIFS(明細!$G$5:$G$363,A159)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COUNTIFS(明細!$I$5:$I$363,A159)</f>
        <v/>
      </c>
      <c r="L159" s="98">
        <f>COUNTIFS(明細!$J$5:$J$363,A159)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46152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COUNTIFS(明細!$F$5:$F$363,A160)</f>
        <v/>
      </c>
      <c r="E160" s="98">
        <f>COUNTIFS(明細!$G$5:$G$363,A160)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COUNTIFS(明細!$I$5:$I$363,A160)</f>
        <v/>
      </c>
      <c r="L160" s="98">
        <f>COUNTIFS(明細!$J$5:$J$363,A160)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46153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COUNTIFS(明細!$F$5:$F$363,A161)</f>
        <v/>
      </c>
      <c r="E161" s="98">
        <f>COUNTIFS(明細!$G$5:$G$363,A161)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COUNTIFS(明細!$I$5:$I$363,A161)</f>
        <v/>
      </c>
      <c r="L161" s="98">
        <f>COUNTIFS(明細!$J$5:$J$363,A161)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46154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COUNTIFS(明細!$F$5:$F$363,A162)</f>
        <v/>
      </c>
      <c r="E162" s="98">
        <f>COUNTIFS(明細!$G$5:$G$363,A162)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COUNTIFS(明細!$I$5:$I$363,A162)</f>
        <v/>
      </c>
      <c r="L162" s="98">
        <f>COUNTIFS(明細!$J$5:$J$363,A162)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46155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COUNTIFS(明細!$F$5:$F$363,A163)</f>
        <v/>
      </c>
      <c r="E163" s="98">
        <f>COUNTIFS(明細!$G$5:$G$363,A163)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COUNTIFS(明細!$I$5:$I$363,A163)</f>
        <v/>
      </c>
      <c r="L163" s="98">
        <f>COUNTIFS(明細!$J$5:$J$363,A163)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46156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COUNTIFS(明細!$F$5:$F$363,A164)</f>
        <v/>
      </c>
      <c r="E164" s="98">
        <f>COUNTIFS(明細!$G$5:$G$363,A164)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COUNTIFS(明細!$I$5:$I$363,A164)</f>
        <v/>
      </c>
      <c r="L164" s="98">
        <f>COUNTIFS(明細!$J$5:$J$363,A164)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46157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COUNTIFS(明細!$F$5:$F$363,A165)</f>
        <v/>
      </c>
      <c r="E165" s="98">
        <f>COUNTIFS(明細!$G$5:$G$363,A165)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COUNTIFS(明細!$I$5:$I$363,A165)</f>
        <v/>
      </c>
      <c r="L165" s="98">
        <f>COUNTIFS(明細!$J$5:$J$363,A165)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46158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COUNTIFS(明細!$F$5:$F$363,A166)</f>
        <v/>
      </c>
      <c r="E166" s="98">
        <f>COUNTIFS(明細!$G$5:$G$363,A166)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COUNTIFS(明細!$I$5:$I$363,A166)</f>
        <v/>
      </c>
      <c r="L166" s="98">
        <f>COUNTIFS(明細!$J$5:$J$363,A166)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46159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COUNTIFS(明細!$F$5:$F$363,A167)</f>
        <v/>
      </c>
      <c r="E167" s="98">
        <f>COUNTIFS(明細!$G$5:$G$363,A167)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COUNTIFS(明細!$I$5:$I$363,A167)</f>
        <v/>
      </c>
      <c r="L167" s="98">
        <f>COUNTIFS(明細!$J$5:$J$363,A167)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46160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COUNTIFS(明細!$F$5:$F$363,A168)</f>
        <v/>
      </c>
      <c r="E168" s="98">
        <f>COUNTIFS(明細!$G$5:$G$363,A168)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COUNTIFS(明細!$I$5:$I$363,A168)</f>
        <v/>
      </c>
      <c r="L168" s="98">
        <f>COUNTIFS(明細!$J$5:$J$363,A168)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46161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COUNTIFS(明細!$F$5:$F$363,A169)</f>
        <v/>
      </c>
      <c r="E169" s="98">
        <f>COUNTIFS(明細!$G$5:$G$363,A169)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COUNTIFS(明細!$I$5:$I$363,A169)</f>
        <v/>
      </c>
      <c r="L169" s="98">
        <f>COUNTIFS(明細!$J$5:$J$363,A169)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46162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COUNTIFS(明細!$F$5:$F$363,A170)</f>
        <v/>
      </c>
      <c r="E170" s="98">
        <f>COUNTIFS(明細!$G$5:$G$363,A170)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COUNTIFS(明細!$I$5:$I$363,A170)</f>
        <v/>
      </c>
      <c r="L170" s="98">
        <f>COUNTIFS(明細!$J$5:$J$363,A170)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46163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COUNTIFS(明細!$F$5:$F$363,A171)</f>
        <v/>
      </c>
      <c r="E171" s="98">
        <f>COUNTIFS(明細!$G$5:$G$363,A171)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COUNTIFS(明細!$I$5:$I$363,A171)</f>
        <v/>
      </c>
      <c r="L171" s="98">
        <f>COUNTIFS(明細!$J$5:$J$363,A171)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  <row r="172">
      <c r="A172" s="94" t="n">
        <v>46164</v>
      </c>
      <c r="B172" s="95">
        <f>CHOOSE(WEEKDAY(A172,2),"月","火","水","木","金","土","日")</f>
        <v/>
      </c>
      <c r="C172" s="96">
        <f>IF(OR(WEEKDAY(A172,2)&gt;=6,COUNTIF(祝日マスタ!$A:$A,A172)&gt;0),"非営業日","営業日")</f>
        <v/>
      </c>
      <c r="D172" s="97">
        <f>COUNTIFS(明細!$F$5:$F$363,A172)</f>
        <v/>
      </c>
      <c r="E172" s="98">
        <f>COUNTIFS(明細!$G$5:$G$363,A172)</f>
        <v/>
      </c>
      <c r="F172" s="99">
        <f>IF(D172=0,0,E172/D172)</f>
        <v/>
      </c>
      <c r="G172" s="100">
        <f>SUM($D$6:D172)</f>
        <v/>
      </c>
      <c r="H172" s="98">
        <f>SUM($E$6:E172)</f>
        <v/>
      </c>
      <c r="I172" s="99">
        <f>IF(G172=0,"",H172/G172)</f>
        <v/>
      </c>
      <c r="J172" s="101">
        <f>IF(A172&gt;$S$2,"予定",IF(G172=0,"－",IF(I172&gt;=1,"完了",IF(H172&gt;=G172,"順調","遅延"))))</f>
        <v/>
      </c>
      <c r="K172" s="97">
        <f>COUNTIFS(明細!$I$5:$I$363,A172)</f>
        <v/>
      </c>
      <c r="L172" s="98">
        <f>COUNTIFS(明細!$J$5:$J$363,A172)</f>
        <v/>
      </c>
      <c r="M172" s="99">
        <f>IF(K172=0,0,L172/K172)</f>
        <v/>
      </c>
      <c r="N172" s="100">
        <f>SUM($K$6:K172)</f>
        <v/>
      </c>
      <c r="O172" s="98">
        <f>SUM($L$6:L172)</f>
        <v/>
      </c>
      <c r="P172" s="99">
        <f>IF(N172=0,"",O172/N172)</f>
        <v/>
      </c>
      <c r="Q172" s="101">
        <f>IF(A172&gt;$S$2,"予定",IF(N172=0,"－",IF(P172&gt;=1,"完了",IF(O172&gt;=N172,"順調","遅延"))))</f>
        <v/>
      </c>
      <c r="R172" s="97">
        <f>D172+K172</f>
        <v/>
      </c>
      <c r="S172" s="102">
        <f>E172+L172</f>
        <v/>
      </c>
    </row>
    <row r="173">
      <c r="A173" s="94" t="n">
        <v>46165</v>
      </c>
      <c r="B173" s="95">
        <f>CHOOSE(WEEKDAY(A173,2),"月","火","水","木","金","土","日")</f>
        <v/>
      </c>
      <c r="C173" s="96">
        <f>IF(OR(WEEKDAY(A173,2)&gt;=6,COUNTIF(祝日マスタ!$A:$A,A173)&gt;0),"非営業日","営業日")</f>
        <v/>
      </c>
      <c r="D173" s="97">
        <f>COUNTIFS(明細!$F$5:$F$363,A173)</f>
        <v/>
      </c>
      <c r="E173" s="98">
        <f>COUNTIFS(明細!$G$5:$G$363,A173)</f>
        <v/>
      </c>
      <c r="F173" s="99">
        <f>IF(D173=0,0,E173/D173)</f>
        <v/>
      </c>
      <c r="G173" s="100">
        <f>SUM($D$6:D173)</f>
        <v/>
      </c>
      <c r="H173" s="98">
        <f>SUM($E$6:E173)</f>
        <v/>
      </c>
      <c r="I173" s="99">
        <f>IF(G173=0,"",H173/G173)</f>
        <v/>
      </c>
      <c r="J173" s="101">
        <f>IF(A173&gt;$S$2,"予定",IF(G173=0,"－",IF(I173&gt;=1,"完了",IF(H173&gt;=G173,"順調","遅延"))))</f>
        <v/>
      </c>
      <c r="K173" s="97">
        <f>COUNTIFS(明細!$I$5:$I$363,A173)</f>
        <v/>
      </c>
      <c r="L173" s="98">
        <f>COUNTIFS(明細!$J$5:$J$363,A173)</f>
        <v/>
      </c>
      <c r="M173" s="99">
        <f>IF(K173=0,0,L173/K173)</f>
        <v/>
      </c>
      <c r="N173" s="100">
        <f>SUM($K$6:K173)</f>
        <v/>
      </c>
      <c r="O173" s="98">
        <f>SUM($L$6:L173)</f>
        <v/>
      </c>
      <c r="P173" s="99">
        <f>IF(N173=0,"",O173/N173)</f>
        <v/>
      </c>
      <c r="Q173" s="101">
        <f>IF(A173&gt;$S$2,"予定",IF(N173=0,"－",IF(P173&gt;=1,"完了",IF(O173&gt;=N173,"順調","遅延"))))</f>
        <v/>
      </c>
      <c r="R173" s="97">
        <f>D173+K173</f>
        <v/>
      </c>
      <c r="S173" s="102">
        <f>E173+L173</f>
        <v/>
      </c>
    </row>
    <row r="174">
      <c r="A174" s="94" t="n">
        <v>46166</v>
      </c>
      <c r="B174" s="95">
        <f>CHOOSE(WEEKDAY(A174,2),"月","火","水","木","金","土","日")</f>
        <v/>
      </c>
      <c r="C174" s="96">
        <f>IF(OR(WEEKDAY(A174,2)&gt;=6,COUNTIF(祝日マスタ!$A:$A,A174)&gt;0),"非営業日","営業日")</f>
        <v/>
      </c>
      <c r="D174" s="97">
        <f>COUNTIFS(明細!$F$5:$F$363,A174)</f>
        <v/>
      </c>
      <c r="E174" s="98">
        <f>COUNTIFS(明細!$G$5:$G$363,A174)</f>
        <v/>
      </c>
      <c r="F174" s="99">
        <f>IF(D174=0,0,E174/D174)</f>
        <v/>
      </c>
      <c r="G174" s="100">
        <f>SUM($D$6:D174)</f>
        <v/>
      </c>
      <c r="H174" s="98">
        <f>SUM($E$6:E174)</f>
        <v/>
      </c>
      <c r="I174" s="99">
        <f>IF(G174=0,"",H174/G174)</f>
        <v/>
      </c>
      <c r="J174" s="101">
        <f>IF(A174&gt;$S$2,"予定",IF(G174=0,"－",IF(I174&gt;=1,"完了",IF(H174&gt;=G174,"順調","遅延"))))</f>
        <v/>
      </c>
      <c r="K174" s="97">
        <f>COUNTIFS(明細!$I$5:$I$363,A174)</f>
        <v/>
      </c>
      <c r="L174" s="98">
        <f>COUNTIFS(明細!$J$5:$J$363,A174)</f>
        <v/>
      </c>
      <c r="M174" s="99">
        <f>IF(K174=0,0,L174/K174)</f>
        <v/>
      </c>
      <c r="N174" s="100">
        <f>SUM($K$6:K174)</f>
        <v/>
      </c>
      <c r="O174" s="98">
        <f>SUM($L$6:L174)</f>
        <v/>
      </c>
      <c r="P174" s="99">
        <f>IF(N174=0,"",O174/N174)</f>
        <v/>
      </c>
      <c r="Q174" s="101">
        <f>IF(A174&gt;$S$2,"予定",IF(N174=0,"－",IF(P174&gt;=1,"完了",IF(O174&gt;=N174,"順調","遅延"))))</f>
        <v/>
      </c>
      <c r="R174" s="97">
        <f>D174+K174</f>
        <v/>
      </c>
      <c r="S174" s="102">
        <f>E174+L174</f>
        <v/>
      </c>
    </row>
    <row r="175">
      <c r="A175" s="94" t="n">
        <v>46167</v>
      </c>
      <c r="B175" s="95">
        <f>CHOOSE(WEEKDAY(A175,2),"月","火","水","木","金","土","日")</f>
        <v/>
      </c>
      <c r="C175" s="96">
        <f>IF(OR(WEEKDAY(A175,2)&gt;=6,COUNTIF(祝日マスタ!$A:$A,A175)&gt;0),"非営業日","営業日")</f>
        <v/>
      </c>
      <c r="D175" s="97">
        <f>COUNTIFS(明細!$F$5:$F$363,A175)</f>
        <v/>
      </c>
      <c r="E175" s="98">
        <f>COUNTIFS(明細!$G$5:$G$363,A175)</f>
        <v/>
      </c>
      <c r="F175" s="99">
        <f>IF(D175=0,0,E175/D175)</f>
        <v/>
      </c>
      <c r="G175" s="100">
        <f>SUM($D$6:D175)</f>
        <v/>
      </c>
      <c r="H175" s="98">
        <f>SUM($E$6:E175)</f>
        <v/>
      </c>
      <c r="I175" s="99">
        <f>IF(G175=0,"",H175/G175)</f>
        <v/>
      </c>
      <c r="J175" s="101">
        <f>IF(A175&gt;$S$2,"予定",IF(G175=0,"－",IF(I175&gt;=1,"完了",IF(H175&gt;=G175,"順調","遅延"))))</f>
        <v/>
      </c>
      <c r="K175" s="97">
        <f>COUNTIFS(明細!$I$5:$I$363,A175)</f>
        <v/>
      </c>
      <c r="L175" s="98">
        <f>COUNTIFS(明細!$J$5:$J$363,A175)</f>
        <v/>
      </c>
      <c r="M175" s="99">
        <f>IF(K175=0,0,L175/K175)</f>
        <v/>
      </c>
      <c r="N175" s="100">
        <f>SUM($K$6:K175)</f>
        <v/>
      </c>
      <c r="O175" s="98">
        <f>SUM($L$6:L175)</f>
        <v/>
      </c>
      <c r="P175" s="99">
        <f>IF(N175=0,"",O175/N175)</f>
        <v/>
      </c>
      <c r="Q175" s="101">
        <f>IF(A175&gt;$S$2,"予定",IF(N175=0,"－",IF(P175&gt;=1,"完了",IF(O175&gt;=N175,"順調","遅延"))))</f>
        <v/>
      </c>
      <c r="R175" s="97">
        <f>D175+K175</f>
        <v/>
      </c>
      <c r="S175" s="102">
        <f>E175+L175</f>
        <v/>
      </c>
    </row>
    <row r="176">
      <c r="A176" s="94" t="n">
        <v>46168</v>
      </c>
      <c r="B176" s="95">
        <f>CHOOSE(WEEKDAY(A176,2),"月","火","水","木","金","土","日")</f>
        <v/>
      </c>
      <c r="C176" s="96">
        <f>IF(OR(WEEKDAY(A176,2)&gt;=6,COUNTIF(祝日マスタ!$A:$A,A176)&gt;0),"非営業日","営業日")</f>
        <v/>
      </c>
      <c r="D176" s="97">
        <f>COUNTIFS(明細!$F$5:$F$363,A176)</f>
        <v/>
      </c>
      <c r="E176" s="98">
        <f>COUNTIFS(明細!$G$5:$G$363,A176)</f>
        <v/>
      </c>
      <c r="F176" s="99">
        <f>IF(D176=0,0,E176/D176)</f>
        <v/>
      </c>
      <c r="G176" s="100">
        <f>SUM($D$6:D176)</f>
        <v/>
      </c>
      <c r="H176" s="98">
        <f>SUM($E$6:E176)</f>
        <v/>
      </c>
      <c r="I176" s="99">
        <f>IF(G176=0,"",H176/G176)</f>
        <v/>
      </c>
      <c r="J176" s="101">
        <f>IF(A176&gt;$S$2,"予定",IF(G176=0,"－",IF(I176&gt;=1,"完了",IF(H176&gt;=G176,"順調","遅延"))))</f>
        <v/>
      </c>
      <c r="K176" s="97">
        <f>COUNTIFS(明細!$I$5:$I$363,A176)</f>
        <v/>
      </c>
      <c r="L176" s="98">
        <f>COUNTIFS(明細!$J$5:$J$363,A176)</f>
        <v/>
      </c>
      <c r="M176" s="99">
        <f>IF(K176=0,0,L176/K176)</f>
        <v/>
      </c>
      <c r="N176" s="100">
        <f>SUM($K$6:K176)</f>
        <v/>
      </c>
      <c r="O176" s="98">
        <f>SUM($L$6:L176)</f>
        <v/>
      </c>
      <c r="P176" s="99">
        <f>IF(N176=0,"",O176/N176)</f>
        <v/>
      </c>
      <c r="Q176" s="101">
        <f>IF(A176&gt;$S$2,"予定",IF(N176=0,"－",IF(P176&gt;=1,"完了",IF(O176&gt;=N176,"順調","遅延"))))</f>
        <v/>
      </c>
      <c r="R176" s="97">
        <f>D176+K176</f>
        <v/>
      </c>
      <c r="S176" s="102">
        <f>E176+L176</f>
        <v/>
      </c>
    </row>
    <row r="177">
      <c r="A177" s="94" t="n">
        <v>46169</v>
      </c>
      <c r="B177" s="95">
        <f>CHOOSE(WEEKDAY(A177,2),"月","火","水","木","金","土","日")</f>
        <v/>
      </c>
      <c r="C177" s="96">
        <f>IF(OR(WEEKDAY(A177,2)&gt;=6,COUNTIF(祝日マスタ!$A:$A,A177)&gt;0),"非営業日","営業日")</f>
        <v/>
      </c>
      <c r="D177" s="97">
        <f>COUNTIFS(明細!$F$5:$F$363,A177)</f>
        <v/>
      </c>
      <c r="E177" s="98">
        <f>COUNTIFS(明細!$G$5:$G$363,A177)</f>
        <v/>
      </c>
      <c r="F177" s="99">
        <f>IF(D177=0,0,E177/D177)</f>
        <v/>
      </c>
      <c r="G177" s="100">
        <f>SUM($D$6:D177)</f>
        <v/>
      </c>
      <c r="H177" s="98">
        <f>SUM($E$6:E177)</f>
        <v/>
      </c>
      <c r="I177" s="99">
        <f>IF(G177=0,"",H177/G177)</f>
        <v/>
      </c>
      <c r="J177" s="101">
        <f>IF(A177&gt;$S$2,"予定",IF(G177=0,"－",IF(I177&gt;=1,"完了",IF(H177&gt;=G177,"順調","遅延"))))</f>
        <v/>
      </c>
      <c r="K177" s="97">
        <f>COUNTIFS(明細!$I$5:$I$363,A177)</f>
        <v/>
      </c>
      <c r="L177" s="98">
        <f>COUNTIFS(明細!$J$5:$J$363,A177)</f>
        <v/>
      </c>
      <c r="M177" s="99">
        <f>IF(K177=0,0,L177/K177)</f>
        <v/>
      </c>
      <c r="N177" s="100">
        <f>SUM($K$6:K177)</f>
        <v/>
      </c>
      <c r="O177" s="98">
        <f>SUM($L$6:L177)</f>
        <v/>
      </c>
      <c r="P177" s="99">
        <f>IF(N177=0,"",O177/N177)</f>
        <v/>
      </c>
      <c r="Q177" s="101">
        <f>IF(A177&gt;$S$2,"予定",IF(N177=0,"－",IF(P177&gt;=1,"完了",IF(O177&gt;=N177,"順調","遅延"))))</f>
        <v/>
      </c>
      <c r="R177" s="97">
        <f>D177+K177</f>
        <v/>
      </c>
      <c r="S177" s="102">
        <f>E177+L177</f>
        <v/>
      </c>
    </row>
    <row r="178">
      <c r="A178" s="94" t="n">
        <v>46170</v>
      </c>
      <c r="B178" s="95">
        <f>CHOOSE(WEEKDAY(A178,2),"月","火","水","木","金","土","日")</f>
        <v/>
      </c>
      <c r="C178" s="96">
        <f>IF(OR(WEEKDAY(A178,2)&gt;=6,COUNTIF(祝日マスタ!$A:$A,A178)&gt;0),"非営業日","営業日")</f>
        <v/>
      </c>
      <c r="D178" s="97">
        <f>COUNTIFS(明細!$F$5:$F$363,A178)</f>
        <v/>
      </c>
      <c r="E178" s="98">
        <f>COUNTIFS(明細!$G$5:$G$363,A178)</f>
        <v/>
      </c>
      <c r="F178" s="99">
        <f>IF(D178=0,0,E178/D178)</f>
        <v/>
      </c>
      <c r="G178" s="100">
        <f>SUM($D$6:D178)</f>
        <v/>
      </c>
      <c r="H178" s="98">
        <f>SUM($E$6:E178)</f>
        <v/>
      </c>
      <c r="I178" s="99">
        <f>IF(G178=0,"",H178/G178)</f>
        <v/>
      </c>
      <c r="J178" s="101">
        <f>IF(A178&gt;$S$2,"予定",IF(G178=0,"－",IF(I178&gt;=1,"完了",IF(H178&gt;=G178,"順調","遅延"))))</f>
        <v/>
      </c>
      <c r="K178" s="97">
        <f>COUNTIFS(明細!$I$5:$I$363,A178)</f>
        <v/>
      </c>
      <c r="L178" s="98">
        <f>COUNTIFS(明細!$J$5:$J$363,A178)</f>
        <v/>
      </c>
      <c r="M178" s="99">
        <f>IF(K178=0,0,L178/K178)</f>
        <v/>
      </c>
      <c r="N178" s="100">
        <f>SUM($K$6:K178)</f>
        <v/>
      </c>
      <c r="O178" s="98">
        <f>SUM($L$6:L178)</f>
        <v/>
      </c>
      <c r="P178" s="99">
        <f>IF(N178=0,"",O178/N178)</f>
        <v/>
      </c>
      <c r="Q178" s="101">
        <f>IF(A178&gt;$S$2,"予定",IF(N178=0,"－",IF(P178&gt;=1,"完了",IF(O178&gt;=N178,"順調","遅延"))))</f>
        <v/>
      </c>
      <c r="R178" s="97">
        <f>D178+K178</f>
        <v/>
      </c>
      <c r="S178" s="102">
        <f>E178+L178</f>
        <v/>
      </c>
    </row>
    <row r="179">
      <c r="A179" s="94" t="n">
        <v>46171</v>
      </c>
      <c r="B179" s="95">
        <f>CHOOSE(WEEKDAY(A179,2),"月","火","水","木","金","土","日")</f>
        <v/>
      </c>
      <c r="C179" s="96">
        <f>IF(OR(WEEKDAY(A179,2)&gt;=6,COUNTIF(祝日マスタ!$A:$A,A179)&gt;0),"非営業日","営業日")</f>
        <v/>
      </c>
      <c r="D179" s="97">
        <f>COUNTIFS(明細!$F$5:$F$363,A179)</f>
        <v/>
      </c>
      <c r="E179" s="98">
        <f>COUNTIFS(明細!$G$5:$G$363,A179)</f>
        <v/>
      </c>
      <c r="F179" s="99">
        <f>IF(D179=0,0,E179/D179)</f>
        <v/>
      </c>
      <c r="G179" s="100">
        <f>SUM($D$6:D179)</f>
        <v/>
      </c>
      <c r="H179" s="98">
        <f>SUM($E$6:E179)</f>
        <v/>
      </c>
      <c r="I179" s="99">
        <f>IF(G179=0,"",H179/G179)</f>
        <v/>
      </c>
      <c r="J179" s="101">
        <f>IF(A179&gt;$S$2,"予定",IF(G179=0,"－",IF(I179&gt;=1,"完了",IF(H179&gt;=G179,"順調","遅延"))))</f>
        <v/>
      </c>
      <c r="K179" s="97">
        <f>COUNTIFS(明細!$I$5:$I$363,A179)</f>
        <v/>
      </c>
      <c r="L179" s="98">
        <f>COUNTIFS(明細!$J$5:$J$363,A179)</f>
        <v/>
      </c>
      <c r="M179" s="99">
        <f>IF(K179=0,0,L179/K179)</f>
        <v/>
      </c>
      <c r="N179" s="100">
        <f>SUM($K$6:K179)</f>
        <v/>
      </c>
      <c r="O179" s="98">
        <f>SUM($L$6:L179)</f>
        <v/>
      </c>
      <c r="P179" s="99">
        <f>IF(N179=0,"",O179/N179)</f>
        <v/>
      </c>
      <c r="Q179" s="101">
        <f>IF(A179&gt;$S$2,"予定",IF(N179=0,"－",IF(P179&gt;=1,"完了",IF(O179&gt;=N179,"順調","遅延"))))</f>
        <v/>
      </c>
      <c r="R179" s="97">
        <f>D179+K179</f>
        <v/>
      </c>
      <c r="S179" s="102">
        <f>E179+L179</f>
        <v/>
      </c>
    </row>
    <row r="180">
      <c r="A180" s="94" t="n">
        <v>46172</v>
      </c>
      <c r="B180" s="95">
        <f>CHOOSE(WEEKDAY(A180,2),"月","火","水","木","金","土","日")</f>
        <v/>
      </c>
      <c r="C180" s="96">
        <f>IF(OR(WEEKDAY(A180,2)&gt;=6,COUNTIF(祝日マスタ!$A:$A,A180)&gt;0),"非営業日","営業日")</f>
        <v/>
      </c>
      <c r="D180" s="97">
        <f>COUNTIFS(明細!$F$5:$F$363,A180)</f>
        <v/>
      </c>
      <c r="E180" s="98">
        <f>COUNTIFS(明細!$G$5:$G$363,A180)</f>
        <v/>
      </c>
      <c r="F180" s="99">
        <f>IF(D180=0,0,E180/D180)</f>
        <v/>
      </c>
      <c r="G180" s="100">
        <f>SUM($D$6:D180)</f>
        <v/>
      </c>
      <c r="H180" s="98">
        <f>SUM($E$6:E180)</f>
        <v/>
      </c>
      <c r="I180" s="99">
        <f>IF(G180=0,"",H180/G180)</f>
        <v/>
      </c>
      <c r="J180" s="101">
        <f>IF(A180&gt;$S$2,"予定",IF(G180=0,"－",IF(I180&gt;=1,"完了",IF(H180&gt;=G180,"順調","遅延"))))</f>
        <v/>
      </c>
      <c r="K180" s="97">
        <f>COUNTIFS(明細!$I$5:$I$363,A180)</f>
        <v/>
      </c>
      <c r="L180" s="98">
        <f>COUNTIFS(明細!$J$5:$J$363,A180)</f>
        <v/>
      </c>
      <c r="M180" s="99">
        <f>IF(K180=0,0,L180/K180)</f>
        <v/>
      </c>
      <c r="N180" s="100">
        <f>SUM($K$6:K180)</f>
        <v/>
      </c>
      <c r="O180" s="98">
        <f>SUM($L$6:L180)</f>
        <v/>
      </c>
      <c r="P180" s="99">
        <f>IF(N180=0,"",O180/N180)</f>
        <v/>
      </c>
      <c r="Q180" s="101">
        <f>IF(A180&gt;$S$2,"予定",IF(N180=0,"－",IF(P180&gt;=1,"完了",IF(O180&gt;=N180,"順調","遅延"))))</f>
        <v/>
      </c>
      <c r="R180" s="97">
        <f>D180+K180</f>
        <v/>
      </c>
      <c r="S180" s="102">
        <f>E180+L180</f>
        <v/>
      </c>
    </row>
    <row r="181">
      <c r="A181" s="94" t="n">
        <v>46173</v>
      </c>
      <c r="B181" s="95">
        <f>CHOOSE(WEEKDAY(A181,2),"月","火","水","木","金","土","日")</f>
        <v/>
      </c>
      <c r="C181" s="96">
        <f>IF(OR(WEEKDAY(A181,2)&gt;=6,COUNTIF(祝日マスタ!$A:$A,A181)&gt;0),"非営業日","営業日")</f>
        <v/>
      </c>
      <c r="D181" s="97">
        <f>COUNTIFS(明細!$F$5:$F$363,A181)</f>
        <v/>
      </c>
      <c r="E181" s="98">
        <f>COUNTIFS(明細!$G$5:$G$363,A181)</f>
        <v/>
      </c>
      <c r="F181" s="99">
        <f>IF(D181=0,0,E181/D181)</f>
        <v/>
      </c>
      <c r="G181" s="100">
        <f>SUM($D$6:D181)</f>
        <v/>
      </c>
      <c r="H181" s="98">
        <f>SUM($E$6:E181)</f>
        <v/>
      </c>
      <c r="I181" s="99">
        <f>IF(G181=0,"",H181/G181)</f>
        <v/>
      </c>
      <c r="J181" s="101">
        <f>IF(A181&gt;$S$2,"予定",IF(G181=0,"－",IF(I181&gt;=1,"完了",IF(H181&gt;=G181,"順調","遅延"))))</f>
        <v/>
      </c>
      <c r="K181" s="97">
        <f>COUNTIFS(明細!$I$5:$I$363,A181)</f>
        <v/>
      </c>
      <c r="L181" s="98">
        <f>COUNTIFS(明細!$J$5:$J$363,A181)</f>
        <v/>
      </c>
      <c r="M181" s="99">
        <f>IF(K181=0,0,L181/K181)</f>
        <v/>
      </c>
      <c r="N181" s="100">
        <f>SUM($K$6:K181)</f>
        <v/>
      </c>
      <c r="O181" s="98">
        <f>SUM($L$6:L181)</f>
        <v/>
      </c>
      <c r="P181" s="99">
        <f>IF(N181=0,"",O181/N181)</f>
        <v/>
      </c>
      <c r="Q181" s="101">
        <f>IF(A181&gt;$S$2,"予定",IF(N181=0,"－",IF(P181&gt;=1,"完了",IF(O181&gt;=N181,"順調","遅延"))))</f>
        <v/>
      </c>
      <c r="R181" s="97">
        <f>D181+K181</f>
        <v/>
      </c>
      <c r="S181" s="102">
        <f>E181+L181</f>
        <v/>
      </c>
    </row>
    <row r="182">
      <c r="A182" s="94" t="n">
        <v>46174</v>
      </c>
      <c r="B182" s="95">
        <f>CHOOSE(WEEKDAY(A182,2),"月","火","水","木","金","土","日")</f>
        <v/>
      </c>
      <c r="C182" s="96">
        <f>IF(OR(WEEKDAY(A182,2)&gt;=6,COUNTIF(祝日マスタ!$A:$A,A182)&gt;0),"非営業日","営業日")</f>
        <v/>
      </c>
      <c r="D182" s="97">
        <f>COUNTIFS(明細!$F$5:$F$363,A182)</f>
        <v/>
      </c>
      <c r="E182" s="98">
        <f>COUNTIFS(明細!$G$5:$G$363,A182)</f>
        <v/>
      </c>
      <c r="F182" s="99">
        <f>IF(D182=0,0,E182/D182)</f>
        <v/>
      </c>
      <c r="G182" s="100">
        <f>SUM($D$6:D182)</f>
        <v/>
      </c>
      <c r="H182" s="98">
        <f>SUM($E$6:E182)</f>
        <v/>
      </c>
      <c r="I182" s="99">
        <f>IF(G182=0,"",H182/G182)</f>
        <v/>
      </c>
      <c r="J182" s="101">
        <f>IF(A182&gt;$S$2,"予定",IF(G182=0,"－",IF(I182&gt;=1,"完了",IF(H182&gt;=G182,"順調","遅延"))))</f>
        <v/>
      </c>
      <c r="K182" s="97">
        <f>COUNTIFS(明細!$I$5:$I$363,A182)</f>
        <v/>
      </c>
      <c r="L182" s="98">
        <f>COUNTIFS(明細!$J$5:$J$363,A182)</f>
        <v/>
      </c>
      <c r="M182" s="99">
        <f>IF(K182=0,0,L182/K182)</f>
        <v/>
      </c>
      <c r="N182" s="100">
        <f>SUM($K$6:K182)</f>
        <v/>
      </c>
      <c r="O182" s="98">
        <f>SUM($L$6:L182)</f>
        <v/>
      </c>
      <c r="P182" s="99">
        <f>IF(N182=0,"",O182/N182)</f>
        <v/>
      </c>
      <c r="Q182" s="101">
        <f>IF(A182&gt;$S$2,"予定",IF(N182=0,"－",IF(P182&gt;=1,"完了",IF(O182&gt;=N182,"順調","遅延"))))</f>
        <v/>
      </c>
      <c r="R182" s="97">
        <f>D182+K182</f>
        <v/>
      </c>
      <c r="S182" s="102">
        <f>E182+L182</f>
        <v/>
      </c>
    </row>
    <row r="183">
      <c r="A183" s="94" t="n">
        <v>46175</v>
      </c>
      <c r="B183" s="95">
        <f>CHOOSE(WEEKDAY(A183,2),"月","火","水","木","金","土","日")</f>
        <v/>
      </c>
      <c r="C183" s="96">
        <f>IF(OR(WEEKDAY(A183,2)&gt;=6,COUNTIF(祝日マスタ!$A:$A,A183)&gt;0),"非営業日","営業日")</f>
        <v/>
      </c>
      <c r="D183" s="97">
        <f>COUNTIFS(明細!$F$5:$F$363,A183)</f>
        <v/>
      </c>
      <c r="E183" s="98">
        <f>COUNTIFS(明細!$G$5:$G$363,A183)</f>
        <v/>
      </c>
      <c r="F183" s="99">
        <f>IF(D183=0,0,E183/D183)</f>
        <v/>
      </c>
      <c r="G183" s="100">
        <f>SUM($D$6:D183)</f>
        <v/>
      </c>
      <c r="H183" s="98">
        <f>SUM($E$6:E183)</f>
        <v/>
      </c>
      <c r="I183" s="99">
        <f>IF(G183=0,"",H183/G183)</f>
        <v/>
      </c>
      <c r="J183" s="101">
        <f>IF(A183&gt;$S$2,"予定",IF(G183=0,"－",IF(I183&gt;=1,"完了",IF(H183&gt;=G183,"順調","遅延"))))</f>
        <v/>
      </c>
      <c r="K183" s="97">
        <f>COUNTIFS(明細!$I$5:$I$363,A183)</f>
        <v/>
      </c>
      <c r="L183" s="98">
        <f>COUNTIFS(明細!$J$5:$J$363,A183)</f>
        <v/>
      </c>
      <c r="M183" s="99">
        <f>IF(K183=0,0,L183/K183)</f>
        <v/>
      </c>
      <c r="N183" s="100">
        <f>SUM($K$6:K183)</f>
        <v/>
      </c>
      <c r="O183" s="98">
        <f>SUM($L$6:L183)</f>
        <v/>
      </c>
      <c r="P183" s="99">
        <f>IF(N183=0,"",O183/N183)</f>
        <v/>
      </c>
      <c r="Q183" s="101">
        <f>IF(A183&gt;$S$2,"予定",IF(N183=0,"－",IF(P183&gt;=1,"完了",IF(O183&gt;=N183,"順調","遅延"))))</f>
        <v/>
      </c>
      <c r="R183" s="97">
        <f>D183+K183</f>
        <v/>
      </c>
      <c r="S183" s="102">
        <f>E183+L183</f>
        <v/>
      </c>
    </row>
    <row r="184">
      <c r="A184" s="94" t="n">
        <v>46176</v>
      </c>
      <c r="B184" s="95">
        <f>CHOOSE(WEEKDAY(A184,2),"月","火","水","木","金","土","日")</f>
        <v/>
      </c>
      <c r="C184" s="96">
        <f>IF(OR(WEEKDAY(A184,2)&gt;=6,COUNTIF(祝日マスタ!$A:$A,A184)&gt;0),"非営業日","営業日")</f>
        <v/>
      </c>
      <c r="D184" s="97">
        <f>COUNTIFS(明細!$F$5:$F$363,A184)</f>
        <v/>
      </c>
      <c r="E184" s="98">
        <f>COUNTIFS(明細!$G$5:$G$363,A184)</f>
        <v/>
      </c>
      <c r="F184" s="99">
        <f>IF(D184=0,0,E184/D184)</f>
        <v/>
      </c>
      <c r="G184" s="100">
        <f>SUM($D$6:D184)</f>
        <v/>
      </c>
      <c r="H184" s="98">
        <f>SUM($E$6:E184)</f>
        <v/>
      </c>
      <c r="I184" s="99">
        <f>IF(G184=0,"",H184/G184)</f>
        <v/>
      </c>
      <c r="J184" s="101">
        <f>IF(A184&gt;$S$2,"予定",IF(G184=0,"－",IF(I184&gt;=1,"完了",IF(H184&gt;=G184,"順調","遅延"))))</f>
        <v/>
      </c>
      <c r="K184" s="97">
        <f>COUNTIFS(明細!$I$5:$I$363,A184)</f>
        <v/>
      </c>
      <c r="L184" s="98">
        <f>COUNTIFS(明細!$J$5:$J$363,A184)</f>
        <v/>
      </c>
      <c r="M184" s="99">
        <f>IF(K184=0,0,L184/K184)</f>
        <v/>
      </c>
      <c r="N184" s="100">
        <f>SUM($K$6:K184)</f>
        <v/>
      </c>
      <c r="O184" s="98">
        <f>SUM($L$6:L184)</f>
        <v/>
      </c>
      <c r="P184" s="99">
        <f>IF(N184=0,"",O184/N184)</f>
        <v/>
      </c>
      <c r="Q184" s="101">
        <f>IF(A184&gt;$S$2,"予定",IF(N184=0,"－",IF(P184&gt;=1,"完了",IF(O184&gt;=N184,"順調","遅延"))))</f>
        <v/>
      </c>
      <c r="R184" s="97">
        <f>D184+K184</f>
        <v/>
      </c>
      <c r="S184" s="102">
        <f>E184+L184</f>
        <v/>
      </c>
    </row>
    <row r="185">
      <c r="A185" s="94" t="n">
        <v>46177</v>
      </c>
      <c r="B185" s="95">
        <f>CHOOSE(WEEKDAY(A185,2),"月","火","水","木","金","土","日")</f>
        <v/>
      </c>
      <c r="C185" s="96">
        <f>IF(OR(WEEKDAY(A185,2)&gt;=6,COUNTIF(祝日マスタ!$A:$A,A185)&gt;0),"非営業日","営業日")</f>
        <v/>
      </c>
      <c r="D185" s="97">
        <f>COUNTIFS(明細!$F$5:$F$363,A185)</f>
        <v/>
      </c>
      <c r="E185" s="98">
        <f>COUNTIFS(明細!$G$5:$G$363,A185)</f>
        <v/>
      </c>
      <c r="F185" s="99">
        <f>IF(D185=0,0,E185/D185)</f>
        <v/>
      </c>
      <c r="G185" s="100">
        <f>SUM($D$6:D185)</f>
        <v/>
      </c>
      <c r="H185" s="98">
        <f>SUM($E$6:E185)</f>
        <v/>
      </c>
      <c r="I185" s="99">
        <f>IF(G185=0,"",H185/G185)</f>
        <v/>
      </c>
      <c r="J185" s="101">
        <f>IF(A185&gt;$S$2,"予定",IF(G185=0,"－",IF(I185&gt;=1,"完了",IF(H185&gt;=G185,"順調","遅延"))))</f>
        <v/>
      </c>
      <c r="K185" s="97">
        <f>COUNTIFS(明細!$I$5:$I$363,A185)</f>
        <v/>
      </c>
      <c r="L185" s="98">
        <f>COUNTIFS(明細!$J$5:$J$363,A185)</f>
        <v/>
      </c>
      <c r="M185" s="99">
        <f>IF(K185=0,0,L185/K185)</f>
        <v/>
      </c>
      <c r="N185" s="100">
        <f>SUM($K$6:K185)</f>
        <v/>
      </c>
      <c r="O185" s="98">
        <f>SUM($L$6:L185)</f>
        <v/>
      </c>
      <c r="P185" s="99">
        <f>IF(N185=0,"",O185/N185)</f>
        <v/>
      </c>
      <c r="Q185" s="101">
        <f>IF(A185&gt;$S$2,"予定",IF(N185=0,"－",IF(P185&gt;=1,"完了",IF(O185&gt;=N185,"順調","遅延"))))</f>
        <v/>
      </c>
      <c r="R185" s="97">
        <f>D185+K185</f>
        <v/>
      </c>
      <c r="S185" s="102">
        <f>E185+L185</f>
        <v/>
      </c>
    </row>
    <row r="186">
      <c r="A186" s="94" t="n">
        <v>46178</v>
      </c>
      <c r="B186" s="95">
        <f>CHOOSE(WEEKDAY(A186,2),"月","火","水","木","金","土","日")</f>
        <v/>
      </c>
      <c r="C186" s="96">
        <f>IF(OR(WEEKDAY(A186,2)&gt;=6,COUNTIF(祝日マスタ!$A:$A,A186)&gt;0),"非営業日","営業日")</f>
        <v/>
      </c>
      <c r="D186" s="97">
        <f>COUNTIFS(明細!$F$5:$F$363,A186)</f>
        <v/>
      </c>
      <c r="E186" s="98">
        <f>COUNTIFS(明細!$G$5:$G$363,A186)</f>
        <v/>
      </c>
      <c r="F186" s="99">
        <f>IF(D186=0,0,E186/D186)</f>
        <v/>
      </c>
      <c r="G186" s="100">
        <f>SUM($D$6:D186)</f>
        <v/>
      </c>
      <c r="H186" s="98">
        <f>SUM($E$6:E186)</f>
        <v/>
      </c>
      <c r="I186" s="99">
        <f>IF(G186=0,"",H186/G186)</f>
        <v/>
      </c>
      <c r="J186" s="101">
        <f>IF(A186&gt;$S$2,"予定",IF(G186=0,"－",IF(I186&gt;=1,"完了",IF(H186&gt;=G186,"順調","遅延"))))</f>
        <v/>
      </c>
      <c r="K186" s="97">
        <f>COUNTIFS(明細!$I$5:$I$363,A186)</f>
        <v/>
      </c>
      <c r="L186" s="98">
        <f>COUNTIFS(明細!$J$5:$J$363,A186)</f>
        <v/>
      </c>
      <c r="M186" s="99">
        <f>IF(K186=0,0,L186/K186)</f>
        <v/>
      </c>
      <c r="N186" s="100">
        <f>SUM($K$6:K186)</f>
        <v/>
      </c>
      <c r="O186" s="98">
        <f>SUM($L$6:L186)</f>
        <v/>
      </c>
      <c r="P186" s="99">
        <f>IF(N186=0,"",O186/N186)</f>
        <v/>
      </c>
      <c r="Q186" s="101">
        <f>IF(A186&gt;$S$2,"予定",IF(N186=0,"－",IF(P186&gt;=1,"完了",IF(O186&gt;=N186,"順調","遅延"))))</f>
        <v/>
      </c>
      <c r="R186" s="97">
        <f>D186+K186</f>
        <v/>
      </c>
      <c r="S186" s="102">
        <f>E186+L186</f>
        <v/>
      </c>
    </row>
    <row r="187">
      <c r="A187" s="94" t="n">
        <v>46179</v>
      </c>
      <c r="B187" s="95">
        <f>CHOOSE(WEEKDAY(A187,2),"月","火","水","木","金","土","日")</f>
        <v/>
      </c>
      <c r="C187" s="96">
        <f>IF(OR(WEEKDAY(A187,2)&gt;=6,COUNTIF(祝日マスタ!$A:$A,A187)&gt;0),"非営業日","営業日")</f>
        <v/>
      </c>
      <c r="D187" s="97">
        <f>COUNTIFS(明細!$F$5:$F$363,A187)</f>
        <v/>
      </c>
      <c r="E187" s="98">
        <f>COUNTIFS(明細!$G$5:$G$363,A187)</f>
        <v/>
      </c>
      <c r="F187" s="99">
        <f>IF(D187=0,0,E187/D187)</f>
        <v/>
      </c>
      <c r="G187" s="100">
        <f>SUM($D$6:D187)</f>
        <v/>
      </c>
      <c r="H187" s="98">
        <f>SUM($E$6:E187)</f>
        <v/>
      </c>
      <c r="I187" s="99">
        <f>IF(G187=0,"",H187/G187)</f>
        <v/>
      </c>
      <c r="J187" s="101">
        <f>IF(A187&gt;$S$2,"予定",IF(G187=0,"－",IF(I187&gt;=1,"完了",IF(H187&gt;=G187,"順調","遅延"))))</f>
        <v/>
      </c>
      <c r="K187" s="97">
        <f>COUNTIFS(明細!$I$5:$I$363,A187)</f>
        <v/>
      </c>
      <c r="L187" s="98">
        <f>COUNTIFS(明細!$J$5:$J$363,A187)</f>
        <v/>
      </c>
      <c r="M187" s="99">
        <f>IF(K187=0,0,L187/K187)</f>
        <v/>
      </c>
      <c r="N187" s="100">
        <f>SUM($K$6:K187)</f>
        <v/>
      </c>
      <c r="O187" s="98">
        <f>SUM($L$6:L187)</f>
        <v/>
      </c>
      <c r="P187" s="99">
        <f>IF(N187=0,"",O187/N187)</f>
        <v/>
      </c>
      <c r="Q187" s="101">
        <f>IF(A187&gt;$S$2,"予定",IF(N187=0,"－",IF(P187&gt;=1,"完了",IF(O187&gt;=N187,"順調","遅延"))))</f>
        <v/>
      </c>
      <c r="R187" s="97">
        <f>D187+K187</f>
        <v/>
      </c>
      <c r="S187" s="102">
        <f>E187+L187</f>
        <v/>
      </c>
    </row>
    <row r="188">
      <c r="A188" s="94" t="n">
        <v>46180</v>
      </c>
      <c r="B188" s="95">
        <f>CHOOSE(WEEKDAY(A188,2),"月","火","水","木","金","土","日")</f>
        <v/>
      </c>
      <c r="C188" s="96">
        <f>IF(OR(WEEKDAY(A188,2)&gt;=6,COUNTIF(祝日マスタ!$A:$A,A188)&gt;0),"非営業日","営業日")</f>
        <v/>
      </c>
      <c r="D188" s="97">
        <f>COUNTIFS(明細!$F$5:$F$363,A188)</f>
        <v/>
      </c>
      <c r="E188" s="98">
        <f>COUNTIFS(明細!$G$5:$G$363,A188)</f>
        <v/>
      </c>
      <c r="F188" s="99">
        <f>IF(D188=0,0,E188/D188)</f>
        <v/>
      </c>
      <c r="G188" s="100">
        <f>SUM($D$6:D188)</f>
        <v/>
      </c>
      <c r="H188" s="98">
        <f>SUM($E$6:E188)</f>
        <v/>
      </c>
      <c r="I188" s="99">
        <f>IF(G188=0,"",H188/G188)</f>
        <v/>
      </c>
      <c r="J188" s="101">
        <f>IF(A188&gt;$S$2,"予定",IF(G188=0,"－",IF(I188&gt;=1,"完了",IF(H188&gt;=G188,"順調","遅延"))))</f>
        <v/>
      </c>
      <c r="K188" s="97">
        <f>COUNTIFS(明細!$I$5:$I$363,A188)</f>
        <v/>
      </c>
      <c r="L188" s="98">
        <f>COUNTIFS(明細!$J$5:$J$363,A188)</f>
        <v/>
      </c>
      <c r="M188" s="99">
        <f>IF(K188=0,0,L188/K188)</f>
        <v/>
      </c>
      <c r="N188" s="100">
        <f>SUM($K$6:K188)</f>
        <v/>
      </c>
      <c r="O188" s="98">
        <f>SUM($L$6:L188)</f>
        <v/>
      </c>
      <c r="P188" s="99">
        <f>IF(N188=0,"",O188/N188)</f>
        <v/>
      </c>
      <c r="Q188" s="101">
        <f>IF(A188&gt;$S$2,"予定",IF(N188=0,"－",IF(P188&gt;=1,"完了",IF(O188&gt;=N188,"順調","遅延"))))</f>
        <v/>
      </c>
      <c r="R188" s="97">
        <f>D188+K188</f>
        <v/>
      </c>
      <c r="S188" s="102">
        <f>E188+L188</f>
        <v/>
      </c>
    </row>
    <row r="189">
      <c r="A189" s="94" t="n">
        <v>46181</v>
      </c>
      <c r="B189" s="95">
        <f>CHOOSE(WEEKDAY(A189,2),"月","火","水","木","金","土","日")</f>
        <v/>
      </c>
      <c r="C189" s="96">
        <f>IF(OR(WEEKDAY(A189,2)&gt;=6,COUNTIF(祝日マスタ!$A:$A,A189)&gt;0),"非営業日","営業日")</f>
        <v/>
      </c>
      <c r="D189" s="97">
        <f>COUNTIFS(明細!$F$5:$F$363,A189)</f>
        <v/>
      </c>
      <c r="E189" s="98">
        <f>COUNTIFS(明細!$G$5:$G$363,A189)</f>
        <v/>
      </c>
      <c r="F189" s="99">
        <f>IF(D189=0,0,E189/D189)</f>
        <v/>
      </c>
      <c r="G189" s="100">
        <f>SUM($D$6:D189)</f>
        <v/>
      </c>
      <c r="H189" s="98">
        <f>SUM($E$6:E189)</f>
        <v/>
      </c>
      <c r="I189" s="99">
        <f>IF(G189=0,"",H189/G189)</f>
        <v/>
      </c>
      <c r="J189" s="101">
        <f>IF(A189&gt;$S$2,"予定",IF(G189=0,"－",IF(I189&gt;=1,"完了",IF(H189&gt;=G189,"順調","遅延"))))</f>
        <v/>
      </c>
      <c r="K189" s="97">
        <f>COUNTIFS(明細!$I$5:$I$363,A189)</f>
        <v/>
      </c>
      <c r="L189" s="98">
        <f>COUNTIFS(明細!$J$5:$J$363,A189)</f>
        <v/>
      </c>
      <c r="M189" s="99">
        <f>IF(K189=0,0,L189/K189)</f>
        <v/>
      </c>
      <c r="N189" s="100">
        <f>SUM($K$6:K189)</f>
        <v/>
      </c>
      <c r="O189" s="98">
        <f>SUM($L$6:L189)</f>
        <v/>
      </c>
      <c r="P189" s="99">
        <f>IF(N189=0,"",O189/N189)</f>
        <v/>
      </c>
      <c r="Q189" s="101">
        <f>IF(A189&gt;$S$2,"予定",IF(N189=0,"－",IF(P189&gt;=1,"完了",IF(O189&gt;=N189,"順調","遅延"))))</f>
        <v/>
      </c>
      <c r="R189" s="97">
        <f>D189+K189</f>
        <v/>
      </c>
      <c r="S189" s="102">
        <f>E189+L189</f>
        <v/>
      </c>
    </row>
    <row r="190">
      <c r="A190" s="94" t="n">
        <v>46182</v>
      </c>
      <c r="B190" s="95">
        <f>CHOOSE(WEEKDAY(A190,2),"月","火","水","木","金","土","日")</f>
        <v/>
      </c>
      <c r="C190" s="96">
        <f>IF(OR(WEEKDAY(A190,2)&gt;=6,COUNTIF(祝日マスタ!$A:$A,A190)&gt;0),"非営業日","営業日")</f>
        <v/>
      </c>
      <c r="D190" s="97">
        <f>COUNTIFS(明細!$F$5:$F$363,A190)</f>
        <v/>
      </c>
      <c r="E190" s="98">
        <f>COUNTIFS(明細!$G$5:$G$363,A190)</f>
        <v/>
      </c>
      <c r="F190" s="99">
        <f>IF(D190=0,0,E190/D190)</f>
        <v/>
      </c>
      <c r="G190" s="100">
        <f>SUM($D$6:D190)</f>
        <v/>
      </c>
      <c r="H190" s="98">
        <f>SUM($E$6:E190)</f>
        <v/>
      </c>
      <c r="I190" s="99">
        <f>IF(G190=0,"",H190/G190)</f>
        <v/>
      </c>
      <c r="J190" s="101">
        <f>IF(A190&gt;$S$2,"予定",IF(G190=0,"－",IF(I190&gt;=1,"完了",IF(H190&gt;=G190,"順調","遅延"))))</f>
        <v/>
      </c>
      <c r="K190" s="97">
        <f>COUNTIFS(明細!$I$5:$I$363,A190)</f>
        <v/>
      </c>
      <c r="L190" s="98">
        <f>COUNTIFS(明細!$J$5:$J$363,A190)</f>
        <v/>
      </c>
      <c r="M190" s="99">
        <f>IF(K190=0,0,L190/K190)</f>
        <v/>
      </c>
      <c r="N190" s="100">
        <f>SUM($K$6:K190)</f>
        <v/>
      </c>
      <c r="O190" s="98">
        <f>SUM($L$6:L190)</f>
        <v/>
      </c>
      <c r="P190" s="99">
        <f>IF(N190=0,"",O190/N190)</f>
        <v/>
      </c>
      <c r="Q190" s="101">
        <f>IF(A190&gt;$S$2,"予定",IF(N190=0,"－",IF(P190&gt;=1,"完了",IF(O190&gt;=N190,"順調","遅延"))))</f>
        <v/>
      </c>
      <c r="R190" s="97">
        <f>D190+K190</f>
        <v/>
      </c>
      <c r="S190" s="102">
        <f>E190+L190</f>
        <v/>
      </c>
    </row>
    <row r="191">
      <c r="A191" s="94" t="n">
        <v>46183</v>
      </c>
      <c r="B191" s="95">
        <f>CHOOSE(WEEKDAY(A191,2),"月","火","水","木","金","土","日")</f>
        <v/>
      </c>
      <c r="C191" s="96">
        <f>IF(OR(WEEKDAY(A191,2)&gt;=6,COUNTIF(祝日マスタ!$A:$A,A191)&gt;0),"非営業日","営業日")</f>
        <v/>
      </c>
      <c r="D191" s="97">
        <f>COUNTIFS(明細!$F$5:$F$363,A191)</f>
        <v/>
      </c>
      <c r="E191" s="98">
        <f>COUNTIFS(明細!$G$5:$G$363,A191)</f>
        <v/>
      </c>
      <c r="F191" s="99">
        <f>IF(D191=0,0,E191/D191)</f>
        <v/>
      </c>
      <c r="G191" s="100">
        <f>SUM($D$6:D191)</f>
        <v/>
      </c>
      <c r="H191" s="98">
        <f>SUM($E$6:E191)</f>
        <v/>
      </c>
      <c r="I191" s="99">
        <f>IF(G191=0,"",H191/G191)</f>
        <v/>
      </c>
      <c r="J191" s="101">
        <f>IF(A191&gt;$S$2,"予定",IF(G191=0,"－",IF(I191&gt;=1,"完了",IF(H191&gt;=G191,"順調","遅延"))))</f>
        <v/>
      </c>
      <c r="K191" s="97">
        <f>COUNTIFS(明細!$I$5:$I$363,A191)</f>
        <v/>
      </c>
      <c r="L191" s="98">
        <f>COUNTIFS(明細!$J$5:$J$363,A191)</f>
        <v/>
      </c>
      <c r="M191" s="99">
        <f>IF(K191=0,0,L191/K191)</f>
        <v/>
      </c>
      <c r="N191" s="100">
        <f>SUM($K$6:K191)</f>
        <v/>
      </c>
      <c r="O191" s="98">
        <f>SUM($L$6:L191)</f>
        <v/>
      </c>
      <c r="P191" s="99">
        <f>IF(N191=0,"",O191/N191)</f>
        <v/>
      </c>
      <c r="Q191" s="101">
        <f>IF(A191&gt;$S$2,"予定",IF(N191=0,"－",IF(P191&gt;=1,"完了",IF(O191&gt;=N191,"順調","遅延"))))</f>
        <v/>
      </c>
      <c r="R191" s="97">
        <f>D191+K191</f>
        <v/>
      </c>
      <c r="S191" s="102">
        <f>E191+L191</f>
        <v/>
      </c>
    </row>
  </sheetData>
  <mergeCells count="5">
    <mergeCell ref="D3:J3"/>
    <mergeCell ref="K3:Q3"/>
    <mergeCell ref="A1:S1"/>
    <mergeCell ref="A3:C3"/>
    <mergeCell ref="R3:S3"/>
  </mergeCells>
  <conditionalFormatting sqref="J5:J191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91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91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91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91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ADC"/>
    <outlinePr summaryBelow="1" summaryRight="1"/>
    <pageSetUpPr/>
  </sheetPr>
  <dimension ref="A1:S17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テスト進捗サマリー（その他）</t>
        </is>
      </c>
    </row>
    <row r="2" ht="22" customHeight="1">
      <c r="A2" s="68" t="inlineStr">
        <is>
          <t>集計期間: 2025/12/23 ～ 2026/06/06 (166日間)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SUM(D6:D171)</f>
        <v/>
      </c>
      <c r="E5" s="91">
        <f>SUM(E6:E171)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SUM(K6:K171)</f>
        <v/>
      </c>
      <c r="L5" s="91">
        <f>SUM(L6:L171)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46014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COUNTIFS(明細!$F$5:$F$363,A6,明細!$D$5:$D$363,"その他")</f>
        <v/>
      </c>
      <c r="E6" s="98">
        <f>COUNTIFS(明細!$G$5:$G$363,A6,明細!$D$5:$D$363,"その他")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COUNTIFS(明細!$I$5:$I$363,A6,明細!$D$5:$D$363,"その他")</f>
        <v/>
      </c>
      <c r="L6" s="98">
        <f>COUNTIFS(明細!$J$5:$J$363,A6,明細!$D$5:$D$363,"その他")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46015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COUNTIFS(明細!$F$5:$F$363,A7,明細!$D$5:$D$363,"その他")</f>
        <v/>
      </c>
      <c r="E7" s="98">
        <f>COUNTIFS(明細!$G$5:$G$363,A7,明細!$D$5:$D$363,"その他")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COUNTIFS(明細!$I$5:$I$363,A7,明細!$D$5:$D$363,"その他")</f>
        <v/>
      </c>
      <c r="L7" s="98">
        <f>COUNTIFS(明細!$J$5:$J$363,A7,明細!$D$5:$D$363,"その他")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46016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COUNTIFS(明細!$F$5:$F$363,A8,明細!$D$5:$D$363,"その他")</f>
        <v/>
      </c>
      <c r="E8" s="98">
        <f>COUNTIFS(明細!$G$5:$G$363,A8,明細!$D$5:$D$363,"その他")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COUNTIFS(明細!$I$5:$I$363,A8,明細!$D$5:$D$363,"その他")</f>
        <v/>
      </c>
      <c r="L8" s="98">
        <f>COUNTIFS(明細!$J$5:$J$363,A8,明細!$D$5:$D$363,"その他")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46017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COUNTIFS(明細!$F$5:$F$363,A9,明細!$D$5:$D$363,"その他")</f>
        <v/>
      </c>
      <c r="E9" s="98">
        <f>COUNTIFS(明細!$G$5:$G$363,A9,明細!$D$5:$D$363,"その他")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COUNTIFS(明細!$I$5:$I$363,A9,明細!$D$5:$D$363,"その他")</f>
        <v/>
      </c>
      <c r="L9" s="98">
        <f>COUNTIFS(明細!$J$5:$J$363,A9,明細!$D$5:$D$363,"その他")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46018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COUNTIFS(明細!$F$5:$F$363,A10,明細!$D$5:$D$363,"その他")</f>
        <v/>
      </c>
      <c r="E10" s="98">
        <f>COUNTIFS(明細!$G$5:$G$363,A10,明細!$D$5:$D$363,"その他")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COUNTIFS(明細!$I$5:$I$363,A10,明細!$D$5:$D$363,"その他")</f>
        <v/>
      </c>
      <c r="L10" s="98">
        <f>COUNTIFS(明細!$J$5:$J$363,A10,明細!$D$5:$D$363,"その他")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46019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COUNTIFS(明細!$F$5:$F$363,A11,明細!$D$5:$D$363,"その他")</f>
        <v/>
      </c>
      <c r="E11" s="98">
        <f>COUNTIFS(明細!$G$5:$G$363,A11,明細!$D$5:$D$363,"その他")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COUNTIFS(明細!$I$5:$I$363,A11,明細!$D$5:$D$363,"その他")</f>
        <v/>
      </c>
      <c r="L11" s="98">
        <f>COUNTIFS(明細!$J$5:$J$363,A11,明細!$D$5:$D$363,"その他")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46020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COUNTIFS(明細!$F$5:$F$363,A12,明細!$D$5:$D$363,"その他")</f>
        <v/>
      </c>
      <c r="E12" s="98">
        <f>COUNTIFS(明細!$G$5:$G$363,A12,明細!$D$5:$D$363,"その他")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COUNTIFS(明細!$I$5:$I$363,A12,明細!$D$5:$D$363,"その他")</f>
        <v/>
      </c>
      <c r="L12" s="98">
        <f>COUNTIFS(明細!$J$5:$J$363,A12,明細!$D$5:$D$363,"その他")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46021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COUNTIFS(明細!$F$5:$F$363,A13,明細!$D$5:$D$363,"その他")</f>
        <v/>
      </c>
      <c r="E13" s="98">
        <f>COUNTIFS(明細!$G$5:$G$363,A13,明細!$D$5:$D$363,"その他")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COUNTIFS(明細!$I$5:$I$363,A13,明細!$D$5:$D$363,"その他")</f>
        <v/>
      </c>
      <c r="L13" s="98">
        <f>COUNTIFS(明細!$J$5:$J$363,A13,明細!$D$5:$D$363,"その他")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46022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COUNTIFS(明細!$F$5:$F$363,A14,明細!$D$5:$D$363,"その他")</f>
        <v/>
      </c>
      <c r="E14" s="98">
        <f>COUNTIFS(明細!$G$5:$G$363,A14,明細!$D$5:$D$363,"その他")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COUNTIFS(明細!$I$5:$I$363,A14,明細!$D$5:$D$363,"その他")</f>
        <v/>
      </c>
      <c r="L14" s="98">
        <f>COUNTIFS(明細!$J$5:$J$363,A14,明細!$D$5:$D$363,"その他")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46023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COUNTIFS(明細!$F$5:$F$363,A15,明細!$D$5:$D$363,"その他")</f>
        <v/>
      </c>
      <c r="E15" s="98">
        <f>COUNTIFS(明細!$G$5:$G$363,A15,明細!$D$5:$D$363,"その他")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COUNTIFS(明細!$I$5:$I$363,A15,明細!$D$5:$D$363,"その他")</f>
        <v/>
      </c>
      <c r="L15" s="98">
        <f>COUNTIFS(明細!$J$5:$J$363,A15,明細!$D$5:$D$363,"その他")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46024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COUNTIFS(明細!$F$5:$F$363,A16,明細!$D$5:$D$363,"その他")</f>
        <v/>
      </c>
      <c r="E16" s="98">
        <f>COUNTIFS(明細!$G$5:$G$363,A16,明細!$D$5:$D$363,"その他")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COUNTIFS(明細!$I$5:$I$363,A16,明細!$D$5:$D$363,"その他")</f>
        <v/>
      </c>
      <c r="L16" s="98">
        <f>COUNTIFS(明細!$J$5:$J$363,A16,明細!$D$5:$D$363,"その他")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46025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COUNTIFS(明細!$F$5:$F$363,A17,明細!$D$5:$D$363,"その他")</f>
        <v/>
      </c>
      <c r="E17" s="98">
        <f>COUNTIFS(明細!$G$5:$G$363,A17,明細!$D$5:$D$363,"その他")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COUNTIFS(明細!$I$5:$I$363,A17,明細!$D$5:$D$363,"その他")</f>
        <v/>
      </c>
      <c r="L17" s="98">
        <f>COUNTIFS(明細!$J$5:$J$363,A17,明細!$D$5:$D$363,"その他")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46026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COUNTIFS(明細!$F$5:$F$363,A18,明細!$D$5:$D$363,"その他")</f>
        <v/>
      </c>
      <c r="E18" s="98">
        <f>COUNTIFS(明細!$G$5:$G$363,A18,明細!$D$5:$D$363,"その他")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COUNTIFS(明細!$I$5:$I$363,A18,明細!$D$5:$D$363,"その他")</f>
        <v/>
      </c>
      <c r="L18" s="98">
        <f>COUNTIFS(明細!$J$5:$J$363,A18,明細!$D$5:$D$363,"その他")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46027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COUNTIFS(明細!$F$5:$F$363,A19,明細!$D$5:$D$363,"その他")</f>
        <v/>
      </c>
      <c r="E19" s="98">
        <f>COUNTIFS(明細!$G$5:$G$363,A19,明細!$D$5:$D$363,"その他")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COUNTIFS(明細!$I$5:$I$363,A19,明細!$D$5:$D$363,"その他")</f>
        <v/>
      </c>
      <c r="L19" s="98">
        <f>COUNTIFS(明細!$J$5:$J$363,A19,明細!$D$5:$D$363,"その他")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46028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COUNTIFS(明細!$F$5:$F$363,A20,明細!$D$5:$D$363,"その他")</f>
        <v/>
      </c>
      <c r="E20" s="98">
        <f>COUNTIFS(明細!$G$5:$G$363,A20,明細!$D$5:$D$363,"その他")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COUNTIFS(明細!$I$5:$I$363,A20,明細!$D$5:$D$363,"その他")</f>
        <v/>
      </c>
      <c r="L20" s="98">
        <f>COUNTIFS(明細!$J$5:$J$363,A20,明細!$D$5:$D$363,"その他")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46029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COUNTIFS(明細!$F$5:$F$363,A21,明細!$D$5:$D$363,"その他")</f>
        <v/>
      </c>
      <c r="E21" s="98">
        <f>COUNTIFS(明細!$G$5:$G$363,A21,明細!$D$5:$D$363,"その他")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COUNTIFS(明細!$I$5:$I$363,A21,明細!$D$5:$D$363,"その他")</f>
        <v/>
      </c>
      <c r="L21" s="98">
        <f>COUNTIFS(明細!$J$5:$J$363,A21,明細!$D$5:$D$363,"その他")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46030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COUNTIFS(明細!$F$5:$F$363,A22,明細!$D$5:$D$363,"その他")</f>
        <v/>
      </c>
      <c r="E22" s="98">
        <f>COUNTIFS(明細!$G$5:$G$363,A22,明細!$D$5:$D$363,"その他")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COUNTIFS(明細!$I$5:$I$363,A22,明細!$D$5:$D$363,"その他")</f>
        <v/>
      </c>
      <c r="L22" s="98">
        <f>COUNTIFS(明細!$J$5:$J$363,A22,明細!$D$5:$D$363,"その他")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46031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COUNTIFS(明細!$F$5:$F$363,A23,明細!$D$5:$D$363,"その他")</f>
        <v/>
      </c>
      <c r="E23" s="98">
        <f>COUNTIFS(明細!$G$5:$G$363,A23,明細!$D$5:$D$363,"その他")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COUNTIFS(明細!$I$5:$I$363,A23,明細!$D$5:$D$363,"その他")</f>
        <v/>
      </c>
      <c r="L23" s="98">
        <f>COUNTIFS(明細!$J$5:$J$363,A23,明細!$D$5:$D$363,"その他")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46032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COUNTIFS(明細!$F$5:$F$363,A24,明細!$D$5:$D$363,"その他")</f>
        <v/>
      </c>
      <c r="E24" s="98">
        <f>COUNTIFS(明細!$G$5:$G$363,A24,明細!$D$5:$D$363,"その他")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COUNTIFS(明細!$I$5:$I$363,A24,明細!$D$5:$D$363,"その他")</f>
        <v/>
      </c>
      <c r="L24" s="98">
        <f>COUNTIFS(明細!$J$5:$J$363,A24,明細!$D$5:$D$363,"その他")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46033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COUNTIFS(明細!$F$5:$F$363,A25,明細!$D$5:$D$363,"その他")</f>
        <v/>
      </c>
      <c r="E25" s="98">
        <f>COUNTIFS(明細!$G$5:$G$363,A25,明細!$D$5:$D$363,"その他")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COUNTIFS(明細!$I$5:$I$363,A25,明細!$D$5:$D$363,"その他")</f>
        <v/>
      </c>
      <c r="L25" s="98">
        <f>COUNTIFS(明細!$J$5:$J$363,A25,明細!$D$5:$D$363,"その他")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46034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COUNTIFS(明細!$F$5:$F$363,A26,明細!$D$5:$D$363,"その他")</f>
        <v/>
      </c>
      <c r="E26" s="98">
        <f>COUNTIFS(明細!$G$5:$G$363,A26,明細!$D$5:$D$363,"その他")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COUNTIFS(明細!$I$5:$I$363,A26,明細!$D$5:$D$363,"その他")</f>
        <v/>
      </c>
      <c r="L26" s="98">
        <f>COUNTIFS(明細!$J$5:$J$363,A26,明細!$D$5:$D$363,"その他")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46035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COUNTIFS(明細!$F$5:$F$363,A27,明細!$D$5:$D$363,"その他")</f>
        <v/>
      </c>
      <c r="E27" s="98">
        <f>COUNTIFS(明細!$G$5:$G$363,A27,明細!$D$5:$D$363,"その他")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COUNTIFS(明細!$I$5:$I$363,A27,明細!$D$5:$D$363,"その他")</f>
        <v/>
      </c>
      <c r="L27" s="98">
        <f>COUNTIFS(明細!$J$5:$J$363,A27,明細!$D$5:$D$363,"その他")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46036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COUNTIFS(明細!$F$5:$F$363,A28,明細!$D$5:$D$363,"その他")</f>
        <v/>
      </c>
      <c r="E28" s="98">
        <f>COUNTIFS(明細!$G$5:$G$363,A28,明細!$D$5:$D$363,"その他")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COUNTIFS(明細!$I$5:$I$363,A28,明細!$D$5:$D$363,"その他")</f>
        <v/>
      </c>
      <c r="L28" s="98">
        <f>COUNTIFS(明細!$J$5:$J$363,A28,明細!$D$5:$D$363,"その他")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46037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COUNTIFS(明細!$F$5:$F$363,A29,明細!$D$5:$D$363,"その他")</f>
        <v/>
      </c>
      <c r="E29" s="98">
        <f>COUNTIFS(明細!$G$5:$G$363,A29,明細!$D$5:$D$363,"その他")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COUNTIFS(明細!$I$5:$I$363,A29,明細!$D$5:$D$363,"その他")</f>
        <v/>
      </c>
      <c r="L29" s="98">
        <f>COUNTIFS(明細!$J$5:$J$363,A29,明細!$D$5:$D$363,"その他")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46038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COUNTIFS(明細!$F$5:$F$363,A30,明細!$D$5:$D$363,"その他")</f>
        <v/>
      </c>
      <c r="E30" s="98">
        <f>COUNTIFS(明細!$G$5:$G$363,A30,明細!$D$5:$D$363,"その他")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COUNTIFS(明細!$I$5:$I$363,A30,明細!$D$5:$D$363,"その他")</f>
        <v/>
      </c>
      <c r="L30" s="98">
        <f>COUNTIFS(明細!$J$5:$J$363,A30,明細!$D$5:$D$363,"その他")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46039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COUNTIFS(明細!$F$5:$F$363,A31,明細!$D$5:$D$363,"その他")</f>
        <v/>
      </c>
      <c r="E31" s="98">
        <f>COUNTIFS(明細!$G$5:$G$363,A31,明細!$D$5:$D$363,"その他")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COUNTIFS(明細!$I$5:$I$363,A31,明細!$D$5:$D$363,"その他")</f>
        <v/>
      </c>
      <c r="L31" s="98">
        <f>COUNTIFS(明細!$J$5:$J$363,A31,明細!$D$5:$D$363,"その他")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46040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COUNTIFS(明細!$F$5:$F$363,A32,明細!$D$5:$D$363,"その他")</f>
        <v/>
      </c>
      <c r="E32" s="98">
        <f>COUNTIFS(明細!$G$5:$G$363,A32,明細!$D$5:$D$363,"その他")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COUNTIFS(明細!$I$5:$I$363,A32,明細!$D$5:$D$363,"その他")</f>
        <v/>
      </c>
      <c r="L32" s="98">
        <f>COUNTIFS(明細!$J$5:$J$363,A32,明細!$D$5:$D$363,"その他")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46041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COUNTIFS(明細!$F$5:$F$363,A33,明細!$D$5:$D$363,"その他")</f>
        <v/>
      </c>
      <c r="E33" s="98">
        <f>COUNTIFS(明細!$G$5:$G$363,A33,明細!$D$5:$D$363,"その他")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COUNTIFS(明細!$I$5:$I$363,A33,明細!$D$5:$D$363,"その他")</f>
        <v/>
      </c>
      <c r="L33" s="98">
        <f>COUNTIFS(明細!$J$5:$J$363,A33,明細!$D$5:$D$363,"その他")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46042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COUNTIFS(明細!$F$5:$F$363,A34,明細!$D$5:$D$363,"その他")</f>
        <v/>
      </c>
      <c r="E34" s="98">
        <f>COUNTIFS(明細!$G$5:$G$363,A34,明細!$D$5:$D$363,"その他")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COUNTIFS(明細!$I$5:$I$363,A34,明細!$D$5:$D$363,"その他")</f>
        <v/>
      </c>
      <c r="L34" s="98">
        <f>COUNTIFS(明細!$J$5:$J$363,A34,明細!$D$5:$D$363,"その他")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46043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COUNTIFS(明細!$F$5:$F$363,A35,明細!$D$5:$D$363,"その他")</f>
        <v/>
      </c>
      <c r="E35" s="98">
        <f>COUNTIFS(明細!$G$5:$G$363,A35,明細!$D$5:$D$363,"その他")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COUNTIFS(明細!$I$5:$I$363,A35,明細!$D$5:$D$363,"その他")</f>
        <v/>
      </c>
      <c r="L35" s="98">
        <f>COUNTIFS(明細!$J$5:$J$363,A35,明細!$D$5:$D$363,"その他")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46044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COUNTIFS(明細!$F$5:$F$363,A36,明細!$D$5:$D$363,"その他")</f>
        <v/>
      </c>
      <c r="E36" s="98">
        <f>COUNTIFS(明細!$G$5:$G$363,A36,明細!$D$5:$D$363,"その他")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COUNTIFS(明細!$I$5:$I$363,A36,明細!$D$5:$D$363,"その他")</f>
        <v/>
      </c>
      <c r="L36" s="98">
        <f>COUNTIFS(明細!$J$5:$J$363,A36,明細!$D$5:$D$363,"その他")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46045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COUNTIFS(明細!$F$5:$F$363,A37,明細!$D$5:$D$363,"その他")</f>
        <v/>
      </c>
      <c r="E37" s="98">
        <f>COUNTIFS(明細!$G$5:$G$363,A37,明細!$D$5:$D$363,"その他")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COUNTIFS(明細!$I$5:$I$363,A37,明細!$D$5:$D$363,"その他")</f>
        <v/>
      </c>
      <c r="L37" s="98">
        <f>COUNTIFS(明細!$J$5:$J$363,A37,明細!$D$5:$D$363,"その他")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46046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COUNTIFS(明細!$F$5:$F$363,A38,明細!$D$5:$D$363,"その他")</f>
        <v/>
      </c>
      <c r="E38" s="98">
        <f>COUNTIFS(明細!$G$5:$G$363,A38,明細!$D$5:$D$363,"その他")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COUNTIFS(明細!$I$5:$I$363,A38,明細!$D$5:$D$363,"その他")</f>
        <v/>
      </c>
      <c r="L38" s="98">
        <f>COUNTIFS(明細!$J$5:$J$363,A38,明細!$D$5:$D$363,"その他")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46047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COUNTIFS(明細!$F$5:$F$363,A39,明細!$D$5:$D$363,"その他")</f>
        <v/>
      </c>
      <c r="E39" s="98">
        <f>COUNTIFS(明細!$G$5:$G$363,A39,明細!$D$5:$D$363,"その他")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COUNTIFS(明細!$I$5:$I$363,A39,明細!$D$5:$D$363,"その他")</f>
        <v/>
      </c>
      <c r="L39" s="98">
        <f>COUNTIFS(明細!$J$5:$J$363,A39,明細!$D$5:$D$363,"その他")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46048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COUNTIFS(明細!$F$5:$F$363,A40,明細!$D$5:$D$363,"その他")</f>
        <v/>
      </c>
      <c r="E40" s="98">
        <f>COUNTIFS(明細!$G$5:$G$363,A40,明細!$D$5:$D$363,"その他")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COUNTIFS(明細!$I$5:$I$363,A40,明細!$D$5:$D$363,"その他")</f>
        <v/>
      </c>
      <c r="L40" s="98">
        <f>COUNTIFS(明細!$J$5:$J$363,A40,明細!$D$5:$D$363,"その他")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46049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COUNTIFS(明細!$F$5:$F$363,A41,明細!$D$5:$D$363,"その他")</f>
        <v/>
      </c>
      <c r="E41" s="98">
        <f>COUNTIFS(明細!$G$5:$G$363,A41,明細!$D$5:$D$363,"その他")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COUNTIFS(明細!$I$5:$I$363,A41,明細!$D$5:$D$363,"その他")</f>
        <v/>
      </c>
      <c r="L41" s="98">
        <f>COUNTIFS(明細!$J$5:$J$363,A41,明細!$D$5:$D$363,"その他")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46050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COUNTIFS(明細!$F$5:$F$363,A42,明細!$D$5:$D$363,"その他")</f>
        <v/>
      </c>
      <c r="E42" s="98">
        <f>COUNTIFS(明細!$G$5:$G$363,A42,明細!$D$5:$D$363,"その他")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COUNTIFS(明細!$I$5:$I$363,A42,明細!$D$5:$D$363,"その他")</f>
        <v/>
      </c>
      <c r="L42" s="98">
        <f>COUNTIFS(明細!$J$5:$J$363,A42,明細!$D$5:$D$363,"その他")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46051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COUNTIFS(明細!$F$5:$F$363,A43,明細!$D$5:$D$363,"その他")</f>
        <v/>
      </c>
      <c r="E43" s="98">
        <f>COUNTIFS(明細!$G$5:$G$363,A43,明細!$D$5:$D$363,"その他")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COUNTIFS(明細!$I$5:$I$363,A43,明細!$D$5:$D$363,"その他")</f>
        <v/>
      </c>
      <c r="L43" s="98">
        <f>COUNTIFS(明細!$J$5:$J$363,A43,明細!$D$5:$D$363,"その他")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46052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COUNTIFS(明細!$F$5:$F$363,A44,明細!$D$5:$D$363,"その他")</f>
        <v/>
      </c>
      <c r="E44" s="98">
        <f>COUNTIFS(明細!$G$5:$G$363,A44,明細!$D$5:$D$363,"その他")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COUNTIFS(明細!$I$5:$I$363,A44,明細!$D$5:$D$363,"その他")</f>
        <v/>
      </c>
      <c r="L44" s="98">
        <f>COUNTIFS(明細!$J$5:$J$363,A44,明細!$D$5:$D$363,"その他")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46053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COUNTIFS(明細!$F$5:$F$363,A45,明細!$D$5:$D$363,"その他")</f>
        <v/>
      </c>
      <c r="E45" s="98">
        <f>COUNTIFS(明細!$G$5:$G$363,A45,明細!$D$5:$D$363,"その他")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COUNTIFS(明細!$I$5:$I$363,A45,明細!$D$5:$D$363,"その他")</f>
        <v/>
      </c>
      <c r="L45" s="98">
        <f>COUNTIFS(明細!$J$5:$J$363,A45,明細!$D$5:$D$363,"その他")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46054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COUNTIFS(明細!$F$5:$F$363,A46,明細!$D$5:$D$363,"その他")</f>
        <v/>
      </c>
      <c r="E46" s="98">
        <f>COUNTIFS(明細!$G$5:$G$363,A46,明細!$D$5:$D$363,"その他")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COUNTIFS(明細!$I$5:$I$363,A46,明細!$D$5:$D$363,"その他")</f>
        <v/>
      </c>
      <c r="L46" s="98">
        <f>COUNTIFS(明細!$J$5:$J$363,A46,明細!$D$5:$D$363,"その他")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46055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COUNTIFS(明細!$F$5:$F$363,A47,明細!$D$5:$D$363,"その他")</f>
        <v/>
      </c>
      <c r="E47" s="98">
        <f>COUNTIFS(明細!$G$5:$G$363,A47,明細!$D$5:$D$363,"その他")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COUNTIFS(明細!$I$5:$I$363,A47,明細!$D$5:$D$363,"その他")</f>
        <v/>
      </c>
      <c r="L47" s="98">
        <f>COUNTIFS(明細!$J$5:$J$363,A47,明細!$D$5:$D$363,"その他")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46056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COUNTIFS(明細!$F$5:$F$363,A48,明細!$D$5:$D$363,"その他")</f>
        <v/>
      </c>
      <c r="E48" s="98">
        <f>COUNTIFS(明細!$G$5:$G$363,A48,明細!$D$5:$D$363,"その他")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COUNTIFS(明細!$I$5:$I$363,A48,明細!$D$5:$D$363,"その他")</f>
        <v/>
      </c>
      <c r="L48" s="98">
        <f>COUNTIFS(明細!$J$5:$J$363,A48,明細!$D$5:$D$363,"その他")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46057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COUNTIFS(明細!$F$5:$F$363,A49,明細!$D$5:$D$363,"その他")</f>
        <v/>
      </c>
      <c r="E49" s="98">
        <f>COUNTIFS(明細!$G$5:$G$363,A49,明細!$D$5:$D$363,"その他")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COUNTIFS(明細!$I$5:$I$363,A49,明細!$D$5:$D$363,"その他")</f>
        <v/>
      </c>
      <c r="L49" s="98">
        <f>COUNTIFS(明細!$J$5:$J$363,A49,明細!$D$5:$D$363,"その他")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46058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COUNTIFS(明細!$F$5:$F$363,A50,明細!$D$5:$D$363,"その他")</f>
        <v/>
      </c>
      <c r="E50" s="98">
        <f>COUNTIFS(明細!$G$5:$G$363,A50,明細!$D$5:$D$363,"その他")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COUNTIFS(明細!$I$5:$I$363,A50,明細!$D$5:$D$363,"その他")</f>
        <v/>
      </c>
      <c r="L50" s="98">
        <f>COUNTIFS(明細!$J$5:$J$363,A50,明細!$D$5:$D$363,"その他")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46059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COUNTIFS(明細!$F$5:$F$363,A51,明細!$D$5:$D$363,"その他")</f>
        <v/>
      </c>
      <c r="E51" s="98">
        <f>COUNTIFS(明細!$G$5:$G$363,A51,明細!$D$5:$D$363,"その他")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COUNTIFS(明細!$I$5:$I$363,A51,明細!$D$5:$D$363,"その他")</f>
        <v/>
      </c>
      <c r="L51" s="98">
        <f>COUNTIFS(明細!$J$5:$J$363,A51,明細!$D$5:$D$363,"その他")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46060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COUNTIFS(明細!$F$5:$F$363,A52,明細!$D$5:$D$363,"その他")</f>
        <v/>
      </c>
      <c r="E52" s="98">
        <f>COUNTIFS(明細!$G$5:$G$363,A52,明細!$D$5:$D$363,"その他")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COUNTIFS(明細!$I$5:$I$363,A52,明細!$D$5:$D$363,"その他")</f>
        <v/>
      </c>
      <c r="L52" s="98">
        <f>COUNTIFS(明細!$J$5:$J$363,A52,明細!$D$5:$D$363,"その他")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46061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COUNTIFS(明細!$F$5:$F$363,A53,明細!$D$5:$D$363,"その他")</f>
        <v/>
      </c>
      <c r="E53" s="98">
        <f>COUNTIFS(明細!$G$5:$G$363,A53,明細!$D$5:$D$363,"その他")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COUNTIFS(明細!$I$5:$I$363,A53,明細!$D$5:$D$363,"その他")</f>
        <v/>
      </c>
      <c r="L53" s="98">
        <f>COUNTIFS(明細!$J$5:$J$363,A53,明細!$D$5:$D$363,"その他")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46062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COUNTIFS(明細!$F$5:$F$363,A54,明細!$D$5:$D$363,"その他")</f>
        <v/>
      </c>
      <c r="E54" s="98">
        <f>COUNTIFS(明細!$G$5:$G$363,A54,明細!$D$5:$D$363,"その他")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COUNTIFS(明細!$I$5:$I$363,A54,明細!$D$5:$D$363,"その他")</f>
        <v/>
      </c>
      <c r="L54" s="98">
        <f>COUNTIFS(明細!$J$5:$J$363,A54,明細!$D$5:$D$363,"その他")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46063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COUNTIFS(明細!$F$5:$F$363,A55,明細!$D$5:$D$363,"その他")</f>
        <v/>
      </c>
      <c r="E55" s="98">
        <f>COUNTIFS(明細!$G$5:$G$363,A55,明細!$D$5:$D$363,"その他")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COUNTIFS(明細!$I$5:$I$363,A55,明細!$D$5:$D$363,"その他")</f>
        <v/>
      </c>
      <c r="L55" s="98">
        <f>COUNTIFS(明細!$J$5:$J$363,A55,明細!$D$5:$D$363,"その他")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46064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COUNTIFS(明細!$F$5:$F$363,A56,明細!$D$5:$D$363,"その他")</f>
        <v/>
      </c>
      <c r="E56" s="98">
        <f>COUNTIFS(明細!$G$5:$G$363,A56,明細!$D$5:$D$363,"その他")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COUNTIFS(明細!$I$5:$I$363,A56,明細!$D$5:$D$363,"その他")</f>
        <v/>
      </c>
      <c r="L56" s="98">
        <f>COUNTIFS(明細!$J$5:$J$363,A56,明細!$D$5:$D$363,"その他")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46065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COUNTIFS(明細!$F$5:$F$363,A57,明細!$D$5:$D$363,"その他")</f>
        <v/>
      </c>
      <c r="E57" s="98">
        <f>COUNTIFS(明細!$G$5:$G$363,A57,明細!$D$5:$D$363,"その他")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COUNTIFS(明細!$I$5:$I$363,A57,明細!$D$5:$D$363,"その他")</f>
        <v/>
      </c>
      <c r="L57" s="98">
        <f>COUNTIFS(明細!$J$5:$J$363,A57,明細!$D$5:$D$363,"その他")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46066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COUNTIFS(明細!$F$5:$F$363,A58,明細!$D$5:$D$363,"その他")</f>
        <v/>
      </c>
      <c r="E58" s="98">
        <f>COUNTIFS(明細!$G$5:$G$363,A58,明細!$D$5:$D$363,"その他")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COUNTIFS(明細!$I$5:$I$363,A58,明細!$D$5:$D$363,"その他")</f>
        <v/>
      </c>
      <c r="L58" s="98">
        <f>COUNTIFS(明細!$J$5:$J$363,A58,明細!$D$5:$D$363,"その他")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46067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COUNTIFS(明細!$F$5:$F$363,A59,明細!$D$5:$D$363,"その他")</f>
        <v/>
      </c>
      <c r="E59" s="98">
        <f>COUNTIFS(明細!$G$5:$G$363,A59,明細!$D$5:$D$363,"その他")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COUNTIFS(明細!$I$5:$I$363,A59,明細!$D$5:$D$363,"その他")</f>
        <v/>
      </c>
      <c r="L59" s="98">
        <f>COUNTIFS(明細!$J$5:$J$363,A59,明細!$D$5:$D$363,"その他")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46068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COUNTIFS(明細!$F$5:$F$363,A60,明細!$D$5:$D$363,"その他")</f>
        <v/>
      </c>
      <c r="E60" s="98">
        <f>COUNTIFS(明細!$G$5:$G$363,A60,明細!$D$5:$D$363,"その他")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COUNTIFS(明細!$I$5:$I$363,A60,明細!$D$5:$D$363,"その他")</f>
        <v/>
      </c>
      <c r="L60" s="98">
        <f>COUNTIFS(明細!$J$5:$J$363,A60,明細!$D$5:$D$363,"その他")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46069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COUNTIFS(明細!$F$5:$F$363,A61,明細!$D$5:$D$363,"その他")</f>
        <v/>
      </c>
      <c r="E61" s="98">
        <f>COUNTIFS(明細!$G$5:$G$363,A61,明細!$D$5:$D$363,"その他")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COUNTIFS(明細!$I$5:$I$363,A61,明細!$D$5:$D$363,"その他")</f>
        <v/>
      </c>
      <c r="L61" s="98">
        <f>COUNTIFS(明細!$J$5:$J$363,A61,明細!$D$5:$D$363,"その他")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46070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COUNTIFS(明細!$F$5:$F$363,A62,明細!$D$5:$D$363,"その他")</f>
        <v/>
      </c>
      <c r="E62" s="98">
        <f>COUNTIFS(明細!$G$5:$G$363,A62,明細!$D$5:$D$363,"その他")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COUNTIFS(明細!$I$5:$I$363,A62,明細!$D$5:$D$363,"その他")</f>
        <v/>
      </c>
      <c r="L62" s="98">
        <f>COUNTIFS(明細!$J$5:$J$363,A62,明細!$D$5:$D$363,"その他")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46071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COUNTIFS(明細!$F$5:$F$363,A63,明細!$D$5:$D$363,"その他")</f>
        <v/>
      </c>
      <c r="E63" s="98">
        <f>COUNTIFS(明細!$G$5:$G$363,A63,明細!$D$5:$D$363,"その他")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COUNTIFS(明細!$I$5:$I$363,A63,明細!$D$5:$D$363,"その他")</f>
        <v/>
      </c>
      <c r="L63" s="98">
        <f>COUNTIFS(明細!$J$5:$J$363,A63,明細!$D$5:$D$363,"その他")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46072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COUNTIFS(明細!$F$5:$F$363,A64,明細!$D$5:$D$363,"その他")</f>
        <v/>
      </c>
      <c r="E64" s="98">
        <f>COUNTIFS(明細!$G$5:$G$363,A64,明細!$D$5:$D$363,"その他")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COUNTIFS(明細!$I$5:$I$363,A64,明細!$D$5:$D$363,"その他")</f>
        <v/>
      </c>
      <c r="L64" s="98">
        <f>COUNTIFS(明細!$J$5:$J$363,A64,明細!$D$5:$D$363,"その他")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46073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COUNTIFS(明細!$F$5:$F$363,A65,明細!$D$5:$D$363,"その他")</f>
        <v/>
      </c>
      <c r="E65" s="98">
        <f>COUNTIFS(明細!$G$5:$G$363,A65,明細!$D$5:$D$363,"その他")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COUNTIFS(明細!$I$5:$I$363,A65,明細!$D$5:$D$363,"その他")</f>
        <v/>
      </c>
      <c r="L65" s="98">
        <f>COUNTIFS(明細!$J$5:$J$363,A65,明細!$D$5:$D$363,"その他")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46074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COUNTIFS(明細!$F$5:$F$363,A66,明細!$D$5:$D$363,"その他")</f>
        <v/>
      </c>
      <c r="E66" s="98">
        <f>COUNTIFS(明細!$G$5:$G$363,A66,明細!$D$5:$D$363,"その他")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COUNTIFS(明細!$I$5:$I$363,A66,明細!$D$5:$D$363,"その他")</f>
        <v/>
      </c>
      <c r="L66" s="98">
        <f>COUNTIFS(明細!$J$5:$J$363,A66,明細!$D$5:$D$363,"その他")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46075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COUNTIFS(明細!$F$5:$F$363,A67,明細!$D$5:$D$363,"その他")</f>
        <v/>
      </c>
      <c r="E67" s="98">
        <f>COUNTIFS(明細!$G$5:$G$363,A67,明細!$D$5:$D$363,"その他")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COUNTIFS(明細!$I$5:$I$363,A67,明細!$D$5:$D$363,"その他")</f>
        <v/>
      </c>
      <c r="L67" s="98">
        <f>COUNTIFS(明細!$J$5:$J$363,A67,明細!$D$5:$D$363,"その他")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46076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COUNTIFS(明細!$F$5:$F$363,A68,明細!$D$5:$D$363,"その他")</f>
        <v/>
      </c>
      <c r="E68" s="98">
        <f>COUNTIFS(明細!$G$5:$G$363,A68,明細!$D$5:$D$363,"その他")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COUNTIFS(明細!$I$5:$I$363,A68,明細!$D$5:$D$363,"その他")</f>
        <v/>
      </c>
      <c r="L68" s="98">
        <f>COUNTIFS(明細!$J$5:$J$363,A68,明細!$D$5:$D$363,"その他")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46077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COUNTIFS(明細!$F$5:$F$363,A69,明細!$D$5:$D$363,"その他")</f>
        <v/>
      </c>
      <c r="E69" s="98">
        <f>COUNTIFS(明細!$G$5:$G$363,A69,明細!$D$5:$D$363,"その他")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COUNTIFS(明細!$I$5:$I$363,A69,明細!$D$5:$D$363,"その他")</f>
        <v/>
      </c>
      <c r="L69" s="98">
        <f>COUNTIFS(明細!$J$5:$J$363,A69,明細!$D$5:$D$363,"その他")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46078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COUNTIFS(明細!$F$5:$F$363,A70,明細!$D$5:$D$363,"その他")</f>
        <v/>
      </c>
      <c r="E70" s="98">
        <f>COUNTIFS(明細!$G$5:$G$363,A70,明細!$D$5:$D$363,"その他")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COUNTIFS(明細!$I$5:$I$363,A70,明細!$D$5:$D$363,"その他")</f>
        <v/>
      </c>
      <c r="L70" s="98">
        <f>COUNTIFS(明細!$J$5:$J$363,A70,明細!$D$5:$D$363,"その他")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46079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COUNTIFS(明細!$F$5:$F$363,A71,明細!$D$5:$D$363,"その他")</f>
        <v/>
      </c>
      <c r="E71" s="98">
        <f>COUNTIFS(明細!$G$5:$G$363,A71,明細!$D$5:$D$363,"その他")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COUNTIFS(明細!$I$5:$I$363,A71,明細!$D$5:$D$363,"その他")</f>
        <v/>
      </c>
      <c r="L71" s="98">
        <f>COUNTIFS(明細!$J$5:$J$363,A71,明細!$D$5:$D$363,"その他")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46080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COUNTIFS(明細!$F$5:$F$363,A72,明細!$D$5:$D$363,"その他")</f>
        <v/>
      </c>
      <c r="E72" s="98">
        <f>COUNTIFS(明細!$G$5:$G$363,A72,明細!$D$5:$D$363,"その他")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COUNTIFS(明細!$I$5:$I$363,A72,明細!$D$5:$D$363,"その他")</f>
        <v/>
      </c>
      <c r="L72" s="98">
        <f>COUNTIFS(明細!$J$5:$J$363,A72,明細!$D$5:$D$363,"その他")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46081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COUNTIFS(明細!$F$5:$F$363,A73,明細!$D$5:$D$363,"その他")</f>
        <v/>
      </c>
      <c r="E73" s="98">
        <f>COUNTIFS(明細!$G$5:$G$363,A73,明細!$D$5:$D$363,"その他")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COUNTIFS(明細!$I$5:$I$363,A73,明細!$D$5:$D$363,"その他")</f>
        <v/>
      </c>
      <c r="L73" s="98">
        <f>COUNTIFS(明細!$J$5:$J$363,A73,明細!$D$5:$D$363,"その他")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46082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COUNTIFS(明細!$F$5:$F$363,A74,明細!$D$5:$D$363,"その他")</f>
        <v/>
      </c>
      <c r="E74" s="98">
        <f>COUNTIFS(明細!$G$5:$G$363,A74,明細!$D$5:$D$363,"その他")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COUNTIFS(明細!$I$5:$I$363,A74,明細!$D$5:$D$363,"その他")</f>
        <v/>
      </c>
      <c r="L74" s="98">
        <f>COUNTIFS(明細!$J$5:$J$363,A74,明細!$D$5:$D$363,"その他")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46083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COUNTIFS(明細!$F$5:$F$363,A75,明細!$D$5:$D$363,"その他")</f>
        <v/>
      </c>
      <c r="E75" s="98">
        <f>COUNTIFS(明細!$G$5:$G$363,A75,明細!$D$5:$D$363,"その他")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COUNTIFS(明細!$I$5:$I$363,A75,明細!$D$5:$D$363,"その他")</f>
        <v/>
      </c>
      <c r="L75" s="98">
        <f>COUNTIFS(明細!$J$5:$J$363,A75,明細!$D$5:$D$363,"その他")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46084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COUNTIFS(明細!$F$5:$F$363,A76,明細!$D$5:$D$363,"その他")</f>
        <v/>
      </c>
      <c r="E76" s="98">
        <f>COUNTIFS(明細!$G$5:$G$363,A76,明細!$D$5:$D$363,"その他")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COUNTIFS(明細!$I$5:$I$363,A76,明細!$D$5:$D$363,"その他")</f>
        <v/>
      </c>
      <c r="L76" s="98">
        <f>COUNTIFS(明細!$J$5:$J$363,A76,明細!$D$5:$D$363,"その他")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46085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COUNTIFS(明細!$F$5:$F$363,A77,明細!$D$5:$D$363,"その他")</f>
        <v/>
      </c>
      <c r="E77" s="98">
        <f>COUNTIFS(明細!$G$5:$G$363,A77,明細!$D$5:$D$363,"その他")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COUNTIFS(明細!$I$5:$I$363,A77,明細!$D$5:$D$363,"その他")</f>
        <v/>
      </c>
      <c r="L77" s="98">
        <f>COUNTIFS(明細!$J$5:$J$363,A77,明細!$D$5:$D$363,"その他")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46086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COUNTIFS(明細!$F$5:$F$363,A78,明細!$D$5:$D$363,"その他")</f>
        <v/>
      </c>
      <c r="E78" s="98">
        <f>COUNTIFS(明細!$G$5:$G$363,A78,明細!$D$5:$D$363,"その他")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COUNTIFS(明細!$I$5:$I$363,A78,明細!$D$5:$D$363,"その他")</f>
        <v/>
      </c>
      <c r="L78" s="98">
        <f>COUNTIFS(明細!$J$5:$J$363,A78,明細!$D$5:$D$363,"その他")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46087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COUNTIFS(明細!$F$5:$F$363,A79,明細!$D$5:$D$363,"その他")</f>
        <v/>
      </c>
      <c r="E79" s="98">
        <f>COUNTIFS(明細!$G$5:$G$363,A79,明細!$D$5:$D$363,"その他")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COUNTIFS(明細!$I$5:$I$363,A79,明細!$D$5:$D$363,"その他")</f>
        <v/>
      </c>
      <c r="L79" s="98">
        <f>COUNTIFS(明細!$J$5:$J$363,A79,明細!$D$5:$D$363,"その他")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46088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COUNTIFS(明細!$F$5:$F$363,A80,明細!$D$5:$D$363,"その他")</f>
        <v/>
      </c>
      <c r="E80" s="98">
        <f>COUNTIFS(明細!$G$5:$G$363,A80,明細!$D$5:$D$363,"その他")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COUNTIFS(明細!$I$5:$I$363,A80,明細!$D$5:$D$363,"その他")</f>
        <v/>
      </c>
      <c r="L80" s="98">
        <f>COUNTIFS(明細!$J$5:$J$363,A80,明細!$D$5:$D$363,"その他")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46089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COUNTIFS(明細!$F$5:$F$363,A81,明細!$D$5:$D$363,"その他")</f>
        <v/>
      </c>
      <c r="E81" s="98">
        <f>COUNTIFS(明細!$G$5:$G$363,A81,明細!$D$5:$D$363,"その他")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COUNTIFS(明細!$I$5:$I$363,A81,明細!$D$5:$D$363,"その他")</f>
        <v/>
      </c>
      <c r="L81" s="98">
        <f>COUNTIFS(明細!$J$5:$J$363,A81,明細!$D$5:$D$363,"その他")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46090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COUNTIFS(明細!$F$5:$F$363,A82,明細!$D$5:$D$363,"その他")</f>
        <v/>
      </c>
      <c r="E82" s="98">
        <f>COUNTIFS(明細!$G$5:$G$363,A82,明細!$D$5:$D$363,"その他")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COUNTIFS(明細!$I$5:$I$363,A82,明細!$D$5:$D$363,"その他")</f>
        <v/>
      </c>
      <c r="L82" s="98">
        <f>COUNTIFS(明細!$J$5:$J$363,A82,明細!$D$5:$D$363,"その他")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46091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COUNTIFS(明細!$F$5:$F$363,A83,明細!$D$5:$D$363,"その他")</f>
        <v/>
      </c>
      <c r="E83" s="98">
        <f>COUNTIFS(明細!$G$5:$G$363,A83,明細!$D$5:$D$363,"その他")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COUNTIFS(明細!$I$5:$I$363,A83,明細!$D$5:$D$363,"その他")</f>
        <v/>
      </c>
      <c r="L83" s="98">
        <f>COUNTIFS(明細!$J$5:$J$363,A83,明細!$D$5:$D$363,"その他")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46092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COUNTIFS(明細!$F$5:$F$363,A84,明細!$D$5:$D$363,"その他")</f>
        <v/>
      </c>
      <c r="E84" s="98">
        <f>COUNTIFS(明細!$G$5:$G$363,A84,明細!$D$5:$D$363,"その他")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COUNTIFS(明細!$I$5:$I$363,A84,明細!$D$5:$D$363,"その他")</f>
        <v/>
      </c>
      <c r="L84" s="98">
        <f>COUNTIFS(明細!$J$5:$J$363,A84,明細!$D$5:$D$363,"その他")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46093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COUNTIFS(明細!$F$5:$F$363,A85,明細!$D$5:$D$363,"その他")</f>
        <v/>
      </c>
      <c r="E85" s="98">
        <f>COUNTIFS(明細!$G$5:$G$363,A85,明細!$D$5:$D$363,"その他")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COUNTIFS(明細!$I$5:$I$363,A85,明細!$D$5:$D$363,"その他")</f>
        <v/>
      </c>
      <c r="L85" s="98">
        <f>COUNTIFS(明細!$J$5:$J$363,A85,明細!$D$5:$D$363,"その他")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46094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COUNTIFS(明細!$F$5:$F$363,A86,明細!$D$5:$D$363,"その他")</f>
        <v/>
      </c>
      <c r="E86" s="98">
        <f>COUNTIFS(明細!$G$5:$G$363,A86,明細!$D$5:$D$363,"その他")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COUNTIFS(明細!$I$5:$I$363,A86,明細!$D$5:$D$363,"その他")</f>
        <v/>
      </c>
      <c r="L86" s="98">
        <f>COUNTIFS(明細!$J$5:$J$363,A86,明細!$D$5:$D$363,"その他")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46095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COUNTIFS(明細!$F$5:$F$363,A87,明細!$D$5:$D$363,"その他")</f>
        <v/>
      </c>
      <c r="E87" s="98">
        <f>COUNTIFS(明細!$G$5:$G$363,A87,明細!$D$5:$D$363,"その他")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COUNTIFS(明細!$I$5:$I$363,A87,明細!$D$5:$D$363,"その他")</f>
        <v/>
      </c>
      <c r="L87" s="98">
        <f>COUNTIFS(明細!$J$5:$J$363,A87,明細!$D$5:$D$363,"その他")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46096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COUNTIFS(明細!$F$5:$F$363,A88,明細!$D$5:$D$363,"その他")</f>
        <v/>
      </c>
      <c r="E88" s="98">
        <f>COUNTIFS(明細!$G$5:$G$363,A88,明細!$D$5:$D$363,"その他")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COUNTIFS(明細!$I$5:$I$363,A88,明細!$D$5:$D$363,"その他")</f>
        <v/>
      </c>
      <c r="L88" s="98">
        <f>COUNTIFS(明細!$J$5:$J$363,A88,明細!$D$5:$D$363,"その他")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46097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COUNTIFS(明細!$F$5:$F$363,A89,明細!$D$5:$D$363,"その他")</f>
        <v/>
      </c>
      <c r="E89" s="98">
        <f>COUNTIFS(明細!$G$5:$G$363,A89,明細!$D$5:$D$363,"その他")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COUNTIFS(明細!$I$5:$I$363,A89,明細!$D$5:$D$363,"その他")</f>
        <v/>
      </c>
      <c r="L89" s="98">
        <f>COUNTIFS(明細!$J$5:$J$363,A89,明細!$D$5:$D$363,"その他")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46098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COUNTIFS(明細!$F$5:$F$363,A90,明細!$D$5:$D$363,"その他")</f>
        <v/>
      </c>
      <c r="E90" s="98">
        <f>COUNTIFS(明細!$G$5:$G$363,A90,明細!$D$5:$D$363,"その他")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COUNTIFS(明細!$I$5:$I$363,A90,明細!$D$5:$D$363,"その他")</f>
        <v/>
      </c>
      <c r="L90" s="98">
        <f>COUNTIFS(明細!$J$5:$J$363,A90,明細!$D$5:$D$363,"その他")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46099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COUNTIFS(明細!$F$5:$F$363,A91,明細!$D$5:$D$363,"その他")</f>
        <v/>
      </c>
      <c r="E91" s="98">
        <f>COUNTIFS(明細!$G$5:$G$363,A91,明細!$D$5:$D$363,"その他")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COUNTIFS(明細!$I$5:$I$363,A91,明細!$D$5:$D$363,"その他")</f>
        <v/>
      </c>
      <c r="L91" s="98">
        <f>COUNTIFS(明細!$J$5:$J$363,A91,明細!$D$5:$D$363,"その他")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46100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COUNTIFS(明細!$F$5:$F$363,A92,明細!$D$5:$D$363,"その他")</f>
        <v/>
      </c>
      <c r="E92" s="98">
        <f>COUNTIFS(明細!$G$5:$G$363,A92,明細!$D$5:$D$363,"その他")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COUNTIFS(明細!$I$5:$I$363,A92,明細!$D$5:$D$363,"その他")</f>
        <v/>
      </c>
      <c r="L92" s="98">
        <f>COUNTIFS(明細!$J$5:$J$363,A92,明細!$D$5:$D$363,"その他")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46101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COUNTIFS(明細!$F$5:$F$363,A93,明細!$D$5:$D$363,"その他")</f>
        <v/>
      </c>
      <c r="E93" s="98">
        <f>COUNTIFS(明細!$G$5:$G$363,A93,明細!$D$5:$D$363,"その他")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COUNTIFS(明細!$I$5:$I$363,A93,明細!$D$5:$D$363,"その他")</f>
        <v/>
      </c>
      <c r="L93" s="98">
        <f>COUNTIFS(明細!$J$5:$J$363,A93,明細!$D$5:$D$363,"その他")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46102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COUNTIFS(明細!$F$5:$F$363,A94,明細!$D$5:$D$363,"その他")</f>
        <v/>
      </c>
      <c r="E94" s="98">
        <f>COUNTIFS(明細!$G$5:$G$363,A94,明細!$D$5:$D$363,"その他")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COUNTIFS(明細!$I$5:$I$363,A94,明細!$D$5:$D$363,"その他")</f>
        <v/>
      </c>
      <c r="L94" s="98">
        <f>COUNTIFS(明細!$J$5:$J$363,A94,明細!$D$5:$D$363,"その他")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46103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COUNTIFS(明細!$F$5:$F$363,A95,明細!$D$5:$D$363,"その他")</f>
        <v/>
      </c>
      <c r="E95" s="98">
        <f>COUNTIFS(明細!$G$5:$G$363,A95,明細!$D$5:$D$363,"その他")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COUNTIFS(明細!$I$5:$I$363,A95,明細!$D$5:$D$363,"その他")</f>
        <v/>
      </c>
      <c r="L95" s="98">
        <f>COUNTIFS(明細!$J$5:$J$363,A95,明細!$D$5:$D$363,"その他")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46104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COUNTIFS(明細!$F$5:$F$363,A96,明細!$D$5:$D$363,"その他")</f>
        <v/>
      </c>
      <c r="E96" s="98">
        <f>COUNTIFS(明細!$G$5:$G$363,A96,明細!$D$5:$D$363,"その他")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COUNTIFS(明細!$I$5:$I$363,A96,明細!$D$5:$D$363,"その他")</f>
        <v/>
      </c>
      <c r="L96" s="98">
        <f>COUNTIFS(明細!$J$5:$J$363,A96,明細!$D$5:$D$363,"その他")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46105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COUNTIFS(明細!$F$5:$F$363,A97,明細!$D$5:$D$363,"その他")</f>
        <v/>
      </c>
      <c r="E97" s="98">
        <f>COUNTIFS(明細!$G$5:$G$363,A97,明細!$D$5:$D$363,"その他")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COUNTIFS(明細!$I$5:$I$363,A97,明細!$D$5:$D$363,"その他")</f>
        <v/>
      </c>
      <c r="L97" s="98">
        <f>COUNTIFS(明細!$J$5:$J$363,A97,明細!$D$5:$D$363,"その他")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46106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COUNTIFS(明細!$F$5:$F$363,A98,明細!$D$5:$D$363,"その他")</f>
        <v/>
      </c>
      <c r="E98" s="98">
        <f>COUNTIFS(明細!$G$5:$G$363,A98,明細!$D$5:$D$363,"その他")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COUNTIFS(明細!$I$5:$I$363,A98,明細!$D$5:$D$363,"その他")</f>
        <v/>
      </c>
      <c r="L98" s="98">
        <f>COUNTIFS(明細!$J$5:$J$363,A98,明細!$D$5:$D$363,"その他")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46107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COUNTIFS(明細!$F$5:$F$363,A99,明細!$D$5:$D$363,"その他")</f>
        <v/>
      </c>
      <c r="E99" s="98">
        <f>COUNTIFS(明細!$G$5:$G$363,A99,明細!$D$5:$D$363,"その他")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COUNTIFS(明細!$I$5:$I$363,A99,明細!$D$5:$D$363,"その他")</f>
        <v/>
      </c>
      <c r="L99" s="98">
        <f>COUNTIFS(明細!$J$5:$J$363,A99,明細!$D$5:$D$363,"その他")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46108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COUNTIFS(明細!$F$5:$F$363,A100,明細!$D$5:$D$363,"その他")</f>
        <v/>
      </c>
      <c r="E100" s="98">
        <f>COUNTIFS(明細!$G$5:$G$363,A100,明細!$D$5:$D$363,"その他")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COUNTIFS(明細!$I$5:$I$363,A100,明細!$D$5:$D$363,"その他")</f>
        <v/>
      </c>
      <c r="L100" s="98">
        <f>COUNTIFS(明細!$J$5:$J$363,A100,明細!$D$5:$D$363,"その他")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46109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COUNTIFS(明細!$F$5:$F$363,A101,明細!$D$5:$D$363,"その他")</f>
        <v/>
      </c>
      <c r="E101" s="98">
        <f>COUNTIFS(明細!$G$5:$G$363,A101,明細!$D$5:$D$363,"その他")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COUNTIFS(明細!$I$5:$I$363,A101,明細!$D$5:$D$363,"その他")</f>
        <v/>
      </c>
      <c r="L101" s="98">
        <f>COUNTIFS(明細!$J$5:$J$363,A101,明細!$D$5:$D$363,"その他")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46110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COUNTIFS(明細!$F$5:$F$363,A102,明細!$D$5:$D$363,"その他")</f>
        <v/>
      </c>
      <c r="E102" s="98">
        <f>COUNTIFS(明細!$G$5:$G$363,A102,明細!$D$5:$D$363,"その他")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COUNTIFS(明細!$I$5:$I$363,A102,明細!$D$5:$D$363,"その他")</f>
        <v/>
      </c>
      <c r="L102" s="98">
        <f>COUNTIFS(明細!$J$5:$J$363,A102,明細!$D$5:$D$363,"その他")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46111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COUNTIFS(明細!$F$5:$F$363,A103,明細!$D$5:$D$363,"その他")</f>
        <v/>
      </c>
      <c r="E103" s="98">
        <f>COUNTIFS(明細!$G$5:$G$363,A103,明細!$D$5:$D$363,"その他")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COUNTIFS(明細!$I$5:$I$363,A103,明細!$D$5:$D$363,"その他")</f>
        <v/>
      </c>
      <c r="L103" s="98">
        <f>COUNTIFS(明細!$J$5:$J$363,A103,明細!$D$5:$D$363,"その他")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46112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COUNTIFS(明細!$F$5:$F$363,A104,明細!$D$5:$D$363,"その他")</f>
        <v/>
      </c>
      <c r="E104" s="98">
        <f>COUNTIFS(明細!$G$5:$G$363,A104,明細!$D$5:$D$363,"その他")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COUNTIFS(明細!$I$5:$I$363,A104,明細!$D$5:$D$363,"その他")</f>
        <v/>
      </c>
      <c r="L104" s="98">
        <f>COUNTIFS(明細!$J$5:$J$363,A104,明細!$D$5:$D$363,"その他")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46113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COUNTIFS(明細!$F$5:$F$363,A105,明細!$D$5:$D$363,"その他")</f>
        <v/>
      </c>
      <c r="E105" s="98">
        <f>COUNTIFS(明細!$G$5:$G$363,A105,明細!$D$5:$D$363,"その他")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COUNTIFS(明細!$I$5:$I$363,A105,明細!$D$5:$D$363,"その他")</f>
        <v/>
      </c>
      <c r="L105" s="98">
        <f>COUNTIFS(明細!$J$5:$J$363,A105,明細!$D$5:$D$363,"その他")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46114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COUNTIFS(明細!$F$5:$F$363,A106,明細!$D$5:$D$363,"その他")</f>
        <v/>
      </c>
      <c r="E106" s="98">
        <f>COUNTIFS(明細!$G$5:$G$363,A106,明細!$D$5:$D$363,"その他")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COUNTIFS(明細!$I$5:$I$363,A106,明細!$D$5:$D$363,"その他")</f>
        <v/>
      </c>
      <c r="L106" s="98">
        <f>COUNTIFS(明細!$J$5:$J$363,A106,明細!$D$5:$D$363,"その他")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46115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COUNTIFS(明細!$F$5:$F$363,A107,明細!$D$5:$D$363,"その他")</f>
        <v/>
      </c>
      <c r="E107" s="98">
        <f>COUNTIFS(明細!$G$5:$G$363,A107,明細!$D$5:$D$363,"その他")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COUNTIFS(明細!$I$5:$I$363,A107,明細!$D$5:$D$363,"その他")</f>
        <v/>
      </c>
      <c r="L107" s="98">
        <f>COUNTIFS(明細!$J$5:$J$363,A107,明細!$D$5:$D$363,"その他")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46116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COUNTIFS(明細!$F$5:$F$363,A108,明細!$D$5:$D$363,"その他")</f>
        <v/>
      </c>
      <c r="E108" s="98">
        <f>COUNTIFS(明細!$G$5:$G$363,A108,明細!$D$5:$D$363,"その他")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COUNTIFS(明細!$I$5:$I$363,A108,明細!$D$5:$D$363,"その他")</f>
        <v/>
      </c>
      <c r="L108" s="98">
        <f>COUNTIFS(明細!$J$5:$J$363,A108,明細!$D$5:$D$363,"その他")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46117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COUNTIFS(明細!$F$5:$F$363,A109,明細!$D$5:$D$363,"その他")</f>
        <v/>
      </c>
      <c r="E109" s="98">
        <f>COUNTIFS(明細!$G$5:$G$363,A109,明細!$D$5:$D$363,"その他")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COUNTIFS(明細!$I$5:$I$363,A109,明細!$D$5:$D$363,"その他")</f>
        <v/>
      </c>
      <c r="L109" s="98">
        <f>COUNTIFS(明細!$J$5:$J$363,A109,明細!$D$5:$D$363,"その他")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46118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COUNTIFS(明細!$F$5:$F$363,A110,明細!$D$5:$D$363,"その他")</f>
        <v/>
      </c>
      <c r="E110" s="98">
        <f>COUNTIFS(明細!$G$5:$G$363,A110,明細!$D$5:$D$363,"その他")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COUNTIFS(明細!$I$5:$I$363,A110,明細!$D$5:$D$363,"その他")</f>
        <v/>
      </c>
      <c r="L110" s="98">
        <f>COUNTIFS(明細!$J$5:$J$363,A110,明細!$D$5:$D$363,"その他")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46119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COUNTIFS(明細!$F$5:$F$363,A111,明細!$D$5:$D$363,"その他")</f>
        <v/>
      </c>
      <c r="E111" s="98">
        <f>COUNTIFS(明細!$G$5:$G$363,A111,明細!$D$5:$D$363,"その他")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COUNTIFS(明細!$I$5:$I$363,A111,明細!$D$5:$D$363,"その他")</f>
        <v/>
      </c>
      <c r="L111" s="98">
        <f>COUNTIFS(明細!$J$5:$J$363,A111,明細!$D$5:$D$363,"その他")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46120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COUNTIFS(明細!$F$5:$F$363,A112,明細!$D$5:$D$363,"その他")</f>
        <v/>
      </c>
      <c r="E112" s="98">
        <f>COUNTIFS(明細!$G$5:$G$363,A112,明細!$D$5:$D$363,"その他")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COUNTIFS(明細!$I$5:$I$363,A112,明細!$D$5:$D$363,"その他")</f>
        <v/>
      </c>
      <c r="L112" s="98">
        <f>COUNTIFS(明細!$J$5:$J$363,A112,明細!$D$5:$D$363,"その他")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46121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COUNTIFS(明細!$F$5:$F$363,A113,明細!$D$5:$D$363,"その他")</f>
        <v/>
      </c>
      <c r="E113" s="98">
        <f>COUNTIFS(明細!$G$5:$G$363,A113,明細!$D$5:$D$363,"その他")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COUNTIFS(明細!$I$5:$I$363,A113,明細!$D$5:$D$363,"その他")</f>
        <v/>
      </c>
      <c r="L113" s="98">
        <f>COUNTIFS(明細!$J$5:$J$363,A113,明細!$D$5:$D$363,"その他")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46122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COUNTIFS(明細!$F$5:$F$363,A114,明細!$D$5:$D$363,"その他")</f>
        <v/>
      </c>
      <c r="E114" s="98">
        <f>COUNTIFS(明細!$G$5:$G$363,A114,明細!$D$5:$D$363,"その他")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COUNTIFS(明細!$I$5:$I$363,A114,明細!$D$5:$D$363,"その他")</f>
        <v/>
      </c>
      <c r="L114" s="98">
        <f>COUNTIFS(明細!$J$5:$J$363,A114,明細!$D$5:$D$363,"その他")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46123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COUNTIFS(明細!$F$5:$F$363,A115,明細!$D$5:$D$363,"その他")</f>
        <v/>
      </c>
      <c r="E115" s="98">
        <f>COUNTIFS(明細!$G$5:$G$363,A115,明細!$D$5:$D$363,"その他")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COUNTIFS(明細!$I$5:$I$363,A115,明細!$D$5:$D$363,"その他")</f>
        <v/>
      </c>
      <c r="L115" s="98">
        <f>COUNTIFS(明細!$J$5:$J$363,A115,明細!$D$5:$D$363,"その他")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46124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COUNTIFS(明細!$F$5:$F$363,A116,明細!$D$5:$D$363,"その他")</f>
        <v/>
      </c>
      <c r="E116" s="98">
        <f>COUNTIFS(明細!$G$5:$G$363,A116,明細!$D$5:$D$363,"その他")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COUNTIFS(明細!$I$5:$I$363,A116,明細!$D$5:$D$363,"その他")</f>
        <v/>
      </c>
      <c r="L116" s="98">
        <f>COUNTIFS(明細!$J$5:$J$363,A116,明細!$D$5:$D$363,"その他")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46125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COUNTIFS(明細!$F$5:$F$363,A117,明細!$D$5:$D$363,"その他")</f>
        <v/>
      </c>
      <c r="E117" s="98">
        <f>COUNTIFS(明細!$G$5:$G$363,A117,明細!$D$5:$D$363,"その他")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COUNTIFS(明細!$I$5:$I$363,A117,明細!$D$5:$D$363,"その他")</f>
        <v/>
      </c>
      <c r="L117" s="98">
        <f>COUNTIFS(明細!$J$5:$J$363,A117,明細!$D$5:$D$363,"その他")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46126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COUNTIFS(明細!$F$5:$F$363,A118,明細!$D$5:$D$363,"その他")</f>
        <v/>
      </c>
      <c r="E118" s="98">
        <f>COUNTIFS(明細!$G$5:$G$363,A118,明細!$D$5:$D$363,"その他")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COUNTIFS(明細!$I$5:$I$363,A118,明細!$D$5:$D$363,"その他")</f>
        <v/>
      </c>
      <c r="L118" s="98">
        <f>COUNTIFS(明細!$J$5:$J$363,A118,明細!$D$5:$D$363,"その他")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46127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COUNTIFS(明細!$F$5:$F$363,A119,明細!$D$5:$D$363,"その他")</f>
        <v/>
      </c>
      <c r="E119" s="98">
        <f>COUNTIFS(明細!$G$5:$G$363,A119,明細!$D$5:$D$363,"その他")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COUNTIFS(明細!$I$5:$I$363,A119,明細!$D$5:$D$363,"その他")</f>
        <v/>
      </c>
      <c r="L119" s="98">
        <f>COUNTIFS(明細!$J$5:$J$363,A119,明細!$D$5:$D$363,"その他")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46128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COUNTIFS(明細!$F$5:$F$363,A120,明細!$D$5:$D$363,"その他")</f>
        <v/>
      </c>
      <c r="E120" s="98">
        <f>COUNTIFS(明細!$G$5:$G$363,A120,明細!$D$5:$D$363,"その他")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COUNTIFS(明細!$I$5:$I$363,A120,明細!$D$5:$D$363,"その他")</f>
        <v/>
      </c>
      <c r="L120" s="98">
        <f>COUNTIFS(明細!$J$5:$J$363,A120,明細!$D$5:$D$363,"その他")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46129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COUNTIFS(明細!$F$5:$F$363,A121,明細!$D$5:$D$363,"その他")</f>
        <v/>
      </c>
      <c r="E121" s="98">
        <f>COUNTIFS(明細!$G$5:$G$363,A121,明細!$D$5:$D$363,"その他")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COUNTIFS(明細!$I$5:$I$363,A121,明細!$D$5:$D$363,"その他")</f>
        <v/>
      </c>
      <c r="L121" s="98">
        <f>COUNTIFS(明細!$J$5:$J$363,A121,明細!$D$5:$D$363,"その他")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46130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COUNTIFS(明細!$F$5:$F$363,A122,明細!$D$5:$D$363,"その他")</f>
        <v/>
      </c>
      <c r="E122" s="98">
        <f>COUNTIFS(明細!$G$5:$G$363,A122,明細!$D$5:$D$363,"その他")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COUNTIFS(明細!$I$5:$I$363,A122,明細!$D$5:$D$363,"その他")</f>
        <v/>
      </c>
      <c r="L122" s="98">
        <f>COUNTIFS(明細!$J$5:$J$363,A122,明細!$D$5:$D$363,"その他")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46131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COUNTIFS(明細!$F$5:$F$363,A123,明細!$D$5:$D$363,"その他")</f>
        <v/>
      </c>
      <c r="E123" s="98">
        <f>COUNTIFS(明細!$G$5:$G$363,A123,明細!$D$5:$D$363,"その他")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COUNTIFS(明細!$I$5:$I$363,A123,明細!$D$5:$D$363,"その他")</f>
        <v/>
      </c>
      <c r="L123" s="98">
        <f>COUNTIFS(明細!$J$5:$J$363,A123,明細!$D$5:$D$363,"その他")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46132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COUNTIFS(明細!$F$5:$F$363,A124,明細!$D$5:$D$363,"その他")</f>
        <v/>
      </c>
      <c r="E124" s="98">
        <f>COUNTIFS(明細!$G$5:$G$363,A124,明細!$D$5:$D$363,"その他")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COUNTIFS(明細!$I$5:$I$363,A124,明細!$D$5:$D$363,"その他")</f>
        <v/>
      </c>
      <c r="L124" s="98">
        <f>COUNTIFS(明細!$J$5:$J$363,A124,明細!$D$5:$D$363,"その他")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46133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COUNTIFS(明細!$F$5:$F$363,A125,明細!$D$5:$D$363,"その他")</f>
        <v/>
      </c>
      <c r="E125" s="98">
        <f>COUNTIFS(明細!$G$5:$G$363,A125,明細!$D$5:$D$363,"その他")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COUNTIFS(明細!$I$5:$I$363,A125,明細!$D$5:$D$363,"その他")</f>
        <v/>
      </c>
      <c r="L125" s="98">
        <f>COUNTIFS(明細!$J$5:$J$363,A125,明細!$D$5:$D$363,"その他")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46134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COUNTIFS(明細!$F$5:$F$363,A126,明細!$D$5:$D$363,"その他")</f>
        <v/>
      </c>
      <c r="E126" s="98">
        <f>COUNTIFS(明細!$G$5:$G$363,A126,明細!$D$5:$D$363,"その他")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COUNTIFS(明細!$I$5:$I$363,A126,明細!$D$5:$D$363,"その他")</f>
        <v/>
      </c>
      <c r="L126" s="98">
        <f>COUNTIFS(明細!$J$5:$J$363,A126,明細!$D$5:$D$363,"その他")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46135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COUNTIFS(明細!$F$5:$F$363,A127,明細!$D$5:$D$363,"その他")</f>
        <v/>
      </c>
      <c r="E127" s="98">
        <f>COUNTIFS(明細!$G$5:$G$363,A127,明細!$D$5:$D$363,"その他")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COUNTIFS(明細!$I$5:$I$363,A127,明細!$D$5:$D$363,"その他")</f>
        <v/>
      </c>
      <c r="L127" s="98">
        <f>COUNTIFS(明細!$J$5:$J$363,A127,明細!$D$5:$D$363,"その他")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46136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COUNTIFS(明細!$F$5:$F$363,A128,明細!$D$5:$D$363,"その他")</f>
        <v/>
      </c>
      <c r="E128" s="98">
        <f>COUNTIFS(明細!$G$5:$G$363,A128,明細!$D$5:$D$363,"その他")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COUNTIFS(明細!$I$5:$I$363,A128,明細!$D$5:$D$363,"その他")</f>
        <v/>
      </c>
      <c r="L128" s="98">
        <f>COUNTIFS(明細!$J$5:$J$363,A128,明細!$D$5:$D$363,"その他")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46137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COUNTIFS(明細!$F$5:$F$363,A129,明細!$D$5:$D$363,"その他")</f>
        <v/>
      </c>
      <c r="E129" s="98">
        <f>COUNTIFS(明細!$G$5:$G$363,A129,明細!$D$5:$D$363,"その他")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COUNTIFS(明細!$I$5:$I$363,A129,明細!$D$5:$D$363,"その他")</f>
        <v/>
      </c>
      <c r="L129" s="98">
        <f>COUNTIFS(明細!$J$5:$J$363,A129,明細!$D$5:$D$363,"その他")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46138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COUNTIFS(明細!$F$5:$F$363,A130,明細!$D$5:$D$363,"その他")</f>
        <v/>
      </c>
      <c r="E130" s="98">
        <f>COUNTIFS(明細!$G$5:$G$363,A130,明細!$D$5:$D$363,"その他")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COUNTIFS(明細!$I$5:$I$363,A130,明細!$D$5:$D$363,"その他")</f>
        <v/>
      </c>
      <c r="L130" s="98">
        <f>COUNTIFS(明細!$J$5:$J$363,A130,明細!$D$5:$D$363,"その他")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46139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COUNTIFS(明細!$F$5:$F$363,A131,明細!$D$5:$D$363,"その他")</f>
        <v/>
      </c>
      <c r="E131" s="98">
        <f>COUNTIFS(明細!$G$5:$G$363,A131,明細!$D$5:$D$363,"その他")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COUNTIFS(明細!$I$5:$I$363,A131,明細!$D$5:$D$363,"その他")</f>
        <v/>
      </c>
      <c r="L131" s="98">
        <f>COUNTIFS(明細!$J$5:$J$363,A131,明細!$D$5:$D$363,"その他")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46140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COUNTIFS(明細!$F$5:$F$363,A132,明細!$D$5:$D$363,"その他")</f>
        <v/>
      </c>
      <c r="E132" s="98">
        <f>COUNTIFS(明細!$G$5:$G$363,A132,明細!$D$5:$D$363,"その他")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COUNTIFS(明細!$I$5:$I$363,A132,明細!$D$5:$D$363,"その他")</f>
        <v/>
      </c>
      <c r="L132" s="98">
        <f>COUNTIFS(明細!$J$5:$J$363,A132,明細!$D$5:$D$363,"その他")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46141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COUNTIFS(明細!$F$5:$F$363,A133,明細!$D$5:$D$363,"その他")</f>
        <v/>
      </c>
      <c r="E133" s="98">
        <f>COUNTIFS(明細!$G$5:$G$363,A133,明細!$D$5:$D$363,"その他")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COUNTIFS(明細!$I$5:$I$363,A133,明細!$D$5:$D$363,"その他")</f>
        <v/>
      </c>
      <c r="L133" s="98">
        <f>COUNTIFS(明細!$J$5:$J$363,A133,明細!$D$5:$D$363,"その他")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46142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COUNTIFS(明細!$F$5:$F$363,A134,明細!$D$5:$D$363,"その他")</f>
        <v/>
      </c>
      <c r="E134" s="98">
        <f>COUNTIFS(明細!$G$5:$G$363,A134,明細!$D$5:$D$363,"その他")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COUNTIFS(明細!$I$5:$I$363,A134,明細!$D$5:$D$363,"その他")</f>
        <v/>
      </c>
      <c r="L134" s="98">
        <f>COUNTIFS(明細!$J$5:$J$363,A134,明細!$D$5:$D$363,"その他")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46143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COUNTIFS(明細!$F$5:$F$363,A135,明細!$D$5:$D$363,"その他")</f>
        <v/>
      </c>
      <c r="E135" s="98">
        <f>COUNTIFS(明細!$G$5:$G$363,A135,明細!$D$5:$D$363,"その他")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COUNTIFS(明細!$I$5:$I$363,A135,明細!$D$5:$D$363,"その他")</f>
        <v/>
      </c>
      <c r="L135" s="98">
        <f>COUNTIFS(明細!$J$5:$J$363,A135,明細!$D$5:$D$363,"その他")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46144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COUNTIFS(明細!$F$5:$F$363,A136,明細!$D$5:$D$363,"その他")</f>
        <v/>
      </c>
      <c r="E136" s="98">
        <f>COUNTIFS(明細!$G$5:$G$363,A136,明細!$D$5:$D$363,"その他")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COUNTIFS(明細!$I$5:$I$363,A136,明細!$D$5:$D$363,"その他")</f>
        <v/>
      </c>
      <c r="L136" s="98">
        <f>COUNTIFS(明細!$J$5:$J$363,A136,明細!$D$5:$D$363,"その他")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46145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COUNTIFS(明細!$F$5:$F$363,A137,明細!$D$5:$D$363,"その他")</f>
        <v/>
      </c>
      <c r="E137" s="98">
        <f>COUNTIFS(明細!$G$5:$G$363,A137,明細!$D$5:$D$363,"その他")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COUNTIFS(明細!$I$5:$I$363,A137,明細!$D$5:$D$363,"その他")</f>
        <v/>
      </c>
      <c r="L137" s="98">
        <f>COUNTIFS(明細!$J$5:$J$363,A137,明細!$D$5:$D$363,"その他")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46146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COUNTIFS(明細!$F$5:$F$363,A138,明細!$D$5:$D$363,"その他")</f>
        <v/>
      </c>
      <c r="E138" s="98">
        <f>COUNTIFS(明細!$G$5:$G$363,A138,明細!$D$5:$D$363,"その他")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COUNTIFS(明細!$I$5:$I$363,A138,明細!$D$5:$D$363,"その他")</f>
        <v/>
      </c>
      <c r="L138" s="98">
        <f>COUNTIFS(明細!$J$5:$J$363,A138,明細!$D$5:$D$363,"その他")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46147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COUNTIFS(明細!$F$5:$F$363,A139,明細!$D$5:$D$363,"その他")</f>
        <v/>
      </c>
      <c r="E139" s="98">
        <f>COUNTIFS(明細!$G$5:$G$363,A139,明細!$D$5:$D$363,"その他")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COUNTIFS(明細!$I$5:$I$363,A139,明細!$D$5:$D$363,"その他")</f>
        <v/>
      </c>
      <c r="L139" s="98">
        <f>COUNTIFS(明細!$J$5:$J$363,A139,明細!$D$5:$D$363,"その他")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46148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COUNTIFS(明細!$F$5:$F$363,A140,明細!$D$5:$D$363,"その他")</f>
        <v/>
      </c>
      <c r="E140" s="98">
        <f>COUNTIFS(明細!$G$5:$G$363,A140,明細!$D$5:$D$363,"その他")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COUNTIFS(明細!$I$5:$I$363,A140,明細!$D$5:$D$363,"その他")</f>
        <v/>
      </c>
      <c r="L140" s="98">
        <f>COUNTIFS(明細!$J$5:$J$363,A140,明細!$D$5:$D$363,"その他")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46149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COUNTIFS(明細!$F$5:$F$363,A141,明細!$D$5:$D$363,"その他")</f>
        <v/>
      </c>
      <c r="E141" s="98">
        <f>COUNTIFS(明細!$G$5:$G$363,A141,明細!$D$5:$D$363,"その他")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COUNTIFS(明細!$I$5:$I$363,A141,明細!$D$5:$D$363,"その他")</f>
        <v/>
      </c>
      <c r="L141" s="98">
        <f>COUNTIFS(明細!$J$5:$J$363,A141,明細!$D$5:$D$363,"その他")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46150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COUNTIFS(明細!$F$5:$F$363,A142,明細!$D$5:$D$363,"その他")</f>
        <v/>
      </c>
      <c r="E142" s="98">
        <f>COUNTIFS(明細!$G$5:$G$363,A142,明細!$D$5:$D$363,"その他")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COUNTIFS(明細!$I$5:$I$363,A142,明細!$D$5:$D$363,"その他")</f>
        <v/>
      </c>
      <c r="L142" s="98">
        <f>COUNTIFS(明細!$J$5:$J$363,A142,明細!$D$5:$D$363,"その他")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46151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COUNTIFS(明細!$F$5:$F$363,A143,明細!$D$5:$D$363,"その他")</f>
        <v/>
      </c>
      <c r="E143" s="98">
        <f>COUNTIFS(明細!$G$5:$G$363,A143,明細!$D$5:$D$363,"その他")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COUNTIFS(明細!$I$5:$I$363,A143,明細!$D$5:$D$363,"その他")</f>
        <v/>
      </c>
      <c r="L143" s="98">
        <f>COUNTIFS(明細!$J$5:$J$363,A143,明細!$D$5:$D$363,"その他")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46152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COUNTIFS(明細!$F$5:$F$363,A144,明細!$D$5:$D$363,"その他")</f>
        <v/>
      </c>
      <c r="E144" s="98">
        <f>COUNTIFS(明細!$G$5:$G$363,A144,明細!$D$5:$D$363,"その他")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COUNTIFS(明細!$I$5:$I$363,A144,明細!$D$5:$D$363,"その他")</f>
        <v/>
      </c>
      <c r="L144" s="98">
        <f>COUNTIFS(明細!$J$5:$J$363,A144,明細!$D$5:$D$363,"その他")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46153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COUNTIFS(明細!$F$5:$F$363,A145,明細!$D$5:$D$363,"その他")</f>
        <v/>
      </c>
      <c r="E145" s="98">
        <f>COUNTIFS(明細!$G$5:$G$363,A145,明細!$D$5:$D$363,"その他")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COUNTIFS(明細!$I$5:$I$363,A145,明細!$D$5:$D$363,"その他")</f>
        <v/>
      </c>
      <c r="L145" s="98">
        <f>COUNTIFS(明細!$J$5:$J$363,A145,明細!$D$5:$D$363,"その他")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46154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COUNTIFS(明細!$F$5:$F$363,A146,明細!$D$5:$D$363,"その他")</f>
        <v/>
      </c>
      <c r="E146" s="98">
        <f>COUNTIFS(明細!$G$5:$G$363,A146,明細!$D$5:$D$363,"その他")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COUNTIFS(明細!$I$5:$I$363,A146,明細!$D$5:$D$363,"その他")</f>
        <v/>
      </c>
      <c r="L146" s="98">
        <f>COUNTIFS(明細!$J$5:$J$363,A146,明細!$D$5:$D$363,"その他")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46155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COUNTIFS(明細!$F$5:$F$363,A147,明細!$D$5:$D$363,"その他")</f>
        <v/>
      </c>
      <c r="E147" s="98">
        <f>COUNTIFS(明細!$G$5:$G$363,A147,明細!$D$5:$D$363,"その他")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COUNTIFS(明細!$I$5:$I$363,A147,明細!$D$5:$D$363,"その他")</f>
        <v/>
      </c>
      <c r="L147" s="98">
        <f>COUNTIFS(明細!$J$5:$J$363,A147,明細!$D$5:$D$363,"その他")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46156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COUNTIFS(明細!$F$5:$F$363,A148,明細!$D$5:$D$363,"その他")</f>
        <v/>
      </c>
      <c r="E148" s="98">
        <f>COUNTIFS(明細!$G$5:$G$363,A148,明細!$D$5:$D$363,"その他")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COUNTIFS(明細!$I$5:$I$363,A148,明細!$D$5:$D$363,"その他")</f>
        <v/>
      </c>
      <c r="L148" s="98">
        <f>COUNTIFS(明細!$J$5:$J$363,A148,明細!$D$5:$D$363,"その他")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46157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COUNTIFS(明細!$F$5:$F$363,A149,明細!$D$5:$D$363,"その他")</f>
        <v/>
      </c>
      <c r="E149" s="98">
        <f>COUNTIFS(明細!$G$5:$G$363,A149,明細!$D$5:$D$363,"その他")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COUNTIFS(明細!$I$5:$I$363,A149,明細!$D$5:$D$363,"その他")</f>
        <v/>
      </c>
      <c r="L149" s="98">
        <f>COUNTIFS(明細!$J$5:$J$363,A149,明細!$D$5:$D$363,"その他")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46158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COUNTIFS(明細!$F$5:$F$363,A150,明細!$D$5:$D$363,"その他")</f>
        <v/>
      </c>
      <c r="E150" s="98">
        <f>COUNTIFS(明細!$G$5:$G$363,A150,明細!$D$5:$D$363,"その他")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COUNTIFS(明細!$I$5:$I$363,A150,明細!$D$5:$D$363,"その他")</f>
        <v/>
      </c>
      <c r="L150" s="98">
        <f>COUNTIFS(明細!$J$5:$J$363,A150,明細!$D$5:$D$363,"その他")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46159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COUNTIFS(明細!$F$5:$F$363,A151,明細!$D$5:$D$363,"その他")</f>
        <v/>
      </c>
      <c r="E151" s="98">
        <f>COUNTIFS(明細!$G$5:$G$363,A151,明細!$D$5:$D$363,"その他")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COUNTIFS(明細!$I$5:$I$363,A151,明細!$D$5:$D$363,"その他")</f>
        <v/>
      </c>
      <c r="L151" s="98">
        <f>COUNTIFS(明細!$J$5:$J$363,A151,明細!$D$5:$D$363,"その他")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46160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COUNTIFS(明細!$F$5:$F$363,A152,明細!$D$5:$D$363,"その他")</f>
        <v/>
      </c>
      <c r="E152" s="98">
        <f>COUNTIFS(明細!$G$5:$G$363,A152,明細!$D$5:$D$363,"その他")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COUNTIFS(明細!$I$5:$I$363,A152,明細!$D$5:$D$363,"その他")</f>
        <v/>
      </c>
      <c r="L152" s="98">
        <f>COUNTIFS(明細!$J$5:$J$363,A152,明細!$D$5:$D$363,"その他")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46161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COUNTIFS(明細!$F$5:$F$363,A153,明細!$D$5:$D$363,"その他")</f>
        <v/>
      </c>
      <c r="E153" s="98">
        <f>COUNTIFS(明細!$G$5:$G$363,A153,明細!$D$5:$D$363,"その他")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COUNTIFS(明細!$I$5:$I$363,A153,明細!$D$5:$D$363,"その他")</f>
        <v/>
      </c>
      <c r="L153" s="98">
        <f>COUNTIFS(明細!$J$5:$J$363,A153,明細!$D$5:$D$363,"その他")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46162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COUNTIFS(明細!$F$5:$F$363,A154,明細!$D$5:$D$363,"その他")</f>
        <v/>
      </c>
      <c r="E154" s="98">
        <f>COUNTIFS(明細!$G$5:$G$363,A154,明細!$D$5:$D$363,"その他")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COUNTIFS(明細!$I$5:$I$363,A154,明細!$D$5:$D$363,"その他")</f>
        <v/>
      </c>
      <c r="L154" s="98">
        <f>COUNTIFS(明細!$J$5:$J$363,A154,明細!$D$5:$D$363,"その他")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46163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COUNTIFS(明細!$F$5:$F$363,A155,明細!$D$5:$D$363,"その他")</f>
        <v/>
      </c>
      <c r="E155" s="98">
        <f>COUNTIFS(明細!$G$5:$G$363,A155,明細!$D$5:$D$363,"その他")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COUNTIFS(明細!$I$5:$I$363,A155,明細!$D$5:$D$363,"その他")</f>
        <v/>
      </c>
      <c r="L155" s="98">
        <f>COUNTIFS(明細!$J$5:$J$363,A155,明細!$D$5:$D$363,"その他")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46164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COUNTIFS(明細!$F$5:$F$363,A156,明細!$D$5:$D$363,"その他")</f>
        <v/>
      </c>
      <c r="E156" s="98">
        <f>COUNTIFS(明細!$G$5:$G$363,A156,明細!$D$5:$D$363,"その他")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COUNTIFS(明細!$I$5:$I$363,A156,明細!$D$5:$D$363,"その他")</f>
        <v/>
      </c>
      <c r="L156" s="98">
        <f>COUNTIFS(明細!$J$5:$J$363,A156,明細!$D$5:$D$363,"その他")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46165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COUNTIFS(明細!$F$5:$F$363,A157,明細!$D$5:$D$363,"その他")</f>
        <v/>
      </c>
      <c r="E157" s="98">
        <f>COUNTIFS(明細!$G$5:$G$363,A157,明細!$D$5:$D$363,"その他")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COUNTIFS(明細!$I$5:$I$363,A157,明細!$D$5:$D$363,"その他")</f>
        <v/>
      </c>
      <c r="L157" s="98">
        <f>COUNTIFS(明細!$J$5:$J$363,A157,明細!$D$5:$D$363,"その他")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46166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COUNTIFS(明細!$F$5:$F$363,A158,明細!$D$5:$D$363,"その他")</f>
        <v/>
      </c>
      <c r="E158" s="98">
        <f>COUNTIFS(明細!$G$5:$G$363,A158,明細!$D$5:$D$363,"その他")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COUNTIFS(明細!$I$5:$I$363,A158,明細!$D$5:$D$363,"その他")</f>
        <v/>
      </c>
      <c r="L158" s="98">
        <f>COUNTIFS(明細!$J$5:$J$363,A158,明細!$D$5:$D$363,"その他")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46167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COUNTIFS(明細!$F$5:$F$363,A159,明細!$D$5:$D$363,"その他")</f>
        <v/>
      </c>
      <c r="E159" s="98">
        <f>COUNTIFS(明細!$G$5:$G$363,A159,明細!$D$5:$D$363,"その他")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COUNTIFS(明細!$I$5:$I$363,A159,明細!$D$5:$D$363,"その他")</f>
        <v/>
      </c>
      <c r="L159" s="98">
        <f>COUNTIFS(明細!$J$5:$J$363,A159,明細!$D$5:$D$363,"その他")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46168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COUNTIFS(明細!$F$5:$F$363,A160,明細!$D$5:$D$363,"その他")</f>
        <v/>
      </c>
      <c r="E160" s="98">
        <f>COUNTIFS(明細!$G$5:$G$363,A160,明細!$D$5:$D$363,"その他")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COUNTIFS(明細!$I$5:$I$363,A160,明細!$D$5:$D$363,"その他")</f>
        <v/>
      </c>
      <c r="L160" s="98">
        <f>COUNTIFS(明細!$J$5:$J$363,A160,明細!$D$5:$D$363,"その他")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46169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COUNTIFS(明細!$F$5:$F$363,A161,明細!$D$5:$D$363,"その他")</f>
        <v/>
      </c>
      <c r="E161" s="98">
        <f>COUNTIFS(明細!$G$5:$G$363,A161,明細!$D$5:$D$363,"その他")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COUNTIFS(明細!$I$5:$I$363,A161,明細!$D$5:$D$363,"その他")</f>
        <v/>
      </c>
      <c r="L161" s="98">
        <f>COUNTIFS(明細!$J$5:$J$363,A161,明細!$D$5:$D$363,"その他")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46170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COUNTIFS(明細!$F$5:$F$363,A162,明細!$D$5:$D$363,"その他")</f>
        <v/>
      </c>
      <c r="E162" s="98">
        <f>COUNTIFS(明細!$G$5:$G$363,A162,明細!$D$5:$D$363,"その他")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COUNTIFS(明細!$I$5:$I$363,A162,明細!$D$5:$D$363,"その他")</f>
        <v/>
      </c>
      <c r="L162" s="98">
        <f>COUNTIFS(明細!$J$5:$J$363,A162,明細!$D$5:$D$363,"その他")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46171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COUNTIFS(明細!$F$5:$F$363,A163,明細!$D$5:$D$363,"その他")</f>
        <v/>
      </c>
      <c r="E163" s="98">
        <f>COUNTIFS(明細!$G$5:$G$363,A163,明細!$D$5:$D$363,"その他")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COUNTIFS(明細!$I$5:$I$363,A163,明細!$D$5:$D$363,"その他")</f>
        <v/>
      </c>
      <c r="L163" s="98">
        <f>COUNTIFS(明細!$J$5:$J$363,A163,明細!$D$5:$D$363,"その他")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46172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COUNTIFS(明細!$F$5:$F$363,A164,明細!$D$5:$D$363,"その他")</f>
        <v/>
      </c>
      <c r="E164" s="98">
        <f>COUNTIFS(明細!$G$5:$G$363,A164,明細!$D$5:$D$363,"その他")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COUNTIFS(明細!$I$5:$I$363,A164,明細!$D$5:$D$363,"その他")</f>
        <v/>
      </c>
      <c r="L164" s="98">
        <f>COUNTIFS(明細!$J$5:$J$363,A164,明細!$D$5:$D$363,"その他")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46173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COUNTIFS(明細!$F$5:$F$363,A165,明細!$D$5:$D$363,"その他")</f>
        <v/>
      </c>
      <c r="E165" s="98">
        <f>COUNTIFS(明細!$G$5:$G$363,A165,明細!$D$5:$D$363,"その他")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COUNTIFS(明細!$I$5:$I$363,A165,明細!$D$5:$D$363,"その他")</f>
        <v/>
      </c>
      <c r="L165" s="98">
        <f>COUNTIFS(明細!$J$5:$J$363,A165,明細!$D$5:$D$363,"その他")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46174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COUNTIFS(明細!$F$5:$F$363,A166,明細!$D$5:$D$363,"その他")</f>
        <v/>
      </c>
      <c r="E166" s="98">
        <f>COUNTIFS(明細!$G$5:$G$363,A166,明細!$D$5:$D$363,"その他")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COUNTIFS(明細!$I$5:$I$363,A166,明細!$D$5:$D$363,"その他")</f>
        <v/>
      </c>
      <c r="L166" s="98">
        <f>COUNTIFS(明細!$J$5:$J$363,A166,明細!$D$5:$D$363,"その他")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46175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COUNTIFS(明細!$F$5:$F$363,A167,明細!$D$5:$D$363,"その他")</f>
        <v/>
      </c>
      <c r="E167" s="98">
        <f>COUNTIFS(明細!$G$5:$G$363,A167,明細!$D$5:$D$363,"その他")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COUNTIFS(明細!$I$5:$I$363,A167,明細!$D$5:$D$363,"その他")</f>
        <v/>
      </c>
      <c r="L167" s="98">
        <f>COUNTIFS(明細!$J$5:$J$363,A167,明細!$D$5:$D$363,"その他")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46176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COUNTIFS(明細!$F$5:$F$363,A168,明細!$D$5:$D$363,"その他")</f>
        <v/>
      </c>
      <c r="E168" s="98">
        <f>COUNTIFS(明細!$G$5:$G$363,A168,明細!$D$5:$D$363,"その他")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COUNTIFS(明細!$I$5:$I$363,A168,明細!$D$5:$D$363,"その他")</f>
        <v/>
      </c>
      <c r="L168" s="98">
        <f>COUNTIFS(明細!$J$5:$J$363,A168,明細!$D$5:$D$363,"その他")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46177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COUNTIFS(明細!$F$5:$F$363,A169,明細!$D$5:$D$363,"その他")</f>
        <v/>
      </c>
      <c r="E169" s="98">
        <f>COUNTIFS(明細!$G$5:$G$363,A169,明細!$D$5:$D$363,"その他")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COUNTIFS(明細!$I$5:$I$363,A169,明細!$D$5:$D$363,"その他")</f>
        <v/>
      </c>
      <c r="L169" s="98">
        <f>COUNTIFS(明細!$J$5:$J$363,A169,明細!$D$5:$D$363,"その他")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46178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COUNTIFS(明細!$F$5:$F$363,A170,明細!$D$5:$D$363,"その他")</f>
        <v/>
      </c>
      <c r="E170" s="98">
        <f>COUNTIFS(明細!$G$5:$G$363,A170,明細!$D$5:$D$363,"その他")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COUNTIFS(明細!$I$5:$I$363,A170,明細!$D$5:$D$363,"その他")</f>
        <v/>
      </c>
      <c r="L170" s="98">
        <f>COUNTIFS(明細!$J$5:$J$363,A170,明細!$D$5:$D$363,"その他")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46179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COUNTIFS(明細!$F$5:$F$363,A171,明細!$D$5:$D$363,"その他")</f>
        <v/>
      </c>
      <c r="E171" s="98">
        <f>COUNTIFS(明細!$G$5:$G$363,A171,明細!$D$5:$D$363,"その他")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COUNTIFS(明細!$I$5:$I$363,A171,明細!$D$5:$D$363,"その他")</f>
        <v/>
      </c>
      <c r="L171" s="98">
        <f>COUNTIFS(明細!$J$5:$J$363,A171,明細!$D$5:$D$363,"その他")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</sheetData>
  <mergeCells count="5">
    <mergeCell ref="D3:J3"/>
    <mergeCell ref="K3:Q3"/>
    <mergeCell ref="A1:S1"/>
    <mergeCell ref="A3:C3"/>
    <mergeCell ref="R3:S3"/>
  </mergeCells>
  <conditionalFormatting sqref="J5:J171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71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71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71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71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FAADC"/>
    <outlinePr summaryBelow="1" summaryRight="1"/>
    <pageSetUpPr/>
  </sheetPr>
  <dimension ref="A1:S18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テスト進捗サマリー（オンライン）</t>
        </is>
      </c>
    </row>
    <row r="2" ht="22" customHeight="1">
      <c r="A2" s="68" t="inlineStr">
        <is>
          <t>集計期間: 2025/12/07 ～ 2026/06/08 (184日間)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SUM(D6:D189)</f>
        <v/>
      </c>
      <c r="E5" s="91">
        <f>SUM(E6:E189)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SUM(K6:K189)</f>
        <v/>
      </c>
      <c r="L5" s="91">
        <f>SUM(L6:L189)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45998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COUNTIFS(明細!$F$5:$F$363,A6,明細!$D$5:$D$363,"オンライン")</f>
        <v/>
      </c>
      <c r="E6" s="98">
        <f>COUNTIFS(明細!$G$5:$G$363,A6,明細!$D$5:$D$363,"オンライン")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COUNTIFS(明細!$I$5:$I$363,A6,明細!$D$5:$D$363,"オンライン")</f>
        <v/>
      </c>
      <c r="L6" s="98">
        <f>COUNTIFS(明細!$J$5:$J$363,A6,明細!$D$5:$D$363,"オンライン")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45999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COUNTIFS(明細!$F$5:$F$363,A7,明細!$D$5:$D$363,"オンライン")</f>
        <v/>
      </c>
      <c r="E7" s="98">
        <f>COUNTIFS(明細!$G$5:$G$363,A7,明細!$D$5:$D$363,"オンライン")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COUNTIFS(明細!$I$5:$I$363,A7,明細!$D$5:$D$363,"オンライン")</f>
        <v/>
      </c>
      <c r="L7" s="98">
        <f>COUNTIFS(明細!$J$5:$J$363,A7,明細!$D$5:$D$363,"オンライン")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46000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COUNTIFS(明細!$F$5:$F$363,A8,明細!$D$5:$D$363,"オンライン")</f>
        <v/>
      </c>
      <c r="E8" s="98">
        <f>COUNTIFS(明細!$G$5:$G$363,A8,明細!$D$5:$D$363,"オンライン")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COUNTIFS(明細!$I$5:$I$363,A8,明細!$D$5:$D$363,"オンライン")</f>
        <v/>
      </c>
      <c r="L8" s="98">
        <f>COUNTIFS(明細!$J$5:$J$363,A8,明細!$D$5:$D$363,"オンライン")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46001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COUNTIFS(明細!$F$5:$F$363,A9,明細!$D$5:$D$363,"オンライン")</f>
        <v/>
      </c>
      <c r="E9" s="98">
        <f>COUNTIFS(明細!$G$5:$G$363,A9,明細!$D$5:$D$363,"オンライン")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COUNTIFS(明細!$I$5:$I$363,A9,明細!$D$5:$D$363,"オンライン")</f>
        <v/>
      </c>
      <c r="L9" s="98">
        <f>COUNTIFS(明細!$J$5:$J$363,A9,明細!$D$5:$D$363,"オンライン")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46002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COUNTIFS(明細!$F$5:$F$363,A10,明細!$D$5:$D$363,"オンライン")</f>
        <v/>
      </c>
      <c r="E10" s="98">
        <f>COUNTIFS(明細!$G$5:$G$363,A10,明細!$D$5:$D$363,"オンライン")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COUNTIFS(明細!$I$5:$I$363,A10,明細!$D$5:$D$363,"オンライン")</f>
        <v/>
      </c>
      <c r="L10" s="98">
        <f>COUNTIFS(明細!$J$5:$J$363,A10,明細!$D$5:$D$363,"オンライン")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46003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COUNTIFS(明細!$F$5:$F$363,A11,明細!$D$5:$D$363,"オンライン")</f>
        <v/>
      </c>
      <c r="E11" s="98">
        <f>COUNTIFS(明細!$G$5:$G$363,A11,明細!$D$5:$D$363,"オンライン")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COUNTIFS(明細!$I$5:$I$363,A11,明細!$D$5:$D$363,"オンライン")</f>
        <v/>
      </c>
      <c r="L11" s="98">
        <f>COUNTIFS(明細!$J$5:$J$363,A11,明細!$D$5:$D$363,"オンライン")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46004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COUNTIFS(明細!$F$5:$F$363,A12,明細!$D$5:$D$363,"オンライン")</f>
        <v/>
      </c>
      <c r="E12" s="98">
        <f>COUNTIFS(明細!$G$5:$G$363,A12,明細!$D$5:$D$363,"オンライン")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COUNTIFS(明細!$I$5:$I$363,A12,明細!$D$5:$D$363,"オンライン")</f>
        <v/>
      </c>
      <c r="L12" s="98">
        <f>COUNTIFS(明細!$J$5:$J$363,A12,明細!$D$5:$D$363,"オンライン")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46005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COUNTIFS(明細!$F$5:$F$363,A13,明細!$D$5:$D$363,"オンライン")</f>
        <v/>
      </c>
      <c r="E13" s="98">
        <f>COUNTIFS(明細!$G$5:$G$363,A13,明細!$D$5:$D$363,"オンライン")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COUNTIFS(明細!$I$5:$I$363,A13,明細!$D$5:$D$363,"オンライン")</f>
        <v/>
      </c>
      <c r="L13" s="98">
        <f>COUNTIFS(明細!$J$5:$J$363,A13,明細!$D$5:$D$363,"オンライン")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46006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COUNTIFS(明細!$F$5:$F$363,A14,明細!$D$5:$D$363,"オンライン")</f>
        <v/>
      </c>
      <c r="E14" s="98">
        <f>COUNTIFS(明細!$G$5:$G$363,A14,明細!$D$5:$D$363,"オンライン")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COUNTIFS(明細!$I$5:$I$363,A14,明細!$D$5:$D$363,"オンライン")</f>
        <v/>
      </c>
      <c r="L14" s="98">
        <f>COUNTIFS(明細!$J$5:$J$363,A14,明細!$D$5:$D$363,"オンライン")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46007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COUNTIFS(明細!$F$5:$F$363,A15,明細!$D$5:$D$363,"オンライン")</f>
        <v/>
      </c>
      <c r="E15" s="98">
        <f>COUNTIFS(明細!$G$5:$G$363,A15,明細!$D$5:$D$363,"オンライン")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COUNTIFS(明細!$I$5:$I$363,A15,明細!$D$5:$D$363,"オンライン")</f>
        <v/>
      </c>
      <c r="L15" s="98">
        <f>COUNTIFS(明細!$J$5:$J$363,A15,明細!$D$5:$D$363,"オンライン")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46008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COUNTIFS(明細!$F$5:$F$363,A16,明細!$D$5:$D$363,"オンライン")</f>
        <v/>
      </c>
      <c r="E16" s="98">
        <f>COUNTIFS(明細!$G$5:$G$363,A16,明細!$D$5:$D$363,"オンライン")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COUNTIFS(明細!$I$5:$I$363,A16,明細!$D$5:$D$363,"オンライン")</f>
        <v/>
      </c>
      <c r="L16" s="98">
        <f>COUNTIFS(明細!$J$5:$J$363,A16,明細!$D$5:$D$363,"オンライン")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46009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COUNTIFS(明細!$F$5:$F$363,A17,明細!$D$5:$D$363,"オンライン")</f>
        <v/>
      </c>
      <c r="E17" s="98">
        <f>COUNTIFS(明細!$G$5:$G$363,A17,明細!$D$5:$D$363,"オンライン")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COUNTIFS(明細!$I$5:$I$363,A17,明細!$D$5:$D$363,"オンライン")</f>
        <v/>
      </c>
      <c r="L17" s="98">
        <f>COUNTIFS(明細!$J$5:$J$363,A17,明細!$D$5:$D$363,"オンライン")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46010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COUNTIFS(明細!$F$5:$F$363,A18,明細!$D$5:$D$363,"オンライン")</f>
        <v/>
      </c>
      <c r="E18" s="98">
        <f>COUNTIFS(明細!$G$5:$G$363,A18,明細!$D$5:$D$363,"オンライン")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COUNTIFS(明細!$I$5:$I$363,A18,明細!$D$5:$D$363,"オンライン")</f>
        <v/>
      </c>
      <c r="L18" s="98">
        <f>COUNTIFS(明細!$J$5:$J$363,A18,明細!$D$5:$D$363,"オンライン")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46011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COUNTIFS(明細!$F$5:$F$363,A19,明細!$D$5:$D$363,"オンライン")</f>
        <v/>
      </c>
      <c r="E19" s="98">
        <f>COUNTIFS(明細!$G$5:$G$363,A19,明細!$D$5:$D$363,"オンライン")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COUNTIFS(明細!$I$5:$I$363,A19,明細!$D$5:$D$363,"オンライン")</f>
        <v/>
      </c>
      <c r="L19" s="98">
        <f>COUNTIFS(明細!$J$5:$J$363,A19,明細!$D$5:$D$363,"オンライン")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46012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COUNTIFS(明細!$F$5:$F$363,A20,明細!$D$5:$D$363,"オンライン")</f>
        <v/>
      </c>
      <c r="E20" s="98">
        <f>COUNTIFS(明細!$G$5:$G$363,A20,明細!$D$5:$D$363,"オンライン")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COUNTIFS(明細!$I$5:$I$363,A20,明細!$D$5:$D$363,"オンライン")</f>
        <v/>
      </c>
      <c r="L20" s="98">
        <f>COUNTIFS(明細!$J$5:$J$363,A20,明細!$D$5:$D$363,"オンライン")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46013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COUNTIFS(明細!$F$5:$F$363,A21,明細!$D$5:$D$363,"オンライン")</f>
        <v/>
      </c>
      <c r="E21" s="98">
        <f>COUNTIFS(明細!$G$5:$G$363,A21,明細!$D$5:$D$363,"オンライン")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COUNTIFS(明細!$I$5:$I$363,A21,明細!$D$5:$D$363,"オンライン")</f>
        <v/>
      </c>
      <c r="L21" s="98">
        <f>COUNTIFS(明細!$J$5:$J$363,A21,明細!$D$5:$D$363,"オンライン")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46014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COUNTIFS(明細!$F$5:$F$363,A22,明細!$D$5:$D$363,"オンライン")</f>
        <v/>
      </c>
      <c r="E22" s="98">
        <f>COUNTIFS(明細!$G$5:$G$363,A22,明細!$D$5:$D$363,"オンライン")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COUNTIFS(明細!$I$5:$I$363,A22,明細!$D$5:$D$363,"オンライン")</f>
        <v/>
      </c>
      <c r="L22" s="98">
        <f>COUNTIFS(明細!$J$5:$J$363,A22,明細!$D$5:$D$363,"オンライン")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46015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COUNTIFS(明細!$F$5:$F$363,A23,明細!$D$5:$D$363,"オンライン")</f>
        <v/>
      </c>
      <c r="E23" s="98">
        <f>COUNTIFS(明細!$G$5:$G$363,A23,明細!$D$5:$D$363,"オンライン")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COUNTIFS(明細!$I$5:$I$363,A23,明細!$D$5:$D$363,"オンライン")</f>
        <v/>
      </c>
      <c r="L23" s="98">
        <f>COUNTIFS(明細!$J$5:$J$363,A23,明細!$D$5:$D$363,"オンライン")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46016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COUNTIFS(明細!$F$5:$F$363,A24,明細!$D$5:$D$363,"オンライン")</f>
        <v/>
      </c>
      <c r="E24" s="98">
        <f>COUNTIFS(明細!$G$5:$G$363,A24,明細!$D$5:$D$363,"オンライン")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COUNTIFS(明細!$I$5:$I$363,A24,明細!$D$5:$D$363,"オンライン")</f>
        <v/>
      </c>
      <c r="L24" s="98">
        <f>COUNTIFS(明細!$J$5:$J$363,A24,明細!$D$5:$D$363,"オンライン")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46017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COUNTIFS(明細!$F$5:$F$363,A25,明細!$D$5:$D$363,"オンライン")</f>
        <v/>
      </c>
      <c r="E25" s="98">
        <f>COUNTIFS(明細!$G$5:$G$363,A25,明細!$D$5:$D$363,"オンライン")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COUNTIFS(明細!$I$5:$I$363,A25,明細!$D$5:$D$363,"オンライン")</f>
        <v/>
      </c>
      <c r="L25" s="98">
        <f>COUNTIFS(明細!$J$5:$J$363,A25,明細!$D$5:$D$363,"オンライン")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46018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COUNTIFS(明細!$F$5:$F$363,A26,明細!$D$5:$D$363,"オンライン")</f>
        <v/>
      </c>
      <c r="E26" s="98">
        <f>COUNTIFS(明細!$G$5:$G$363,A26,明細!$D$5:$D$363,"オンライン")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COUNTIFS(明細!$I$5:$I$363,A26,明細!$D$5:$D$363,"オンライン")</f>
        <v/>
      </c>
      <c r="L26" s="98">
        <f>COUNTIFS(明細!$J$5:$J$363,A26,明細!$D$5:$D$363,"オンライン")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46019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COUNTIFS(明細!$F$5:$F$363,A27,明細!$D$5:$D$363,"オンライン")</f>
        <v/>
      </c>
      <c r="E27" s="98">
        <f>COUNTIFS(明細!$G$5:$G$363,A27,明細!$D$5:$D$363,"オンライン")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COUNTIFS(明細!$I$5:$I$363,A27,明細!$D$5:$D$363,"オンライン")</f>
        <v/>
      </c>
      <c r="L27" s="98">
        <f>COUNTIFS(明細!$J$5:$J$363,A27,明細!$D$5:$D$363,"オンライン")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46020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COUNTIFS(明細!$F$5:$F$363,A28,明細!$D$5:$D$363,"オンライン")</f>
        <v/>
      </c>
      <c r="E28" s="98">
        <f>COUNTIFS(明細!$G$5:$G$363,A28,明細!$D$5:$D$363,"オンライン")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COUNTIFS(明細!$I$5:$I$363,A28,明細!$D$5:$D$363,"オンライン")</f>
        <v/>
      </c>
      <c r="L28" s="98">
        <f>COUNTIFS(明細!$J$5:$J$363,A28,明細!$D$5:$D$363,"オンライン")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46021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COUNTIFS(明細!$F$5:$F$363,A29,明細!$D$5:$D$363,"オンライン")</f>
        <v/>
      </c>
      <c r="E29" s="98">
        <f>COUNTIFS(明細!$G$5:$G$363,A29,明細!$D$5:$D$363,"オンライン")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COUNTIFS(明細!$I$5:$I$363,A29,明細!$D$5:$D$363,"オンライン")</f>
        <v/>
      </c>
      <c r="L29" s="98">
        <f>COUNTIFS(明細!$J$5:$J$363,A29,明細!$D$5:$D$363,"オンライン")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46022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COUNTIFS(明細!$F$5:$F$363,A30,明細!$D$5:$D$363,"オンライン")</f>
        <v/>
      </c>
      <c r="E30" s="98">
        <f>COUNTIFS(明細!$G$5:$G$363,A30,明細!$D$5:$D$363,"オンライン")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COUNTIFS(明細!$I$5:$I$363,A30,明細!$D$5:$D$363,"オンライン")</f>
        <v/>
      </c>
      <c r="L30" s="98">
        <f>COUNTIFS(明細!$J$5:$J$363,A30,明細!$D$5:$D$363,"オンライン")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46023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COUNTIFS(明細!$F$5:$F$363,A31,明細!$D$5:$D$363,"オンライン")</f>
        <v/>
      </c>
      <c r="E31" s="98">
        <f>COUNTIFS(明細!$G$5:$G$363,A31,明細!$D$5:$D$363,"オンライン")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COUNTIFS(明細!$I$5:$I$363,A31,明細!$D$5:$D$363,"オンライン")</f>
        <v/>
      </c>
      <c r="L31" s="98">
        <f>COUNTIFS(明細!$J$5:$J$363,A31,明細!$D$5:$D$363,"オンライン")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46024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COUNTIFS(明細!$F$5:$F$363,A32,明細!$D$5:$D$363,"オンライン")</f>
        <v/>
      </c>
      <c r="E32" s="98">
        <f>COUNTIFS(明細!$G$5:$G$363,A32,明細!$D$5:$D$363,"オンライン")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COUNTIFS(明細!$I$5:$I$363,A32,明細!$D$5:$D$363,"オンライン")</f>
        <v/>
      </c>
      <c r="L32" s="98">
        <f>COUNTIFS(明細!$J$5:$J$363,A32,明細!$D$5:$D$363,"オンライン")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46025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COUNTIFS(明細!$F$5:$F$363,A33,明細!$D$5:$D$363,"オンライン")</f>
        <v/>
      </c>
      <c r="E33" s="98">
        <f>COUNTIFS(明細!$G$5:$G$363,A33,明細!$D$5:$D$363,"オンライン")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COUNTIFS(明細!$I$5:$I$363,A33,明細!$D$5:$D$363,"オンライン")</f>
        <v/>
      </c>
      <c r="L33" s="98">
        <f>COUNTIFS(明細!$J$5:$J$363,A33,明細!$D$5:$D$363,"オンライン")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46026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COUNTIFS(明細!$F$5:$F$363,A34,明細!$D$5:$D$363,"オンライン")</f>
        <v/>
      </c>
      <c r="E34" s="98">
        <f>COUNTIFS(明細!$G$5:$G$363,A34,明細!$D$5:$D$363,"オンライン")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COUNTIFS(明細!$I$5:$I$363,A34,明細!$D$5:$D$363,"オンライン")</f>
        <v/>
      </c>
      <c r="L34" s="98">
        <f>COUNTIFS(明細!$J$5:$J$363,A34,明細!$D$5:$D$363,"オンライン")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46027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COUNTIFS(明細!$F$5:$F$363,A35,明細!$D$5:$D$363,"オンライン")</f>
        <v/>
      </c>
      <c r="E35" s="98">
        <f>COUNTIFS(明細!$G$5:$G$363,A35,明細!$D$5:$D$363,"オンライン")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COUNTIFS(明細!$I$5:$I$363,A35,明細!$D$5:$D$363,"オンライン")</f>
        <v/>
      </c>
      <c r="L35" s="98">
        <f>COUNTIFS(明細!$J$5:$J$363,A35,明細!$D$5:$D$363,"オンライン")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46028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COUNTIFS(明細!$F$5:$F$363,A36,明細!$D$5:$D$363,"オンライン")</f>
        <v/>
      </c>
      <c r="E36" s="98">
        <f>COUNTIFS(明細!$G$5:$G$363,A36,明細!$D$5:$D$363,"オンライン")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COUNTIFS(明細!$I$5:$I$363,A36,明細!$D$5:$D$363,"オンライン")</f>
        <v/>
      </c>
      <c r="L36" s="98">
        <f>COUNTIFS(明細!$J$5:$J$363,A36,明細!$D$5:$D$363,"オンライン")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46029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COUNTIFS(明細!$F$5:$F$363,A37,明細!$D$5:$D$363,"オンライン")</f>
        <v/>
      </c>
      <c r="E37" s="98">
        <f>COUNTIFS(明細!$G$5:$G$363,A37,明細!$D$5:$D$363,"オンライン")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COUNTIFS(明細!$I$5:$I$363,A37,明細!$D$5:$D$363,"オンライン")</f>
        <v/>
      </c>
      <c r="L37" s="98">
        <f>COUNTIFS(明細!$J$5:$J$363,A37,明細!$D$5:$D$363,"オンライン")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46030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COUNTIFS(明細!$F$5:$F$363,A38,明細!$D$5:$D$363,"オンライン")</f>
        <v/>
      </c>
      <c r="E38" s="98">
        <f>COUNTIFS(明細!$G$5:$G$363,A38,明細!$D$5:$D$363,"オンライン")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COUNTIFS(明細!$I$5:$I$363,A38,明細!$D$5:$D$363,"オンライン")</f>
        <v/>
      </c>
      <c r="L38" s="98">
        <f>COUNTIFS(明細!$J$5:$J$363,A38,明細!$D$5:$D$363,"オンライン")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46031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COUNTIFS(明細!$F$5:$F$363,A39,明細!$D$5:$D$363,"オンライン")</f>
        <v/>
      </c>
      <c r="E39" s="98">
        <f>COUNTIFS(明細!$G$5:$G$363,A39,明細!$D$5:$D$363,"オンライン")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COUNTIFS(明細!$I$5:$I$363,A39,明細!$D$5:$D$363,"オンライン")</f>
        <v/>
      </c>
      <c r="L39" s="98">
        <f>COUNTIFS(明細!$J$5:$J$363,A39,明細!$D$5:$D$363,"オンライン")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46032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COUNTIFS(明細!$F$5:$F$363,A40,明細!$D$5:$D$363,"オンライン")</f>
        <v/>
      </c>
      <c r="E40" s="98">
        <f>COUNTIFS(明細!$G$5:$G$363,A40,明細!$D$5:$D$363,"オンライン")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COUNTIFS(明細!$I$5:$I$363,A40,明細!$D$5:$D$363,"オンライン")</f>
        <v/>
      </c>
      <c r="L40" s="98">
        <f>COUNTIFS(明細!$J$5:$J$363,A40,明細!$D$5:$D$363,"オンライン")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46033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COUNTIFS(明細!$F$5:$F$363,A41,明細!$D$5:$D$363,"オンライン")</f>
        <v/>
      </c>
      <c r="E41" s="98">
        <f>COUNTIFS(明細!$G$5:$G$363,A41,明細!$D$5:$D$363,"オンライン")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COUNTIFS(明細!$I$5:$I$363,A41,明細!$D$5:$D$363,"オンライン")</f>
        <v/>
      </c>
      <c r="L41" s="98">
        <f>COUNTIFS(明細!$J$5:$J$363,A41,明細!$D$5:$D$363,"オンライン")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46034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COUNTIFS(明細!$F$5:$F$363,A42,明細!$D$5:$D$363,"オンライン")</f>
        <v/>
      </c>
      <c r="E42" s="98">
        <f>COUNTIFS(明細!$G$5:$G$363,A42,明細!$D$5:$D$363,"オンライン")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COUNTIFS(明細!$I$5:$I$363,A42,明細!$D$5:$D$363,"オンライン")</f>
        <v/>
      </c>
      <c r="L42" s="98">
        <f>COUNTIFS(明細!$J$5:$J$363,A42,明細!$D$5:$D$363,"オンライン")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46035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COUNTIFS(明細!$F$5:$F$363,A43,明細!$D$5:$D$363,"オンライン")</f>
        <v/>
      </c>
      <c r="E43" s="98">
        <f>COUNTIFS(明細!$G$5:$G$363,A43,明細!$D$5:$D$363,"オンライン")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COUNTIFS(明細!$I$5:$I$363,A43,明細!$D$5:$D$363,"オンライン")</f>
        <v/>
      </c>
      <c r="L43" s="98">
        <f>COUNTIFS(明細!$J$5:$J$363,A43,明細!$D$5:$D$363,"オンライン")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46036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COUNTIFS(明細!$F$5:$F$363,A44,明細!$D$5:$D$363,"オンライン")</f>
        <v/>
      </c>
      <c r="E44" s="98">
        <f>COUNTIFS(明細!$G$5:$G$363,A44,明細!$D$5:$D$363,"オンライン")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COUNTIFS(明細!$I$5:$I$363,A44,明細!$D$5:$D$363,"オンライン")</f>
        <v/>
      </c>
      <c r="L44" s="98">
        <f>COUNTIFS(明細!$J$5:$J$363,A44,明細!$D$5:$D$363,"オンライン")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46037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COUNTIFS(明細!$F$5:$F$363,A45,明細!$D$5:$D$363,"オンライン")</f>
        <v/>
      </c>
      <c r="E45" s="98">
        <f>COUNTIFS(明細!$G$5:$G$363,A45,明細!$D$5:$D$363,"オンライン")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COUNTIFS(明細!$I$5:$I$363,A45,明細!$D$5:$D$363,"オンライン")</f>
        <v/>
      </c>
      <c r="L45" s="98">
        <f>COUNTIFS(明細!$J$5:$J$363,A45,明細!$D$5:$D$363,"オンライン")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46038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COUNTIFS(明細!$F$5:$F$363,A46,明細!$D$5:$D$363,"オンライン")</f>
        <v/>
      </c>
      <c r="E46" s="98">
        <f>COUNTIFS(明細!$G$5:$G$363,A46,明細!$D$5:$D$363,"オンライン")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COUNTIFS(明細!$I$5:$I$363,A46,明細!$D$5:$D$363,"オンライン")</f>
        <v/>
      </c>
      <c r="L46" s="98">
        <f>COUNTIFS(明細!$J$5:$J$363,A46,明細!$D$5:$D$363,"オンライン")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46039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COUNTIFS(明細!$F$5:$F$363,A47,明細!$D$5:$D$363,"オンライン")</f>
        <v/>
      </c>
      <c r="E47" s="98">
        <f>COUNTIFS(明細!$G$5:$G$363,A47,明細!$D$5:$D$363,"オンライン")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COUNTIFS(明細!$I$5:$I$363,A47,明細!$D$5:$D$363,"オンライン")</f>
        <v/>
      </c>
      <c r="L47" s="98">
        <f>COUNTIFS(明細!$J$5:$J$363,A47,明細!$D$5:$D$363,"オンライン")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46040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COUNTIFS(明細!$F$5:$F$363,A48,明細!$D$5:$D$363,"オンライン")</f>
        <v/>
      </c>
      <c r="E48" s="98">
        <f>COUNTIFS(明細!$G$5:$G$363,A48,明細!$D$5:$D$363,"オンライン")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COUNTIFS(明細!$I$5:$I$363,A48,明細!$D$5:$D$363,"オンライン")</f>
        <v/>
      </c>
      <c r="L48" s="98">
        <f>COUNTIFS(明細!$J$5:$J$363,A48,明細!$D$5:$D$363,"オンライン")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46041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COUNTIFS(明細!$F$5:$F$363,A49,明細!$D$5:$D$363,"オンライン")</f>
        <v/>
      </c>
      <c r="E49" s="98">
        <f>COUNTIFS(明細!$G$5:$G$363,A49,明細!$D$5:$D$363,"オンライン")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COUNTIFS(明細!$I$5:$I$363,A49,明細!$D$5:$D$363,"オンライン")</f>
        <v/>
      </c>
      <c r="L49" s="98">
        <f>COUNTIFS(明細!$J$5:$J$363,A49,明細!$D$5:$D$363,"オンライン")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46042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COUNTIFS(明細!$F$5:$F$363,A50,明細!$D$5:$D$363,"オンライン")</f>
        <v/>
      </c>
      <c r="E50" s="98">
        <f>COUNTIFS(明細!$G$5:$G$363,A50,明細!$D$5:$D$363,"オンライン")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COUNTIFS(明細!$I$5:$I$363,A50,明細!$D$5:$D$363,"オンライン")</f>
        <v/>
      </c>
      <c r="L50" s="98">
        <f>COUNTIFS(明細!$J$5:$J$363,A50,明細!$D$5:$D$363,"オンライン")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46043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COUNTIFS(明細!$F$5:$F$363,A51,明細!$D$5:$D$363,"オンライン")</f>
        <v/>
      </c>
      <c r="E51" s="98">
        <f>COUNTIFS(明細!$G$5:$G$363,A51,明細!$D$5:$D$363,"オンライン")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COUNTIFS(明細!$I$5:$I$363,A51,明細!$D$5:$D$363,"オンライン")</f>
        <v/>
      </c>
      <c r="L51" s="98">
        <f>COUNTIFS(明細!$J$5:$J$363,A51,明細!$D$5:$D$363,"オンライン")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46044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COUNTIFS(明細!$F$5:$F$363,A52,明細!$D$5:$D$363,"オンライン")</f>
        <v/>
      </c>
      <c r="E52" s="98">
        <f>COUNTIFS(明細!$G$5:$G$363,A52,明細!$D$5:$D$363,"オンライン")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COUNTIFS(明細!$I$5:$I$363,A52,明細!$D$5:$D$363,"オンライン")</f>
        <v/>
      </c>
      <c r="L52" s="98">
        <f>COUNTIFS(明細!$J$5:$J$363,A52,明細!$D$5:$D$363,"オンライン")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46045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COUNTIFS(明細!$F$5:$F$363,A53,明細!$D$5:$D$363,"オンライン")</f>
        <v/>
      </c>
      <c r="E53" s="98">
        <f>COUNTIFS(明細!$G$5:$G$363,A53,明細!$D$5:$D$363,"オンライン")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COUNTIFS(明細!$I$5:$I$363,A53,明細!$D$5:$D$363,"オンライン")</f>
        <v/>
      </c>
      <c r="L53" s="98">
        <f>COUNTIFS(明細!$J$5:$J$363,A53,明細!$D$5:$D$363,"オンライン")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46046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COUNTIFS(明細!$F$5:$F$363,A54,明細!$D$5:$D$363,"オンライン")</f>
        <v/>
      </c>
      <c r="E54" s="98">
        <f>COUNTIFS(明細!$G$5:$G$363,A54,明細!$D$5:$D$363,"オンライン")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COUNTIFS(明細!$I$5:$I$363,A54,明細!$D$5:$D$363,"オンライン")</f>
        <v/>
      </c>
      <c r="L54" s="98">
        <f>COUNTIFS(明細!$J$5:$J$363,A54,明細!$D$5:$D$363,"オンライン")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46047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COUNTIFS(明細!$F$5:$F$363,A55,明細!$D$5:$D$363,"オンライン")</f>
        <v/>
      </c>
      <c r="E55" s="98">
        <f>COUNTIFS(明細!$G$5:$G$363,A55,明細!$D$5:$D$363,"オンライン")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COUNTIFS(明細!$I$5:$I$363,A55,明細!$D$5:$D$363,"オンライン")</f>
        <v/>
      </c>
      <c r="L55" s="98">
        <f>COUNTIFS(明細!$J$5:$J$363,A55,明細!$D$5:$D$363,"オンライン")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46048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COUNTIFS(明細!$F$5:$F$363,A56,明細!$D$5:$D$363,"オンライン")</f>
        <v/>
      </c>
      <c r="E56" s="98">
        <f>COUNTIFS(明細!$G$5:$G$363,A56,明細!$D$5:$D$363,"オンライン")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COUNTIFS(明細!$I$5:$I$363,A56,明細!$D$5:$D$363,"オンライン")</f>
        <v/>
      </c>
      <c r="L56" s="98">
        <f>COUNTIFS(明細!$J$5:$J$363,A56,明細!$D$5:$D$363,"オンライン")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46049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COUNTIFS(明細!$F$5:$F$363,A57,明細!$D$5:$D$363,"オンライン")</f>
        <v/>
      </c>
      <c r="E57" s="98">
        <f>COUNTIFS(明細!$G$5:$G$363,A57,明細!$D$5:$D$363,"オンライン")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COUNTIFS(明細!$I$5:$I$363,A57,明細!$D$5:$D$363,"オンライン")</f>
        <v/>
      </c>
      <c r="L57" s="98">
        <f>COUNTIFS(明細!$J$5:$J$363,A57,明細!$D$5:$D$363,"オンライン")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46050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COUNTIFS(明細!$F$5:$F$363,A58,明細!$D$5:$D$363,"オンライン")</f>
        <v/>
      </c>
      <c r="E58" s="98">
        <f>COUNTIFS(明細!$G$5:$G$363,A58,明細!$D$5:$D$363,"オンライン")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COUNTIFS(明細!$I$5:$I$363,A58,明細!$D$5:$D$363,"オンライン")</f>
        <v/>
      </c>
      <c r="L58" s="98">
        <f>COUNTIFS(明細!$J$5:$J$363,A58,明細!$D$5:$D$363,"オンライン")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46051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COUNTIFS(明細!$F$5:$F$363,A59,明細!$D$5:$D$363,"オンライン")</f>
        <v/>
      </c>
      <c r="E59" s="98">
        <f>COUNTIFS(明細!$G$5:$G$363,A59,明細!$D$5:$D$363,"オンライン")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COUNTIFS(明細!$I$5:$I$363,A59,明細!$D$5:$D$363,"オンライン")</f>
        <v/>
      </c>
      <c r="L59" s="98">
        <f>COUNTIFS(明細!$J$5:$J$363,A59,明細!$D$5:$D$363,"オンライン")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46052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COUNTIFS(明細!$F$5:$F$363,A60,明細!$D$5:$D$363,"オンライン")</f>
        <v/>
      </c>
      <c r="E60" s="98">
        <f>COUNTIFS(明細!$G$5:$G$363,A60,明細!$D$5:$D$363,"オンライン")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COUNTIFS(明細!$I$5:$I$363,A60,明細!$D$5:$D$363,"オンライン")</f>
        <v/>
      </c>
      <c r="L60" s="98">
        <f>COUNTIFS(明細!$J$5:$J$363,A60,明細!$D$5:$D$363,"オンライン")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46053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COUNTIFS(明細!$F$5:$F$363,A61,明細!$D$5:$D$363,"オンライン")</f>
        <v/>
      </c>
      <c r="E61" s="98">
        <f>COUNTIFS(明細!$G$5:$G$363,A61,明細!$D$5:$D$363,"オンライン")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COUNTIFS(明細!$I$5:$I$363,A61,明細!$D$5:$D$363,"オンライン")</f>
        <v/>
      </c>
      <c r="L61" s="98">
        <f>COUNTIFS(明細!$J$5:$J$363,A61,明細!$D$5:$D$363,"オンライン")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46054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COUNTIFS(明細!$F$5:$F$363,A62,明細!$D$5:$D$363,"オンライン")</f>
        <v/>
      </c>
      <c r="E62" s="98">
        <f>COUNTIFS(明細!$G$5:$G$363,A62,明細!$D$5:$D$363,"オンライン")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COUNTIFS(明細!$I$5:$I$363,A62,明細!$D$5:$D$363,"オンライン")</f>
        <v/>
      </c>
      <c r="L62" s="98">
        <f>COUNTIFS(明細!$J$5:$J$363,A62,明細!$D$5:$D$363,"オンライン")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46055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COUNTIFS(明細!$F$5:$F$363,A63,明細!$D$5:$D$363,"オンライン")</f>
        <v/>
      </c>
      <c r="E63" s="98">
        <f>COUNTIFS(明細!$G$5:$G$363,A63,明細!$D$5:$D$363,"オンライン")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COUNTIFS(明細!$I$5:$I$363,A63,明細!$D$5:$D$363,"オンライン")</f>
        <v/>
      </c>
      <c r="L63" s="98">
        <f>COUNTIFS(明細!$J$5:$J$363,A63,明細!$D$5:$D$363,"オンライン")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46056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COUNTIFS(明細!$F$5:$F$363,A64,明細!$D$5:$D$363,"オンライン")</f>
        <v/>
      </c>
      <c r="E64" s="98">
        <f>COUNTIFS(明細!$G$5:$G$363,A64,明細!$D$5:$D$363,"オンライン")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COUNTIFS(明細!$I$5:$I$363,A64,明細!$D$5:$D$363,"オンライン")</f>
        <v/>
      </c>
      <c r="L64" s="98">
        <f>COUNTIFS(明細!$J$5:$J$363,A64,明細!$D$5:$D$363,"オンライン")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46057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COUNTIFS(明細!$F$5:$F$363,A65,明細!$D$5:$D$363,"オンライン")</f>
        <v/>
      </c>
      <c r="E65" s="98">
        <f>COUNTIFS(明細!$G$5:$G$363,A65,明細!$D$5:$D$363,"オンライン")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COUNTIFS(明細!$I$5:$I$363,A65,明細!$D$5:$D$363,"オンライン")</f>
        <v/>
      </c>
      <c r="L65" s="98">
        <f>COUNTIFS(明細!$J$5:$J$363,A65,明細!$D$5:$D$363,"オンライン")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46058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COUNTIFS(明細!$F$5:$F$363,A66,明細!$D$5:$D$363,"オンライン")</f>
        <v/>
      </c>
      <c r="E66" s="98">
        <f>COUNTIFS(明細!$G$5:$G$363,A66,明細!$D$5:$D$363,"オンライン")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COUNTIFS(明細!$I$5:$I$363,A66,明細!$D$5:$D$363,"オンライン")</f>
        <v/>
      </c>
      <c r="L66" s="98">
        <f>COUNTIFS(明細!$J$5:$J$363,A66,明細!$D$5:$D$363,"オンライン")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46059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COUNTIFS(明細!$F$5:$F$363,A67,明細!$D$5:$D$363,"オンライン")</f>
        <v/>
      </c>
      <c r="E67" s="98">
        <f>COUNTIFS(明細!$G$5:$G$363,A67,明細!$D$5:$D$363,"オンライン")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COUNTIFS(明細!$I$5:$I$363,A67,明細!$D$5:$D$363,"オンライン")</f>
        <v/>
      </c>
      <c r="L67" s="98">
        <f>COUNTIFS(明細!$J$5:$J$363,A67,明細!$D$5:$D$363,"オンライン")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46060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COUNTIFS(明細!$F$5:$F$363,A68,明細!$D$5:$D$363,"オンライン")</f>
        <v/>
      </c>
      <c r="E68" s="98">
        <f>COUNTIFS(明細!$G$5:$G$363,A68,明細!$D$5:$D$363,"オンライン")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COUNTIFS(明細!$I$5:$I$363,A68,明細!$D$5:$D$363,"オンライン")</f>
        <v/>
      </c>
      <c r="L68" s="98">
        <f>COUNTIFS(明細!$J$5:$J$363,A68,明細!$D$5:$D$363,"オンライン")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46061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COUNTIFS(明細!$F$5:$F$363,A69,明細!$D$5:$D$363,"オンライン")</f>
        <v/>
      </c>
      <c r="E69" s="98">
        <f>COUNTIFS(明細!$G$5:$G$363,A69,明細!$D$5:$D$363,"オンライン")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COUNTIFS(明細!$I$5:$I$363,A69,明細!$D$5:$D$363,"オンライン")</f>
        <v/>
      </c>
      <c r="L69" s="98">
        <f>COUNTIFS(明細!$J$5:$J$363,A69,明細!$D$5:$D$363,"オンライン")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46062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COUNTIFS(明細!$F$5:$F$363,A70,明細!$D$5:$D$363,"オンライン")</f>
        <v/>
      </c>
      <c r="E70" s="98">
        <f>COUNTIFS(明細!$G$5:$G$363,A70,明細!$D$5:$D$363,"オンライン")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COUNTIFS(明細!$I$5:$I$363,A70,明細!$D$5:$D$363,"オンライン")</f>
        <v/>
      </c>
      <c r="L70" s="98">
        <f>COUNTIFS(明細!$J$5:$J$363,A70,明細!$D$5:$D$363,"オンライン")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46063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COUNTIFS(明細!$F$5:$F$363,A71,明細!$D$5:$D$363,"オンライン")</f>
        <v/>
      </c>
      <c r="E71" s="98">
        <f>COUNTIFS(明細!$G$5:$G$363,A71,明細!$D$5:$D$363,"オンライン")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COUNTIFS(明細!$I$5:$I$363,A71,明細!$D$5:$D$363,"オンライン")</f>
        <v/>
      </c>
      <c r="L71" s="98">
        <f>COUNTIFS(明細!$J$5:$J$363,A71,明細!$D$5:$D$363,"オンライン")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46064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COUNTIFS(明細!$F$5:$F$363,A72,明細!$D$5:$D$363,"オンライン")</f>
        <v/>
      </c>
      <c r="E72" s="98">
        <f>COUNTIFS(明細!$G$5:$G$363,A72,明細!$D$5:$D$363,"オンライン")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COUNTIFS(明細!$I$5:$I$363,A72,明細!$D$5:$D$363,"オンライン")</f>
        <v/>
      </c>
      <c r="L72" s="98">
        <f>COUNTIFS(明細!$J$5:$J$363,A72,明細!$D$5:$D$363,"オンライン")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46065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COUNTIFS(明細!$F$5:$F$363,A73,明細!$D$5:$D$363,"オンライン")</f>
        <v/>
      </c>
      <c r="E73" s="98">
        <f>COUNTIFS(明細!$G$5:$G$363,A73,明細!$D$5:$D$363,"オンライン")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COUNTIFS(明細!$I$5:$I$363,A73,明細!$D$5:$D$363,"オンライン")</f>
        <v/>
      </c>
      <c r="L73" s="98">
        <f>COUNTIFS(明細!$J$5:$J$363,A73,明細!$D$5:$D$363,"オンライン")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46066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COUNTIFS(明細!$F$5:$F$363,A74,明細!$D$5:$D$363,"オンライン")</f>
        <v/>
      </c>
      <c r="E74" s="98">
        <f>COUNTIFS(明細!$G$5:$G$363,A74,明細!$D$5:$D$363,"オンライン")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COUNTIFS(明細!$I$5:$I$363,A74,明細!$D$5:$D$363,"オンライン")</f>
        <v/>
      </c>
      <c r="L74" s="98">
        <f>COUNTIFS(明細!$J$5:$J$363,A74,明細!$D$5:$D$363,"オンライン")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46067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COUNTIFS(明細!$F$5:$F$363,A75,明細!$D$5:$D$363,"オンライン")</f>
        <v/>
      </c>
      <c r="E75" s="98">
        <f>COUNTIFS(明細!$G$5:$G$363,A75,明細!$D$5:$D$363,"オンライン")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COUNTIFS(明細!$I$5:$I$363,A75,明細!$D$5:$D$363,"オンライン")</f>
        <v/>
      </c>
      <c r="L75" s="98">
        <f>COUNTIFS(明細!$J$5:$J$363,A75,明細!$D$5:$D$363,"オンライン")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46068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COUNTIFS(明細!$F$5:$F$363,A76,明細!$D$5:$D$363,"オンライン")</f>
        <v/>
      </c>
      <c r="E76" s="98">
        <f>COUNTIFS(明細!$G$5:$G$363,A76,明細!$D$5:$D$363,"オンライン")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COUNTIFS(明細!$I$5:$I$363,A76,明細!$D$5:$D$363,"オンライン")</f>
        <v/>
      </c>
      <c r="L76" s="98">
        <f>COUNTIFS(明細!$J$5:$J$363,A76,明細!$D$5:$D$363,"オンライン")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46069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COUNTIFS(明細!$F$5:$F$363,A77,明細!$D$5:$D$363,"オンライン")</f>
        <v/>
      </c>
      <c r="E77" s="98">
        <f>COUNTIFS(明細!$G$5:$G$363,A77,明細!$D$5:$D$363,"オンライン")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COUNTIFS(明細!$I$5:$I$363,A77,明細!$D$5:$D$363,"オンライン")</f>
        <v/>
      </c>
      <c r="L77" s="98">
        <f>COUNTIFS(明細!$J$5:$J$363,A77,明細!$D$5:$D$363,"オンライン")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46070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COUNTIFS(明細!$F$5:$F$363,A78,明細!$D$5:$D$363,"オンライン")</f>
        <v/>
      </c>
      <c r="E78" s="98">
        <f>COUNTIFS(明細!$G$5:$G$363,A78,明細!$D$5:$D$363,"オンライン")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COUNTIFS(明細!$I$5:$I$363,A78,明細!$D$5:$D$363,"オンライン")</f>
        <v/>
      </c>
      <c r="L78" s="98">
        <f>COUNTIFS(明細!$J$5:$J$363,A78,明細!$D$5:$D$363,"オンライン")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46071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COUNTIFS(明細!$F$5:$F$363,A79,明細!$D$5:$D$363,"オンライン")</f>
        <v/>
      </c>
      <c r="E79" s="98">
        <f>COUNTIFS(明細!$G$5:$G$363,A79,明細!$D$5:$D$363,"オンライン")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COUNTIFS(明細!$I$5:$I$363,A79,明細!$D$5:$D$363,"オンライン")</f>
        <v/>
      </c>
      <c r="L79" s="98">
        <f>COUNTIFS(明細!$J$5:$J$363,A79,明細!$D$5:$D$363,"オンライン")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46072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COUNTIFS(明細!$F$5:$F$363,A80,明細!$D$5:$D$363,"オンライン")</f>
        <v/>
      </c>
      <c r="E80" s="98">
        <f>COUNTIFS(明細!$G$5:$G$363,A80,明細!$D$5:$D$363,"オンライン")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COUNTIFS(明細!$I$5:$I$363,A80,明細!$D$5:$D$363,"オンライン")</f>
        <v/>
      </c>
      <c r="L80" s="98">
        <f>COUNTIFS(明細!$J$5:$J$363,A80,明細!$D$5:$D$363,"オンライン")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46073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COUNTIFS(明細!$F$5:$F$363,A81,明細!$D$5:$D$363,"オンライン")</f>
        <v/>
      </c>
      <c r="E81" s="98">
        <f>COUNTIFS(明細!$G$5:$G$363,A81,明細!$D$5:$D$363,"オンライン")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COUNTIFS(明細!$I$5:$I$363,A81,明細!$D$5:$D$363,"オンライン")</f>
        <v/>
      </c>
      <c r="L81" s="98">
        <f>COUNTIFS(明細!$J$5:$J$363,A81,明細!$D$5:$D$363,"オンライン")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46074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COUNTIFS(明細!$F$5:$F$363,A82,明細!$D$5:$D$363,"オンライン")</f>
        <v/>
      </c>
      <c r="E82" s="98">
        <f>COUNTIFS(明細!$G$5:$G$363,A82,明細!$D$5:$D$363,"オンライン")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COUNTIFS(明細!$I$5:$I$363,A82,明細!$D$5:$D$363,"オンライン")</f>
        <v/>
      </c>
      <c r="L82" s="98">
        <f>COUNTIFS(明細!$J$5:$J$363,A82,明細!$D$5:$D$363,"オンライン")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46075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COUNTIFS(明細!$F$5:$F$363,A83,明細!$D$5:$D$363,"オンライン")</f>
        <v/>
      </c>
      <c r="E83" s="98">
        <f>COUNTIFS(明細!$G$5:$G$363,A83,明細!$D$5:$D$363,"オンライン")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COUNTIFS(明細!$I$5:$I$363,A83,明細!$D$5:$D$363,"オンライン")</f>
        <v/>
      </c>
      <c r="L83" s="98">
        <f>COUNTIFS(明細!$J$5:$J$363,A83,明細!$D$5:$D$363,"オンライン")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46076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COUNTIFS(明細!$F$5:$F$363,A84,明細!$D$5:$D$363,"オンライン")</f>
        <v/>
      </c>
      <c r="E84" s="98">
        <f>COUNTIFS(明細!$G$5:$G$363,A84,明細!$D$5:$D$363,"オンライン")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COUNTIFS(明細!$I$5:$I$363,A84,明細!$D$5:$D$363,"オンライン")</f>
        <v/>
      </c>
      <c r="L84" s="98">
        <f>COUNTIFS(明細!$J$5:$J$363,A84,明細!$D$5:$D$363,"オンライン")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46077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COUNTIFS(明細!$F$5:$F$363,A85,明細!$D$5:$D$363,"オンライン")</f>
        <v/>
      </c>
      <c r="E85" s="98">
        <f>COUNTIFS(明細!$G$5:$G$363,A85,明細!$D$5:$D$363,"オンライン")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COUNTIFS(明細!$I$5:$I$363,A85,明細!$D$5:$D$363,"オンライン")</f>
        <v/>
      </c>
      <c r="L85" s="98">
        <f>COUNTIFS(明細!$J$5:$J$363,A85,明細!$D$5:$D$363,"オンライン")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46078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COUNTIFS(明細!$F$5:$F$363,A86,明細!$D$5:$D$363,"オンライン")</f>
        <v/>
      </c>
      <c r="E86" s="98">
        <f>COUNTIFS(明細!$G$5:$G$363,A86,明細!$D$5:$D$363,"オンライン")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COUNTIFS(明細!$I$5:$I$363,A86,明細!$D$5:$D$363,"オンライン")</f>
        <v/>
      </c>
      <c r="L86" s="98">
        <f>COUNTIFS(明細!$J$5:$J$363,A86,明細!$D$5:$D$363,"オンライン")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46079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COUNTIFS(明細!$F$5:$F$363,A87,明細!$D$5:$D$363,"オンライン")</f>
        <v/>
      </c>
      <c r="E87" s="98">
        <f>COUNTIFS(明細!$G$5:$G$363,A87,明細!$D$5:$D$363,"オンライン")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COUNTIFS(明細!$I$5:$I$363,A87,明細!$D$5:$D$363,"オンライン")</f>
        <v/>
      </c>
      <c r="L87" s="98">
        <f>COUNTIFS(明細!$J$5:$J$363,A87,明細!$D$5:$D$363,"オンライン")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46080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COUNTIFS(明細!$F$5:$F$363,A88,明細!$D$5:$D$363,"オンライン")</f>
        <v/>
      </c>
      <c r="E88" s="98">
        <f>COUNTIFS(明細!$G$5:$G$363,A88,明細!$D$5:$D$363,"オンライン")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COUNTIFS(明細!$I$5:$I$363,A88,明細!$D$5:$D$363,"オンライン")</f>
        <v/>
      </c>
      <c r="L88" s="98">
        <f>COUNTIFS(明細!$J$5:$J$363,A88,明細!$D$5:$D$363,"オンライン")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46081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COUNTIFS(明細!$F$5:$F$363,A89,明細!$D$5:$D$363,"オンライン")</f>
        <v/>
      </c>
      <c r="E89" s="98">
        <f>COUNTIFS(明細!$G$5:$G$363,A89,明細!$D$5:$D$363,"オンライン")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COUNTIFS(明細!$I$5:$I$363,A89,明細!$D$5:$D$363,"オンライン")</f>
        <v/>
      </c>
      <c r="L89" s="98">
        <f>COUNTIFS(明細!$J$5:$J$363,A89,明細!$D$5:$D$363,"オンライン")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46082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COUNTIFS(明細!$F$5:$F$363,A90,明細!$D$5:$D$363,"オンライン")</f>
        <v/>
      </c>
      <c r="E90" s="98">
        <f>COUNTIFS(明細!$G$5:$G$363,A90,明細!$D$5:$D$363,"オンライン")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COUNTIFS(明細!$I$5:$I$363,A90,明細!$D$5:$D$363,"オンライン")</f>
        <v/>
      </c>
      <c r="L90" s="98">
        <f>COUNTIFS(明細!$J$5:$J$363,A90,明細!$D$5:$D$363,"オンライン")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46083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COUNTIFS(明細!$F$5:$F$363,A91,明細!$D$5:$D$363,"オンライン")</f>
        <v/>
      </c>
      <c r="E91" s="98">
        <f>COUNTIFS(明細!$G$5:$G$363,A91,明細!$D$5:$D$363,"オンライン")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COUNTIFS(明細!$I$5:$I$363,A91,明細!$D$5:$D$363,"オンライン")</f>
        <v/>
      </c>
      <c r="L91" s="98">
        <f>COUNTIFS(明細!$J$5:$J$363,A91,明細!$D$5:$D$363,"オンライン")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46084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COUNTIFS(明細!$F$5:$F$363,A92,明細!$D$5:$D$363,"オンライン")</f>
        <v/>
      </c>
      <c r="E92" s="98">
        <f>COUNTIFS(明細!$G$5:$G$363,A92,明細!$D$5:$D$363,"オンライン")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COUNTIFS(明細!$I$5:$I$363,A92,明細!$D$5:$D$363,"オンライン")</f>
        <v/>
      </c>
      <c r="L92" s="98">
        <f>COUNTIFS(明細!$J$5:$J$363,A92,明細!$D$5:$D$363,"オンライン")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46085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COUNTIFS(明細!$F$5:$F$363,A93,明細!$D$5:$D$363,"オンライン")</f>
        <v/>
      </c>
      <c r="E93" s="98">
        <f>COUNTIFS(明細!$G$5:$G$363,A93,明細!$D$5:$D$363,"オンライン")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COUNTIFS(明細!$I$5:$I$363,A93,明細!$D$5:$D$363,"オンライン")</f>
        <v/>
      </c>
      <c r="L93" s="98">
        <f>COUNTIFS(明細!$J$5:$J$363,A93,明細!$D$5:$D$363,"オンライン")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46086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COUNTIFS(明細!$F$5:$F$363,A94,明細!$D$5:$D$363,"オンライン")</f>
        <v/>
      </c>
      <c r="E94" s="98">
        <f>COUNTIFS(明細!$G$5:$G$363,A94,明細!$D$5:$D$363,"オンライン")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COUNTIFS(明細!$I$5:$I$363,A94,明細!$D$5:$D$363,"オンライン")</f>
        <v/>
      </c>
      <c r="L94" s="98">
        <f>COUNTIFS(明細!$J$5:$J$363,A94,明細!$D$5:$D$363,"オンライン")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46087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COUNTIFS(明細!$F$5:$F$363,A95,明細!$D$5:$D$363,"オンライン")</f>
        <v/>
      </c>
      <c r="E95" s="98">
        <f>COUNTIFS(明細!$G$5:$G$363,A95,明細!$D$5:$D$363,"オンライン")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COUNTIFS(明細!$I$5:$I$363,A95,明細!$D$5:$D$363,"オンライン")</f>
        <v/>
      </c>
      <c r="L95" s="98">
        <f>COUNTIFS(明細!$J$5:$J$363,A95,明細!$D$5:$D$363,"オンライン")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46088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COUNTIFS(明細!$F$5:$F$363,A96,明細!$D$5:$D$363,"オンライン")</f>
        <v/>
      </c>
      <c r="E96" s="98">
        <f>COUNTIFS(明細!$G$5:$G$363,A96,明細!$D$5:$D$363,"オンライン")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COUNTIFS(明細!$I$5:$I$363,A96,明細!$D$5:$D$363,"オンライン")</f>
        <v/>
      </c>
      <c r="L96" s="98">
        <f>COUNTIFS(明細!$J$5:$J$363,A96,明細!$D$5:$D$363,"オンライン")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46089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COUNTIFS(明細!$F$5:$F$363,A97,明細!$D$5:$D$363,"オンライン")</f>
        <v/>
      </c>
      <c r="E97" s="98">
        <f>COUNTIFS(明細!$G$5:$G$363,A97,明細!$D$5:$D$363,"オンライン")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COUNTIFS(明細!$I$5:$I$363,A97,明細!$D$5:$D$363,"オンライン")</f>
        <v/>
      </c>
      <c r="L97" s="98">
        <f>COUNTIFS(明細!$J$5:$J$363,A97,明細!$D$5:$D$363,"オンライン")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46090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COUNTIFS(明細!$F$5:$F$363,A98,明細!$D$5:$D$363,"オンライン")</f>
        <v/>
      </c>
      <c r="E98" s="98">
        <f>COUNTIFS(明細!$G$5:$G$363,A98,明細!$D$5:$D$363,"オンライン")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COUNTIFS(明細!$I$5:$I$363,A98,明細!$D$5:$D$363,"オンライン")</f>
        <v/>
      </c>
      <c r="L98" s="98">
        <f>COUNTIFS(明細!$J$5:$J$363,A98,明細!$D$5:$D$363,"オンライン")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46091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COUNTIFS(明細!$F$5:$F$363,A99,明細!$D$5:$D$363,"オンライン")</f>
        <v/>
      </c>
      <c r="E99" s="98">
        <f>COUNTIFS(明細!$G$5:$G$363,A99,明細!$D$5:$D$363,"オンライン")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COUNTIFS(明細!$I$5:$I$363,A99,明細!$D$5:$D$363,"オンライン")</f>
        <v/>
      </c>
      <c r="L99" s="98">
        <f>COUNTIFS(明細!$J$5:$J$363,A99,明細!$D$5:$D$363,"オンライン")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46092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COUNTIFS(明細!$F$5:$F$363,A100,明細!$D$5:$D$363,"オンライン")</f>
        <v/>
      </c>
      <c r="E100" s="98">
        <f>COUNTIFS(明細!$G$5:$G$363,A100,明細!$D$5:$D$363,"オンライン")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COUNTIFS(明細!$I$5:$I$363,A100,明細!$D$5:$D$363,"オンライン")</f>
        <v/>
      </c>
      <c r="L100" s="98">
        <f>COUNTIFS(明細!$J$5:$J$363,A100,明細!$D$5:$D$363,"オンライン")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46093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COUNTIFS(明細!$F$5:$F$363,A101,明細!$D$5:$D$363,"オンライン")</f>
        <v/>
      </c>
      <c r="E101" s="98">
        <f>COUNTIFS(明細!$G$5:$G$363,A101,明細!$D$5:$D$363,"オンライン")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COUNTIFS(明細!$I$5:$I$363,A101,明細!$D$5:$D$363,"オンライン")</f>
        <v/>
      </c>
      <c r="L101" s="98">
        <f>COUNTIFS(明細!$J$5:$J$363,A101,明細!$D$5:$D$363,"オンライン")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46094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COUNTIFS(明細!$F$5:$F$363,A102,明細!$D$5:$D$363,"オンライン")</f>
        <v/>
      </c>
      <c r="E102" s="98">
        <f>COUNTIFS(明細!$G$5:$G$363,A102,明細!$D$5:$D$363,"オンライン")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COUNTIFS(明細!$I$5:$I$363,A102,明細!$D$5:$D$363,"オンライン")</f>
        <v/>
      </c>
      <c r="L102" s="98">
        <f>COUNTIFS(明細!$J$5:$J$363,A102,明細!$D$5:$D$363,"オンライン")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46095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COUNTIFS(明細!$F$5:$F$363,A103,明細!$D$5:$D$363,"オンライン")</f>
        <v/>
      </c>
      <c r="E103" s="98">
        <f>COUNTIFS(明細!$G$5:$G$363,A103,明細!$D$5:$D$363,"オンライン")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COUNTIFS(明細!$I$5:$I$363,A103,明細!$D$5:$D$363,"オンライン")</f>
        <v/>
      </c>
      <c r="L103" s="98">
        <f>COUNTIFS(明細!$J$5:$J$363,A103,明細!$D$5:$D$363,"オンライン")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46096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COUNTIFS(明細!$F$5:$F$363,A104,明細!$D$5:$D$363,"オンライン")</f>
        <v/>
      </c>
      <c r="E104" s="98">
        <f>COUNTIFS(明細!$G$5:$G$363,A104,明細!$D$5:$D$363,"オンライン")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COUNTIFS(明細!$I$5:$I$363,A104,明細!$D$5:$D$363,"オンライン")</f>
        <v/>
      </c>
      <c r="L104" s="98">
        <f>COUNTIFS(明細!$J$5:$J$363,A104,明細!$D$5:$D$363,"オンライン")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46097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COUNTIFS(明細!$F$5:$F$363,A105,明細!$D$5:$D$363,"オンライン")</f>
        <v/>
      </c>
      <c r="E105" s="98">
        <f>COUNTIFS(明細!$G$5:$G$363,A105,明細!$D$5:$D$363,"オンライン")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COUNTIFS(明細!$I$5:$I$363,A105,明細!$D$5:$D$363,"オンライン")</f>
        <v/>
      </c>
      <c r="L105" s="98">
        <f>COUNTIFS(明細!$J$5:$J$363,A105,明細!$D$5:$D$363,"オンライン")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46098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COUNTIFS(明細!$F$5:$F$363,A106,明細!$D$5:$D$363,"オンライン")</f>
        <v/>
      </c>
      <c r="E106" s="98">
        <f>COUNTIFS(明細!$G$5:$G$363,A106,明細!$D$5:$D$363,"オンライン")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COUNTIFS(明細!$I$5:$I$363,A106,明細!$D$5:$D$363,"オンライン")</f>
        <v/>
      </c>
      <c r="L106" s="98">
        <f>COUNTIFS(明細!$J$5:$J$363,A106,明細!$D$5:$D$363,"オンライン")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46099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COUNTIFS(明細!$F$5:$F$363,A107,明細!$D$5:$D$363,"オンライン")</f>
        <v/>
      </c>
      <c r="E107" s="98">
        <f>COUNTIFS(明細!$G$5:$G$363,A107,明細!$D$5:$D$363,"オンライン")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COUNTIFS(明細!$I$5:$I$363,A107,明細!$D$5:$D$363,"オンライン")</f>
        <v/>
      </c>
      <c r="L107" s="98">
        <f>COUNTIFS(明細!$J$5:$J$363,A107,明細!$D$5:$D$363,"オンライン")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46100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COUNTIFS(明細!$F$5:$F$363,A108,明細!$D$5:$D$363,"オンライン")</f>
        <v/>
      </c>
      <c r="E108" s="98">
        <f>COUNTIFS(明細!$G$5:$G$363,A108,明細!$D$5:$D$363,"オンライン")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COUNTIFS(明細!$I$5:$I$363,A108,明細!$D$5:$D$363,"オンライン")</f>
        <v/>
      </c>
      <c r="L108" s="98">
        <f>COUNTIFS(明細!$J$5:$J$363,A108,明細!$D$5:$D$363,"オンライン")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46101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COUNTIFS(明細!$F$5:$F$363,A109,明細!$D$5:$D$363,"オンライン")</f>
        <v/>
      </c>
      <c r="E109" s="98">
        <f>COUNTIFS(明細!$G$5:$G$363,A109,明細!$D$5:$D$363,"オンライン")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COUNTIFS(明細!$I$5:$I$363,A109,明細!$D$5:$D$363,"オンライン")</f>
        <v/>
      </c>
      <c r="L109" s="98">
        <f>COUNTIFS(明細!$J$5:$J$363,A109,明細!$D$5:$D$363,"オンライン")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46102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COUNTIFS(明細!$F$5:$F$363,A110,明細!$D$5:$D$363,"オンライン")</f>
        <v/>
      </c>
      <c r="E110" s="98">
        <f>COUNTIFS(明細!$G$5:$G$363,A110,明細!$D$5:$D$363,"オンライン")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COUNTIFS(明細!$I$5:$I$363,A110,明細!$D$5:$D$363,"オンライン")</f>
        <v/>
      </c>
      <c r="L110" s="98">
        <f>COUNTIFS(明細!$J$5:$J$363,A110,明細!$D$5:$D$363,"オンライン")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46103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COUNTIFS(明細!$F$5:$F$363,A111,明細!$D$5:$D$363,"オンライン")</f>
        <v/>
      </c>
      <c r="E111" s="98">
        <f>COUNTIFS(明細!$G$5:$G$363,A111,明細!$D$5:$D$363,"オンライン")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COUNTIFS(明細!$I$5:$I$363,A111,明細!$D$5:$D$363,"オンライン")</f>
        <v/>
      </c>
      <c r="L111" s="98">
        <f>COUNTIFS(明細!$J$5:$J$363,A111,明細!$D$5:$D$363,"オンライン")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46104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COUNTIFS(明細!$F$5:$F$363,A112,明細!$D$5:$D$363,"オンライン")</f>
        <v/>
      </c>
      <c r="E112" s="98">
        <f>COUNTIFS(明細!$G$5:$G$363,A112,明細!$D$5:$D$363,"オンライン")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COUNTIFS(明細!$I$5:$I$363,A112,明細!$D$5:$D$363,"オンライン")</f>
        <v/>
      </c>
      <c r="L112" s="98">
        <f>COUNTIFS(明細!$J$5:$J$363,A112,明細!$D$5:$D$363,"オンライン")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46105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COUNTIFS(明細!$F$5:$F$363,A113,明細!$D$5:$D$363,"オンライン")</f>
        <v/>
      </c>
      <c r="E113" s="98">
        <f>COUNTIFS(明細!$G$5:$G$363,A113,明細!$D$5:$D$363,"オンライン")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COUNTIFS(明細!$I$5:$I$363,A113,明細!$D$5:$D$363,"オンライン")</f>
        <v/>
      </c>
      <c r="L113" s="98">
        <f>COUNTIFS(明細!$J$5:$J$363,A113,明細!$D$5:$D$363,"オンライン")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46106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COUNTIFS(明細!$F$5:$F$363,A114,明細!$D$5:$D$363,"オンライン")</f>
        <v/>
      </c>
      <c r="E114" s="98">
        <f>COUNTIFS(明細!$G$5:$G$363,A114,明細!$D$5:$D$363,"オンライン")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COUNTIFS(明細!$I$5:$I$363,A114,明細!$D$5:$D$363,"オンライン")</f>
        <v/>
      </c>
      <c r="L114" s="98">
        <f>COUNTIFS(明細!$J$5:$J$363,A114,明細!$D$5:$D$363,"オンライン")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46107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COUNTIFS(明細!$F$5:$F$363,A115,明細!$D$5:$D$363,"オンライン")</f>
        <v/>
      </c>
      <c r="E115" s="98">
        <f>COUNTIFS(明細!$G$5:$G$363,A115,明細!$D$5:$D$363,"オンライン")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COUNTIFS(明細!$I$5:$I$363,A115,明細!$D$5:$D$363,"オンライン")</f>
        <v/>
      </c>
      <c r="L115" s="98">
        <f>COUNTIFS(明細!$J$5:$J$363,A115,明細!$D$5:$D$363,"オンライン")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46108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COUNTIFS(明細!$F$5:$F$363,A116,明細!$D$5:$D$363,"オンライン")</f>
        <v/>
      </c>
      <c r="E116" s="98">
        <f>COUNTIFS(明細!$G$5:$G$363,A116,明細!$D$5:$D$363,"オンライン")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COUNTIFS(明細!$I$5:$I$363,A116,明細!$D$5:$D$363,"オンライン")</f>
        <v/>
      </c>
      <c r="L116" s="98">
        <f>COUNTIFS(明細!$J$5:$J$363,A116,明細!$D$5:$D$363,"オンライン")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46109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COUNTIFS(明細!$F$5:$F$363,A117,明細!$D$5:$D$363,"オンライン")</f>
        <v/>
      </c>
      <c r="E117" s="98">
        <f>COUNTIFS(明細!$G$5:$G$363,A117,明細!$D$5:$D$363,"オンライン")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COUNTIFS(明細!$I$5:$I$363,A117,明細!$D$5:$D$363,"オンライン")</f>
        <v/>
      </c>
      <c r="L117" s="98">
        <f>COUNTIFS(明細!$J$5:$J$363,A117,明細!$D$5:$D$363,"オンライン")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46110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COUNTIFS(明細!$F$5:$F$363,A118,明細!$D$5:$D$363,"オンライン")</f>
        <v/>
      </c>
      <c r="E118" s="98">
        <f>COUNTIFS(明細!$G$5:$G$363,A118,明細!$D$5:$D$363,"オンライン")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COUNTIFS(明細!$I$5:$I$363,A118,明細!$D$5:$D$363,"オンライン")</f>
        <v/>
      </c>
      <c r="L118" s="98">
        <f>COUNTIFS(明細!$J$5:$J$363,A118,明細!$D$5:$D$363,"オンライン")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46111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COUNTIFS(明細!$F$5:$F$363,A119,明細!$D$5:$D$363,"オンライン")</f>
        <v/>
      </c>
      <c r="E119" s="98">
        <f>COUNTIFS(明細!$G$5:$G$363,A119,明細!$D$5:$D$363,"オンライン")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COUNTIFS(明細!$I$5:$I$363,A119,明細!$D$5:$D$363,"オンライン")</f>
        <v/>
      </c>
      <c r="L119" s="98">
        <f>COUNTIFS(明細!$J$5:$J$363,A119,明細!$D$5:$D$363,"オンライン")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46112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COUNTIFS(明細!$F$5:$F$363,A120,明細!$D$5:$D$363,"オンライン")</f>
        <v/>
      </c>
      <c r="E120" s="98">
        <f>COUNTIFS(明細!$G$5:$G$363,A120,明細!$D$5:$D$363,"オンライン")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COUNTIFS(明細!$I$5:$I$363,A120,明細!$D$5:$D$363,"オンライン")</f>
        <v/>
      </c>
      <c r="L120" s="98">
        <f>COUNTIFS(明細!$J$5:$J$363,A120,明細!$D$5:$D$363,"オンライン")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46113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COUNTIFS(明細!$F$5:$F$363,A121,明細!$D$5:$D$363,"オンライン")</f>
        <v/>
      </c>
      <c r="E121" s="98">
        <f>COUNTIFS(明細!$G$5:$G$363,A121,明細!$D$5:$D$363,"オンライン")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COUNTIFS(明細!$I$5:$I$363,A121,明細!$D$5:$D$363,"オンライン")</f>
        <v/>
      </c>
      <c r="L121" s="98">
        <f>COUNTIFS(明細!$J$5:$J$363,A121,明細!$D$5:$D$363,"オンライン")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46114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COUNTIFS(明細!$F$5:$F$363,A122,明細!$D$5:$D$363,"オンライン")</f>
        <v/>
      </c>
      <c r="E122" s="98">
        <f>COUNTIFS(明細!$G$5:$G$363,A122,明細!$D$5:$D$363,"オンライン")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COUNTIFS(明細!$I$5:$I$363,A122,明細!$D$5:$D$363,"オンライン")</f>
        <v/>
      </c>
      <c r="L122" s="98">
        <f>COUNTIFS(明細!$J$5:$J$363,A122,明細!$D$5:$D$363,"オンライン")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46115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COUNTIFS(明細!$F$5:$F$363,A123,明細!$D$5:$D$363,"オンライン")</f>
        <v/>
      </c>
      <c r="E123" s="98">
        <f>COUNTIFS(明細!$G$5:$G$363,A123,明細!$D$5:$D$363,"オンライン")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COUNTIFS(明細!$I$5:$I$363,A123,明細!$D$5:$D$363,"オンライン")</f>
        <v/>
      </c>
      <c r="L123" s="98">
        <f>COUNTIFS(明細!$J$5:$J$363,A123,明細!$D$5:$D$363,"オンライン")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46116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COUNTIFS(明細!$F$5:$F$363,A124,明細!$D$5:$D$363,"オンライン")</f>
        <v/>
      </c>
      <c r="E124" s="98">
        <f>COUNTIFS(明細!$G$5:$G$363,A124,明細!$D$5:$D$363,"オンライン")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COUNTIFS(明細!$I$5:$I$363,A124,明細!$D$5:$D$363,"オンライン")</f>
        <v/>
      </c>
      <c r="L124" s="98">
        <f>COUNTIFS(明細!$J$5:$J$363,A124,明細!$D$5:$D$363,"オンライン")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46117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COUNTIFS(明細!$F$5:$F$363,A125,明細!$D$5:$D$363,"オンライン")</f>
        <v/>
      </c>
      <c r="E125" s="98">
        <f>COUNTIFS(明細!$G$5:$G$363,A125,明細!$D$5:$D$363,"オンライン")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COUNTIFS(明細!$I$5:$I$363,A125,明細!$D$5:$D$363,"オンライン")</f>
        <v/>
      </c>
      <c r="L125" s="98">
        <f>COUNTIFS(明細!$J$5:$J$363,A125,明細!$D$5:$D$363,"オンライン")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46118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COUNTIFS(明細!$F$5:$F$363,A126,明細!$D$5:$D$363,"オンライン")</f>
        <v/>
      </c>
      <c r="E126" s="98">
        <f>COUNTIFS(明細!$G$5:$G$363,A126,明細!$D$5:$D$363,"オンライン")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COUNTIFS(明細!$I$5:$I$363,A126,明細!$D$5:$D$363,"オンライン")</f>
        <v/>
      </c>
      <c r="L126" s="98">
        <f>COUNTIFS(明細!$J$5:$J$363,A126,明細!$D$5:$D$363,"オンライン")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46119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COUNTIFS(明細!$F$5:$F$363,A127,明細!$D$5:$D$363,"オンライン")</f>
        <v/>
      </c>
      <c r="E127" s="98">
        <f>COUNTIFS(明細!$G$5:$G$363,A127,明細!$D$5:$D$363,"オンライン")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COUNTIFS(明細!$I$5:$I$363,A127,明細!$D$5:$D$363,"オンライン")</f>
        <v/>
      </c>
      <c r="L127" s="98">
        <f>COUNTIFS(明細!$J$5:$J$363,A127,明細!$D$5:$D$363,"オンライン")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46120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COUNTIFS(明細!$F$5:$F$363,A128,明細!$D$5:$D$363,"オンライン")</f>
        <v/>
      </c>
      <c r="E128" s="98">
        <f>COUNTIFS(明細!$G$5:$G$363,A128,明細!$D$5:$D$363,"オンライン")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COUNTIFS(明細!$I$5:$I$363,A128,明細!$D$5:$D$363,"オンライン")</f>
        <v/>
      </c>
      <c r="L128" s="98">
        <f>COUNTIFS(明細!$J$5:$J$363,A128,明細!$D$5:$D$363,"オンライン")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46121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COUNTIFS(明細!$F$5:$F$363,A129,明細!$D$5:$D$363,"オンライン")</f>
        <v/>
      </c>
      <c r="E129" s="98">
        <f>COUNTIFS(明細!$G$5:$G$363,A129,明細!$D$5:$D$363,"オンライン")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COUNTIFS(明細!$I$5:$I$363,A129,明細!$D$5:$D$363,"オンライン")</f>
        <v/>
      </c>
      <c r="L129" s="98">
        <f>COUNTIFS(明細!$J$5:$J$363,A129,明細!$D$5:$D$363,"オンライン")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46122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COUNTIFS(明細!$F$5:$F$363,A130,明細!$D$5:$D$363,"オンライン")</f>
        <v/>
      </c>
      <c r="E130" s="98">
        <f>COUNTIFS(明細!$G$5:$G$363,A130,明細!$D$5:$D$363,"オンライン")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COUNTIFS(明細!$I$5:$I$363,A130,明細!$D$5:$D$363,"オンライン")</f>
        <v/>
      </c>
      <c r="L130" s="98">
        <f>COUNTIFS(明細!$J$5:$J$363,A130,明細!$D$5:$D$363,"オンライン")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46123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COUNTIFS(明細!$F$5:$F$363,A131,明細!$D$5:$D$363,"オンライン")</f>
        <v/>
      </c>
      <c r="E131" s="98">
        <f>COUNTIFS(明細!$G$5:$G$363,A131,明細!$D$5:$D$363,"オンライン")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COUNTIFS(明細!$I$5:$I$363,A131,明細!$D$5:$D$363,"オンライン")</f>
        <v/>
      </c>
      <c r="L131" s="98">
        <f>COUNTIFS(明細!$J$5:$J$363,A131,明細!$D$5:$D$363,"オンライン")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46124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COUNTIFS(明細!$F$5:$F$363,A132,明細!$D$5:$D$363,"オンライン")</f>
        <v/>
      </c>
      <c r="E132" s="98">
        <f>COUNTIFS(明細!$G$5:$G$363,A132,明細!$D$5:$D$363,"オンライン")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COUNTIFS(明細!$I$5:$I$363,A132,明細!$D$5:$D$363,"オンライン")</f>
        <v/>
      </c>
      <c r="L132" s="98">
        <f>COUNTIFS(明細!$J$5:$J$363,A132,明細!$D$5:$D$363,"オンライン")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46125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COUNTIFS(明細!$F$5:$F$363,A133,明細!$D$5:$D$363,"オンライン")</f>
        <v/>
      </c>
      <c r="E133" s="98">
        <f>COUNTIFS(明細!$G$5:$G$363,A133,明細!$D$5:$D$363,"オンライン")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COUNTIFS(明細!$I$5:$I$363,A133,明細!$D$5:$D$363,"オンライン")</f>
        <v/>
      </c>
      <c r="L133" s="98">
        <f>COUNTIFS(明細!$J$5:$J$363,A133,明細!$D$5:$D$363,"オンライン")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46126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COUNTIFS(明細!$F$5:$F$363,A134,明細!$D$5:$D$363,"オンライン")</f>
        <v/>
      </c>
      <c r="E134" s="98">
        <f>COUNTIFS(明細!$G$5:$G$363,A134,明細!$D$5:$D$363,"オンライン")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COUNTIFS(明細!$I$5:$I$363,A134,明細!$D$5:$D$363,"オンライン")</f>
        <v/>
      </c>
      <c r="L134" s="98">
        <f>COUNTIFS(明細!$J$5:$J$363,A134,明細!$D$5:$D$363,"オンライン")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46127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COUNTIFS(明細!$F$5:$F$363,A135,明細!$D$5:$D$363,"オンライン")</f>
        <v/>
      </c>
      <c r="E135" s="98">
        <f>COUNTIFS(明細!$G$5:$G$363,A135,明細!$D$5:$D$363,"オンライン")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COUNTIFS(明細!$I$5:$I$363,A135,明細!$D$5:$D$363,"オンライン")</f>
        <v/>
      </c>
      <c r="L135" s="98">
        <f>COUNTIFS(明細!$J$5:$J$363,A135,明細!$D$5:$D$363,"オンライン")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46128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COUNTIFS(明細!$F$5:$F$363,A136,明細!$D$5:$D$363,"オンライン")</f>
        <v/>
      </c>
      <c r="E136" s="98">
        <f>COUNTIFS(明細!$G$5:$G$363,A136,明細!$D$5:$D$363,"オンライン")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COUNTIFS(明細!$I$5:$I$363,A136,明細!$D$5:$D$363,"オンライン")</f>
        <v/>
      </c>
      <c r="L136" s="98">
        <f>COUNTIFS(明細!$J$5:$J$363,A136,明細!$D$5:$D$363,"オンライン")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46129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COUNTIFS(明細!$F$5:$F$363,A137,明細!$D$5:$D$363,"オンライン")</f>
        <v/>
      </c>
      <c r="E137" s="98">
        <f>COUNTIFS(明細!$G$5:$G$363,A137,明細!$D$5:$D$363,"オンライン")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COUNTIFS(明細!$I$5:$I$363,A137,明細!$D$5:$D$363,"オンライン")</f>
        <v/>
      </c>
      <c r="L137" s="98">
        <f>COUNTIFS(明細!$J$5:$J$363,A137,明細!$D$5:$D$363,"オンライン")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46130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COUNTIFS(明細!$F$5:$F$363,A138,明細!$D$5:$D$363,"オンライン")</f>
        <v/>
      </c>
      <c r="E138" s="98">
        <f>COUNTIFS(明細!$G$5:$G$363,A138,明細!$D$5:$D$363,"オンライン")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COUNTIFS(明細!$I$5:$I$363,A138,明細!$D$5:$D$363,"オンライン")</f>
        <v/>
      </c>
      <c r="L138" s="98">
        <f>COUNTIFS(明細!$J$5:$J$363,A138,明細!$D$5:$D$363,"オンライン")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46131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COUNTIFS(明細!$F$5:$F$363,A139,明細!$D$5:$D$363,"オンライン")</f>
        <v/>
      </c>
      <c r="E139" s="98">
        <f>COUNTIFS(明細!$G$5:$G$363,A139,明細!$D$5:$D$363,"オンライン")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COUNTIFS(明細!$I$5:$I$363,A139,明細!$D$5:$D$363,"オンライン")</f>
        <v/>
      </c>
      <c r="L139" s="98">
        <f>COUNTIFS(明細!$J$5:$J$363,A139,明細!$D$5:$D$363,"オンライン")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46132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COUNTIFS(明細!$F$5:$F$363,A140,明細!$D$5:$D$363,"オンライン")</f>
        <v/>
      </c>
      <c r="E140" s="98">
        <f>COUNTIFS(明細!$G$5:$G$363,A140,明細!$D$5:$D$363,"オンライン")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COUNTIFS(明細!$I$5:$I$363,A140,明細!$D$5:$D$363,"オンライン")</f>
        <v/>
      </c>
      <c r="L140" s="98">
        <f>COUNTIFS(明細!$J$5:$J$363,A140,明細!$D$5:$D$363,"オンライン")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46133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COUNTIFS(明細!$F$5:$F$363,A141,明細!$D$5:$D$363,"オンライン")</f>
        <v/>
      </c>
      <c r="E141" s="98">
        <f>COUNTIFS(明細!$G$5:$G$363,A141,明細!$D$5:$D$363,"オンライン")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COUNTIFS(明細!$I$5:$I$363,A141,明細!$D$5:$D$363,"オンライン")</f>
        <v/>
      </c>
      <c r="L141" s="98">
        <f>COUNTIFS(明細!$J$5:$J$363,A141,明細!$D$5:$D$363,"オンライン")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46134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COUNTIFS(明細!$F$5:$F$363,A142,明細!$D$5:$D$363,"オンライン")</f>
        <v/>
      </c>
      <c r="E142" s="98">
        <f>COUNTIFS(明細!$G$5:$G$363,A142,明細!$D$5:$D$363,"オンライン")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COUNTIFS(明細!$I$5:$I$363,A142,明細!$D$5:$D$363,"オンライン")</f>
        <v/>
      </c>
      <c r="L142" s="98">
        <f>COUNTIFS(明細!$J$5:$J$363,A142,明細!$D$5:$D$363,"オンライン")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46135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COUNTIFS(明細!$F$5:$F$363,A143,明細!$D$5:$D$363,"オンライン")</f>
        <v/>
      </c>
      <c r="E143" s="98">
        <f>COUNTIFS(明細!$G$5:$G$363,A143,明細!$D$5:$D$363,"オンライン")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COUNTIFS(明細!$I$5:$I$363,A143,明細!$D$5:$D$363,"オンライン")</f>
        <v/>
      </c>
      <c r="L143" s="98">
        <f>COUNTIFS(明細!$J$5:$J$363,A143,明細!$D$5:$D$363,"オンライン")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46136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COUNTIFS(明細!$F$5:$F$363,A144,明細!$D$5:$D$363,"オンライン")</f>
        <v/>
      </c>
      <c r="E144" s="98">
        <f>COUNTIFS(明細!$G$5:$G$363,A144,明細!$D$5:$D$363,"オンライン")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COUNTIFS(明細!$I$5:$I$363,A144,明細!$D$5:$D$363,"オンライン")</f>
        <v/>
      </c>
      <c r="L144" s="98">
        <f>COUNTIFS(明細!$J$5:$J$363,A144,明細!$D$5:$D$363,"オンライン")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46137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COUNTIFS(明細!$F$5:$F$363,A145,明細!$D$5:$D$363,"オンライン")</f>
        <v/>
      </c>
      <c r="E145" s="98">
        <f>COUNTIFS(明細!$G$5:$G$363,A145,明細!$D$5:$D$363,"オンライン")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COUNTIFS(明細!$I$5:$I$363,A145,明細!$D$5:$D$363,"オンライン")</f>
        <v/>
      </c>
      <c r="L145" s="98">
        <f>COUNTIFS(明細!$J$5:$J$363,A145,明細!$D$5:$D$363,"オンライン")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46138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COUNTIFS(明細!$F$5:$F$363,A146,明細!$D$5:$D$363,"オンライン")</f>
        <v/>
      </c>
      <c r="E146" s="98">
        <f>COUNTIFS(明細!$G$5:$G$363,A146,明細!$D$5:$D$363,"オンライン")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COUNTIFS(明細!$I$5:$I$363,A146,明細!$D$5:$D$363,"オンライン")</f>
        <v/>
      </c>
      <c r="L146" s="98">
        <f>COUNTIFS(明細!$J$5:$J$363,A146,明細!$D$5:$D$363,"オンライン")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46139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COUNTIFS(明細!$F$5:$F$363,A147,明細!$D$5:$D$363,"オンライン")</f>
        <v/>
      </c>
      <c r="E147" s="98">
        <f>COUNTIFS(明細!$G$5:$G$363,A147,明細!$D$5:$D$363,"オンライン")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COUNTIFS(明細!$I$5:$I$363,A147,明細!$D$5:$D$363,"オンライン")</f>
        <v/>
      </c>
      <c r="L147" s="98">
        <f>COUNTIFS(明細!$J$5:$J$363,A147,明細!$D$5:$D$363,"オンライン")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46140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COUNTIFS(明細!$F$5:$F$363,A148,明細!$D$5:$D$363,"オンライン")</f>
        <v/>
      </c>
      <c r="E148" s="98">
        <f>COUNTIFS(明細!$G$5:$G$363,A148,明細!$D$5:$D$363,"オンライン")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COUNTIFS(明細!$I$5:$I$363,A148,明細!$D$5:$D$363,"オンライン")</f>
        <v/>
      </c>
      <c r="L148" s="98">
        <f>COUNTIFS(明細!$J$5:$J$363,A148,明細!$D$5:$D$363,"オンライン")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46141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COUNTIFS(明細!$F$5:$F$363,A149,明細!$D$5:$D$363,"オンライン")</f>
        <v/>
      </c>
      <c r="E149" s="98">
        <f>COUNTIFS(明細!$G$5:$G$363,A149,明細!$D$5:$D$363,"オンライン")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COUNTIFS(明細!$I$5:$I$363,A149,明細!$D$5:$D$363,"オンライン")</f>
        <v/>
      </c>
      <c r="L149" s="98">
        <f>COUNTIFS(明細!$J$5:$J$363,A149,明細!$D$5:$D$363,"オンライン")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46142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COUNTIFS(明細!$F$5:$F$363,A150,明細!$D$5:$D$363,"オンライン")</f>
        <v/>
      </c>
      <c r="E150" s="98">
        <f>COUNTIFS(明細!$G$5:$G$363,A150,明細!$D$5:$D$363,"オンライン")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COUNTIFS(明細!$I$5:$I$363,A150,明細!$D$5:$D$363,"オンライン")</f>
        <v/>
      </c>
      <c r="L150" s="98">
        <f>COUNTIFS(明細!$J$5:$J$363,A150,明細!$D$5:$D$363,"オンライン")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46143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COUNTIFS(明細!$F$5:$F$363,A151,明細!$D$5:$D$363,"オンライン")</f>
        <v/>
      </c>
      <c r="E151" s="98">
        <f>COUNTIFS(明細!$G$5:$G$363,A151,明細!$D$5:$D$363,"オンライン")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COUNTIFS(明細!$I$5:$I$363,A151,明細!$D$5:$D$363,"オンライン")</f>
        <v/>
      </c>
      <c r="L151" s="98">
        <f>COUNTIFS(明細!$J$5:$J$363,A151,明細!$D$5:$D$363,"オンライン")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46144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COUNTIFS(明細!$F$5:$F$363,A152,明細!$D$5:$D$363,"オンライン")</f>
        <v/>
      </c>
      <c r="E152" s="98">
        <f>COUNTIFS(明細!$G$5:$G$363,A152,明細!$D$5:$D$363,"オンライン")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COUNTIFS(明細!$I$5:$I$363,A152,明細!$D$5:$D$363,"オンライン")</f>
        <v/>
      </c>
      <c r="L152" s="98">
        <f>COUNTIFS(明細!$J$5:$J$363,A152,明細!$D$5:$D$363,"オンライン")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46145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COUNTIFS(明細!$F$5:$F$363,A153,明細!$D$5:$D$363,"オンライン")</f>
        <v/>
      </c>
      <c r="E153" s="98">
        <f>COUNTIFS(明細!$G$5:$G$363,A153,明細!$D$5:$D$363,"オンライン")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COUNTIFS(明細!$I$5:$I$363,A153,明細!$D$5:$D$363,"オンライン")</f>
        <v/>
      </c>
      <c r="L153" s="98">
        <f>COUNTIFS(明細!$J$5:$J$363,A153,明細!$D$5:$D$363,"オンライン")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46146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COUNTIFS(明細!$F$5:$F$363,A154,明細!$D$5:$D$363,"オンライン")</f>
        <v/>
      </c>
      <c r="E154" s="98">
        <f>COUNTIFS(明細!$G$5:$G$363,A154,明細!$D$5:$D$363,"オンライン")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COUNTIFS(明細!$I$5:$I$363,A154,明細!$D$5:$D$363,"オンライン")</f>
        <v/>
      </c>
      <c r="L154" s="98">
        <f>COUNTIFS(明細!$J$5:$J$363,A154,明細!$D$5:$D$363,"オンライン")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46147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COUNTIFS(明細!$F$5:$F$363,A155,明細!$D$5:$D$363,"オンライン")</f>
        <v/>
      </c>
      <c r="E155" s="98">
        <f>COUNTIFS(明細!$G$5:$G$363,A155,明細!$D$5:$D$363,"オンライン")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COUNTIFS(明細!$I$5:$I$363,A155,明細!$D$5:$D$363,"オンライン")</f>
        <v/>
      </c>
      <c r="L155" s="98">
        <f>COUNTIFS(明細!$J$5:$J$363,A155,明細!$D$5:$D$363,"オンライン")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46148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COUNTIFS(明細!$F$5:$F$363,A156,明細!$D$5:$D$363,"オンライン")</f>
        <v/>
      </c>
      <c r="E156" s="98">
        <f>COUNTIFS(明細!$G$5:$G$363,A156,明細!$D$5:$D$363,"オンライン")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COUNTIFS(明細!$I$5:$I$363,A156,明細!$D$5:$D$363,"オンライン")</f>
        <v/>
      </c>
      <c r="L156" s="98">
        <f>COUNTIFS(明細!$J$5:$J$363,A156,明細!$D$5:$D$363,"オンライン")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46149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COUNTIFS(明細!$F$5:$F$363,A157,明細!$D$5:$D$363,"オンライン")</f>
        <v/>
      </c>
      <c r="E157" s="98">
        <f>COUNTIFS(明細!$G$5:$G$363,A157,明細!$D$5:$D$363,"オンライン")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COUNTIFS(明細!$I$5:$I$363,A157,明細!$D$5:$D$363,"オンライン")</f>
        <v/>
      </c>
      <c r="L157" s="98">
        <f>COUNTIFS(明細!$J$5:$J$363,A157,明細!$D$5:$D$363,"オンライン")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46150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COUNTIFS(明細!$F$5:$F$363,A158,明細!$D$5:$D$363,"オンライン")</f>
        <v/>
      </c>
      <c r="E158" s="98">
        <f>COUNTIFS(明細!$G$5:$G$363,A158,明細!$D$5:$D$363,"オンライン")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COUNTIFS(明細!$I$5:$I$363,A158,明細!$D$5:$D$363,"オンライン")</f>
        <v/>
      </c>
      <c r="L158" s="98">
        <f>COUNTIFS(明細!$J$5:$J$363,A158,明細!$D$5:$D$363,"オンライン")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46151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COUNTIFS(明細!$F$5:$F$363,A159,明細!$D$5:$D$363,"オンライン")</f>
        <v/>
      </c>
      <c r="E159" s="98">
        <f>COUNTIFS(明細!$G$5:$G$363,A159,明細!$D$5:$D$363,"オンライン")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COUNTIFS(明細!$I$5:$I$363,A159,明細!$D$5:$D$363,"オンライン")</f>
        <v/>
      </c>
      <c r="L159" s="98">
        <f>COUNTIFS(明細!$J$5:$J$363,A159,明細!$D$5:$D$363,"オンライン")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46152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COUNTIFS(明細!$F$5:$F$363,A160,明細!$D$5:$D$363,"オンライン")</f>
        <v/>
      </c>
      <c r="E160" s="98">
        <f>COUNTIFS(明細!$G$5:$G$363,A160,明細!$D$5:$D$363,"オンライン")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COUNTIFS(明細!$I$5:$I$363,A160,明細!$D$5:$D$363,"オンライン")</f>
        <v/>
      </c>
      <c r="L160" s="98">
        <f>COUNTIFS(明細!$J$5:$J$363,A160,明細!$D$5:$D$363,"オンライン")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46153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COUNTIFS(明細!$F$5:$F$363,A161,明細!$D$5:$D$363,"オンライン")</f>
        <v/>
      </c>
      <c r="E161" s="98">
        <f>COUNTIFS(明細!$G$5:$G$363,A161,明細!$D$5:$D$363,"オンライン")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COUNTIFS(明細!$I$5:$I$363,A161,明細!$D$5:$D$363,"オンライン")</f>
        <v/>
      </c>
      <c r="L161" s="98">
        <f>COUNTIFS(明細!$J$5:$J$363,A161,明細!$D$5:$D$363,"オンライン")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46154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COUNTIFS(明細!$F$5:$F$363,A162,明細!$D$5:$D$363,"オンライン")</f>
        <v/>
      </c>
      <c r="E162" s="98">
        <f>COUNTIFS(明細!$G$5:$G$363,A162,明細!$D$5:$D$363,"オンライン")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COUNTIFS(明細!$I$5:$I$363,A162,明細!$D$5:$D$363,"オンライン")</f>
        <v/>
      </c>
      <c r="L162" s="98">
        <f>COUNTIFS(明細!$J$5:$J$363,A162,明細!$D$5:$D$363,"オンライン")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46155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COUNTIFS(明細!$F$5:$F$363,A163,明細!$D$5:$D$363,"オンライン")</f>
        <v/>
      </c>
      <c r="E163" s="98">
        <f>COUNTIFS(明細!$G$5:$G$363,A163,明細!$D$5:$D$363,"オンライン")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COUNTIFS(明細!$I$5:$I$363,A163,明細!$D$5:$D$363,"オンライン")</f>
        <v/>
      </c>
      <c r="L163" s="98">
        <f>COUNTIFS(明細!$J$5:$J$363,A163,明細!$D$5:$D$363,"オンライン")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46156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COUNTIFS(明細!$F$5:$F$363,A164,明細!$D$5:$D$363,"オンライン")</f>
        <v/>
      </c>
      <c r="E164" s="98">
        <f>COUNTIFS(明細!$G$5:$G$363,A164,明細!$D$5:$D$363,"オンライン")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COUNTIFS(明細!$I$5:$I$363,A164,明細!$D$5:$D$363,"オンライン")</f>
        <v/>
      </c>
      <c r="L164" s="98">
        <f>COUNTIFS(明細!$J$5:$J$363,A164,明細!$D$5:$D$363,"オンライン")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46157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COUNTIFS(明細!$F$5:$F$363,A165,明細!$D$5:$D$363,"オンライン")</f>
        <v/>
      </c>
      <c r="E165" s="98">
        <f>COUNTIFS(明細!$G$5:$G$363,A165,明細!$D$5:$D$363,"オンライン")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COUNTIFS(明細!$I$5:$I$363,A165,明細!$D$5:$D$363,"オンライン")</f>
        <v/>
      </c>
      <c r="L165" s="98">
        <f>COUNTIFS(明細!$J$5:$J$363,A165,明細!$D$5:$D$363,"オンライン")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46158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COUNTIFS(明細!$F$5:$F$363,A166,明細!$D$5:$D$363,"オンライン")</f>
        <v/>
      </c>
      <c r="E166" s="98">
        <f>COUNTIFS(明細!$G$5:$G$363,A166,明細!$D$5:$D$363,"オンライン")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COUNTIFS(明細!$I$5:$I$363,A166,明細!$D$5:$D$363,"オンライン")</f>
        <v/>
      </c>
      <c r="L166" s="98">
        <f>COUNTIFS(明細!$J$5:$J$363,A166,明細!$D$5:$D$363,"オンライン")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46159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COUNTIFS(明細!$F$5:$F$363,A167,明細!$D$5:$D$363,"オンライン")</f>
        <v/>
      </c>
      <c r="E167" s="98">
        <f>COUNTIFS(明細!$G$5:$G$363,A167,明細!$D$5:$D$363,"オンライン")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COUNTIFS(明細!$I$5:$I$363,A167,明細!$D$5:$D$363,"オンライン")</f>
        <v/>
      </c>
      <c r="L167" s="98">
        <f>COUNTIFS(明細!$J$5:$J$363,A167,明細!$D$5:$D$363,"オンライン")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46160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COUNTIFS(明細!$F$5:$F$363,A168,明細!$D$5:$D$363,"オンライン")</f>
        <v/>
      </c>
      <c r="E168" s="98">
        <f>COUNTIFS(明細!$G$5:$G$363,A168,明細!$D$5:$D$363,"オンライン")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COUNTIFS(明細!$I$5:$I$363,A168,明細!$D$5:$D$363,"オンライン")</f>
        <v/>
      </c>
      <c r="L168" s="98">
        <f>COUNTIFS(明細!$J$5:$J$363,A168,明細!$D$5:$D$363,"オンライン")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46161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COUNTIFS(明細!$F$5:$F$363,A169,明細!$D$5:$D$363,"オンライン")</f>
        <v/>
      </c>
      <c r="E169" s="98">
        <f>COUNTIFS(明細!$G$5:$G$363,A169,明細!$D$5:$D$363,"オンライン")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COUNTIFS(明細!$I$5:$I$363,A169,明細!$D$5:$D$363,"オンライン")</f>
        <v/>
      </c>
      <c r="L169" s="98">
        <f>COUNTIFS(明細!$J$5:$J$363,A169,明細!$D$5:$D$363,"オンライン")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46162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COUNTIFS(明細!$F$5:$F$363,A170,明細!$D$5:$D$363,"オンライン")</f>
        <v/>
      </c>
      <c r="E170" s="98">
        <f>COUNTIFS(明細!$G$5:$G$363,A170,明細!$D$5:$D$363,"オンライン")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COUNTIFS(明細!$I$5:$I$363,A170,明細!$D$5:$D$363,"オンライン")</f>
        <v/>
      </c>
      <c r="L170" s="98">
        <f>COUNTIFS(明細!$J$5:$J$363,A170,明細!$D$5:$D$363,"オンライン")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46163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COUNTIFS(明細!$F$5:$F$363,A171,明細!$D$5:$D$363,"オンライン")</f>
        <v/>
      </c>
      <c r="E171" s="98">
        <f>COUNTIFS(明細!$G$5:$G$363,A171,明細!$D$5:$D$363,"オンライン")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COUNTIFS(明細!$I$5:$I$363,A171,明細!$D$5:$D$363,"オンライン")</f>
        <v/>
      </c>
      <c r="L171" s="98">
        <f>COUNTIFS(明細!$J$5:$J$363,A171,明細!$D$5:$D$363,"オンライン")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  <row r="172">
      <c r="A172" s="94" t="n">
        <v>46164</v>
      </c>
      <c r="B172" s="95">
        <f>CHOOSE(WEEKDAY(A172,2),"月","火","水","木","金","土","日")</f>
        <v/>
      </c>
      <c r="C172" s="96">
        <f>IF(OR(WEEKDAY(A172,2)&gt;=6,COUNTIF(祝日マスタ!$A:$A,A172)&gt;0),"非営業日","営業日")</f>
        <v/>
      </c>
      <c r="D172" s="97">
        <f>COUNTIFS(明細!$F$5:$F$363,A172,明細!$D$5:$D$363,"オンライン")</f>
        <v/>
      </c>
      <c r="E172" s="98">
        <f>COUNTIFS(明細!$G$5:$G$363,A172,明細!$D$5:$D$363,"オンライン")</f>
        <v/>
      </c>
      <c r="F172" s="99">
        <f>IF(D172=0,0,E172/D172)</f>
        <v/>
      </c>
      <c r="G172" s="100">
        <f>SUM($D$6:D172)</f>
        <v/>
      </c>
      <c r="H172" s="98">
        <f>SUM($E$6:E172)</f>
        <v/>
      </c>
      <c r="I172" s="99">
        <f>IF(G172=0,"",H172/G172)</f>
        <v/>
      </c>
      <c r="J172" s="101">
        <f>IF(A172&gt;$S$2,"予定",IF(G172=0,"－",IF(I172&gt;=1,"完了",IF(H172&gt;=G172,"順調","遅延"))))</f>
        <v/>
      </c>
      <c r="K172" s="97">
        <f>COUNTIFS(明細!$I$5:$I$363,A172,明細!$D$5:$D$363,"オンライン")</f>
        <v/>
      </c>
      <c r="L172" s="98">
        <f>COUNTIFS(明細!$J$5:$J$363,A172,明細!$D$5:$D$363,"オンライン")</f>
        <v/>
      </c>
      <c r="M172" s="99">
        <f>IF(K172=0,0,L172/K172)</f>
        <v/>
      </c>
      <c r="N172" s="100">
        <f>SUM($K$6:K172)</f>
        <v/>
      </c>
      <c r="O172" s="98">
        <f>SUM($L$6:L172)</f>
        <v/>
      </c>
      <c r="P172" s="99">
        <f>IF(N172=0,"",O172/N172)</f>
        <v/>
      </c>
      <c r="Q172" s="101">
        <f>IF(A172&gt;$S$2,"予定",IF(N172=0,"－",IF(P172&gt;=1,"完了",IF(O172&gt;=N172,"順調","遅延"))))</f>
        <v/>
      </c>
      <c r="R172" s="97">
        <f>D172+K172</f>
        <v/>
      </c>
      <c r="S172" s="102">
        <f>E172+L172</f>
        <v/>
      </c>
    </row>
    <row r="173">
      <c r="A173" s="94" t="n">
        <v>46165</v>
      </c>
      <c r="B173" s="95">
        <f>CHOOSE(WEEKDAY(A173,2),"月","火","水","木","金","土","日")</f>
        <v/>
      </c>
      <c r="C173" s="96">
        <f>IF(OR(WEEKDAY(A173,2)&gt;=6,COUNTIF(祝日マスタ!$A:$A,A173)&gt;0),"非営業日","営業日")</f>
        <v/>
      </c>
      <c r="D173" s="97">
        <f>COUNTIFS(明細!$F$5:$F$363,A173,明細!$D$5:$D$363,"オンライン")</f>
        <v/>
      </c>
      <c r="E173" s="98">
        <f>COUNTIFS(明細!$G$5:$G$363,A173,明細!$D$5:$D$363,"オンライン")</f>
        <v/>
      </c>
      <c r="F173" s="99">
        <f>IF(D173=0,0,E173/D173)</f>
        <v/>
      </c>
      <c r="G173" s="100">
        <f>SUM($D$6:D173)</f>
        <v/>
      </c>
      <c r="H173" s="98">
        <f>SUM($E$6:E173)</f>
        <v/>
      </c>
      <c r="I173" s="99">
        <f>IF(G173=0,"",H173/G173)</f>
        <v/>
      </c>
      <c r="J173" s="101">
        <f>IF(A173&gt;$S$2,"予定",IF(G173=0,"－",IF(I173&gt;=1,"完了",IF(H173&gt;=G173,"順調","遅延"))))</f>
        <v/>
      </c>
      <c r="K173" s="97">
        <f>COUNTIFS(明細!$I$5:$I$363,A173,明細!$D$5:$D$363,"オンライン")</f>
        <v/>
      </c>
      <c r="L173" s="98">
        <f>COUNTIFS(明細!$J$5:$J$363,A173,明細!$D$5:$D$363,"オンライン")</f>
        <v/>
      </c>
      <c r="M173" s="99">
        <f>IF(K173=0,0,L173/K173)</f>
        <v/>
      </c>
      <c r="N173" s="100">
        <f>SUM($K$6:K173)</f>
        <v/>
      </c>
      <c r="O173" s="98">
        <f>SUM($L$6:L173)</f>
        <v/>
      </c>
      <c r="P173" s="99">
        <f>IF(N173=0,"",O173/N173)</f>
        <v/>
      </c>
      <c r="Q173" s="101">
        <f>IF(A173&gt;$S$2,"予定",IF(N173=0,"－",IF(P173&gt;=1,"完了",IF(O173&gt;=N173,"順調","遅延"))))</f>
        <v/>
      </c>
      <c r="R173" s="97">
        <f>D173+K173</f>
        <v/>
      </c>
      <c r="S173" s="102">
        <f>E173+L173</f>
        <v/>
      </c>
    </row>
    <row r="174">
      <c r="A174" s="94" t="n">
        <v>46166</v>
      </c>
      <c r="B174" s="95">
        <f>CHOOSE(WEEKDAY(A174,2),"月","火","水","木","金","土","日")</f>
        <v/>
      </c>
      <c r="C174" s="96">
        <f>IF(OR(WEEKDAY(A174,2)&gt;=6,COUNTIF(祝日マスタ!$A:$A,A174)&gt;0),"非営業日","営業日")</f>
        <v/>
      </c>
      <c r="D174" s="97">
        <f>COUNTIFS(明細!$F$5:$F$363,A174,明細!$D$5:$D$363,"オンライン")</f>
        <v/>
      </c>
      <c r="E174" s="98">
        <f>COUNTIFS(明細!$G$5:$G$363,A174,明細!$D$5:$D$363,"オンライン")</f>
        <v/>
      </c>
      <c r="F174" s="99">
        <f>IF(D174=0,0,E174/D174)</f>
        <v/>
      </c>
      <c r="G174" s="100">
        <f>SUM($D$6:D174)</f>
        <v/>
      </c>
      <c r="H174" s="98">
        <f>SUM($E$6:E174)</f>
        <v/>
      </c>
      <c r="I174" s="99">
        <f>IF(G174=0,"",H174/G174)</f>
        <v/>
      </c>
      <c r="J174" s="101">
        <f>IF(A174&gt;$S$2,"予定",IF(G174=0,"－",IF(I174&gt;=1,"完了",IF(H174&gt;=G174,"順調","遅延"))))</f>
        <v/>
      </c>
      <c r="K174" s="97">
        <f>COUNTIFS(明細!$I$5:$I$363,A174,明細!$D$5:$D$363,"オンライン")</f>
        <v/>
      </c>
      <c r="L174" s="98">
        <f>COUNTIFS(明細!$J$5:$J$363,A174,明細!$D$5:$D$363,"オンライン")</f>
        <v/>
      </c>
      <c r="M174" s="99">
        <f>IF(K174=0,0,L174/K174)</f>
        <v/>
      </c>
      <c r="N174" s="100">
        <f>SUM($K$6:K174)</f>
        <v/>
      </c>
      <c r="O174" s="98">
        <f>SUM($L$6:L174)</f>
        <v/>
      </c>
      <c r="P174" s="99">
        <f>IF(N174=0,"",O174/N174)</f>
        <v/>
      </c>
      <c r="Q174" s="101">
        <f>IF(A174&gt;$S$2,"予定",IF(N174=0,"－",IF(P174&gt;=1,"完了",IF(O174&gt;=N174,"順調","遅延"))))</f>
        <v/>
      </c>
      <c r="R174" s="97">
        <f>D174+K174</f>
        <v/>
      </c>
      <c r="S174" s="102">
        <f>E174+L174</f>
        <v/>
      </c>
    </row>
    <row r="175">
      <c r="A175" s="94" t="n">
        <v>46167</v>
      </c>
      <c r="B175" s="95">
        <f>CHOOSE(WEEKDAY(A175,2),"月","火","水","木","金","土","日")</f>
        <v/>
      </c>
      <c r="C175" s="96">
        <f>IF(OR(WEEKDAY(A175,2)&gt;=6,COUNTIF(祝日マスタ!$A:$A,A175)&gt;0),"非営業日","営業日")</f>
        <v/>
      </c>
      <c r="D175" s="97">
        <f>COUNTIFS(明細!$F$5:$F$363,A175,明細!$D$5:$D$363,"オンライン")</f>
        <v/>
      </c>
      <c r="E175" s="98">
        <f>COUNTIFS(明細!$G$5:$G$363,A175,明細!$D$5:$D$363,"オンライン")</f>
        <v/>
      </c>
      <c r="F175" s="99">
        <f>IF(D175=0,0,E175/D175)</f>
        <v/>
      </c>
      <c r="G175" s="100">
        <f>SUM($D$6:D175)</f>
        <v/>
      </c>
      <c r="H175" s="98">
        <f>SUM($E$6:E175)</f>
        <v/>
      </c>
      <c r="I175" s="99">
        <f>IF(G175=0,"",H175/G175)</f>
        <v/>
      </c>
      <c r="J175" s="101">
        <f>IF(A175&gt;$S$2,"予定",IF(G175=0,"－",IF(I175&gt;=1,"完了",IF(H175&gt;=G175,"順調","遅延"))))</f>
        <v/>
      </c>
      <c r="K175" s="97">
        <f>COUNTIFS(明細!$I$5:$I$363,A175,明細!$D$5:$D$363,"オンライン")</f>
        <v/>
      </c>
      <c r="L175" s="98">
        <f>COUNTIFS(明細!$J$5:$J$363,A175,明細!$D$5:$D$363,"オンライン")</f>
        <v/>
      </c>
      <c r="M175" s="99">
        <f>IF(K175=0,0,L175/K175)</f>
        <v/>
      </c>
      <c r="N175" s="100">
        <f>SUM($K$6:K175)</f>
        <v/>
      </c>
      <c r="O175" s="98">
        <f>SUM($L$6:L175)</f>
        <v/>
      </c>
      <c r="P175" s="99">
        <f>IF(N175=0,"",O175/N175)</f>
        <v/>
      </c>
      <c r="Q175" s="101">
        <f>IF(A175&gt;$S$2,"予定",IF(N175=0,"－",IF(P175&gt;=1,"完了",IF(O175&gt;=N175,"順調","遅延"))))</f>
        <v/>
      </c>
      <c r="R175" s="97">
        <f>D175+K175</f>
        <v/>
      </c>
      <c r="S175" s="102">
        <f>E175+L175</f>
        <v/>
      </c>
    </row>
    <row r="176">
      <c r="A176" s="94" t="n">
        <v>46168</v>
      </c>
      <c r="B176" s="95">
        <f>CHOOSE(WEEKDAY(A176,2),"月","火","水","木","金","土","日")</f>
        <v/>
      </c>
      <c r="C176" s="96">
        <f>IF(OR(WEEKDAY(A176,2)&gt;=6,COUNTIF(祝日マスタ!$A:$A,A176)&gt;0),"非営業日","営業日")</f>
        <v/>
      </c>
      <c r="D176" s="97">
        <f>COUNTIFS(明細!$F$5:$F$363,A176,明細!$D$5:$D$363,"オンライン")</f>
        <v/>
      </c>
      <c r="E176" s="98">
        <f>COUNTIFS(明細!$G$5:$G$363,A176,明細!$D$5:$D$363,"オンライン")</f>
        <v/>
      </c>
      <c r="F176" s="99">
        <f>IF(D176=0,0,E176/D176)</f>
        <v/>
      </c>
      <c r="G176" s="100">
        <f>SUM($D$6:D176)</f>
        <v/>
      </c>
      <c r="H176" s="98">
        <f>SUM($E$6:E176)</f>
        <v/>
      </c>
      <c r="I176" s="99">
        <f>IF(G176=0,"",H176/G176)</f>
        <v/>
      </c>
      <c r="J176" s="101">
        <f>IF(A176&gt;$S$2,"予定",IF(G176=0,"－",IF(I176&gt;=1,"完了",IF(H176&gt;=G176,"順調","遅延"))))</f>
        <v/>
      </c>
      <c r="K176" s="97">
        <f>COUNTIFS(明細!$I$5:$I$363,A176,明細!$D$5:$D$363,"オンライン")</f>
        <v/>
      </c>
      <c r="L176" s="98">
        <f>COUNTIFS(明細!$J$5:$J$363,A176,明細!$D$5:$D$363,"オンライン")</f>
        <v/>
      </c>
      <c r="M176" s="99">
        <f>IF(K176=0,0,L176/K176)</f>
        <v/>
      </c>
      <c r="N176" s="100">
        <f>SUM($K$6:K176)</f>
        <v/>
      </c>
      <c r="O176" s="98">
        <f>SUM($L$6:L176)</f>
        <v/>
      </c>
      <c r="P176" s="99">
        <f>IF(N176=0,"",O176/N176)</f>
        <v/>
      </c>
      <c r="Q176" s="101">
        <f>IF(A176&gt;$S$2,"予定",IF(N176=0,"－",IF(P176&gt;=1,"完了",IF(O176&gt;=N176,"順調","遅延"))))</f>
        <v/>
      </c>
      <c r="R176" s="97">
        <f>D176+K176</f>
        <v/>
      </c>
      <c r="S176" s="102">
        <f>E176+L176</f>
        <v/>
      </c>
    </row>
    <row r="177">
      <c r="A177" s="94" t="n">
        <v>46169</v>
      </c>
      <c r="B177" s="95">
        <f>CHOOSE(WEEKDAY(A177,2),"月","火","水","木","金","土","日")</f>
        <v/>
      </c>
      <c r="C177" s="96">
        <f>IF(OR(WEEKDAY(A177,2)&gt;=6,COUNTIF(祝日マスタ!$A:$A,A177)&gt;0),"非営業日","営業日")</f>
        <v/>
      </c>
      <c r="D177" s="97">
        <f>COUNTIFS(明細!$F$5:$F$363,A177,明細!$D$5:$D$363,"オンライン")</f>
        <v/>
      </c>
      <c r="E177" s="98">
        <f>COUNTIFS(明細!$G$5:$G$363,A177,明細!$D$5:$D$363,"オンライン")</f>
        <v/>
      </c>
      <c r="F177" s="99">
        <f>IF(D177=0,0,E177/D177)</f>
        <v/>
      </c>
      <c r="G177" s="100">
        <f>SUM($D$6:D177)</f>
        <v/>
      </c>
      <c r="H177" s="98">
        <f>SUM($E$6:E177)</f>
        <v/>
      </c>
      <c r="I177" s="99">
        <f>IF(G177=0,"",H177/G177)</f>
        <v/>
      </c>
      <c r="J177" s="101">
        <f>IF(A177&gt;$S$2,"予定",IF(G177=0,"－",IF(I177&gt;=1,"完了",IF(H177&gt;=G177,"順調","遅延"))))</f>
        <v/>
      </c>
      <c r="K177" s="97">
        <f>COUNTIFS(明細!$I$5:$I$363,A177,明細!$D$5:$D$363,"オンライン")</f>
        <v/>
      </c>
      <c r="L177" s="98">
        <f>COUNTIFS(明細!$J$5:$J$363,A177,明細!$D$5:$D$363,"オンライン")</f>
        <v/>
      </c>
      <c r="M177" s="99">
        <f>IF(K177=0,0,L177/K177)</f>
        <v/>
      </c>
      <c r="N177" s="100">
        <f>SUM($K$6:K177)</f>
        <v/>
      </c>
      <c r="O177" s="98">
        <f>SUM($L$6:L177)</f>
        <v/>
      </c>
      <c r="P177" s="99">
        <f>IF(N177=0,"",O177/N177)</f>
        <v/>
      </c>
      <c r="Q177" s="101">
        <f>IF(A177&gt;$S$2,"予定",IF(N177=0,"－",IF(P177&gt;=1,"完了",IF(O177&gt;=N177,"順調","遅延"))))</f>
        <v/>
      </c>
      <c r="R177" s="97">
        <f>D177+K177</f>
        <v/>
      </c>
      <c r="S177" s="102">
        <f>E177+L177</f>
        <v/>
      </c>
    </row>
    <row r="178">
      <c r="A178" s="94" t="n">
        <v>46170</v>
      </c>
      <c r="B178" s="95">
        <f>CHOOSE(WEEKDAY(A178,2),"月","火","水","木","金","土","日")</f>
        <v/>
      </c>
      <c r="C178" s="96">
        <f>IF(OR(WEEKDAY(A178,2)&gt;=6,COUNTIF(祝日マスタ!$A:$A,A178)&gt;0),"非営業日","営業日")</f>
        <v/>
      </c>
      <c r="D178" s="97">
        <f>COUNTIFS(明細!$F$5:$F$363,A178,明細!$D$5:$D$363,"オンライン")</f>
        <v/>
      </c>
      <c r="E178" s="98">
        <f>COUNTIFS(明細!$G$5:$G$363,A178,明細!$D$5:$D$363,"オンライン")</f>
        <v/>
      </c>
      <c r="F178" s="99">
        <f>IF(D178=0,0,E178/D178)</f>
        <v/>
      </c>
      <c r="G178" s="100">
        <f>SUM($D$6:D178)</f>
        <v/>
      </c>
      <c r="H178" s="98">
        <f>SUM($E$6:E178)</f>
        <v/>
      </c>
      <c r="I178" s="99">
        <f>IF(G178=0,"",H178/G178)</f>
        <v/>
      </c>
      <c r="J178" s="101">
        <f>IF(A178&gt;$S$2,"予定",IF(G178=0,"－",IF(I178&gt;=1,"完了",IF(H178&gt;=G178,"順調","遅延"))))</f>
        <v/>
      </c>
      <c r="K178" s="97">
        <f>COUNTIFS(明細!$I$5:$I$363,A178,明細!$D$5:$D$363,"オンライン")</f>
        <v/>
      </c>
      <c r="L178" s="98">
        <f>COUNTIFS(明細!$J$5:$J$363,A178,明細!$D$5:$D$363,"オンライン")</f>
        <v/>
      </c>
      <c r="M178" s="99">
        <f>IF(K178=0,0,L178/K178)</f>
        <v/>
      </c>
      <c r="N178" s="100">
        <f>SUM($K$6:K178)</f>
        <v/>
      </c>
      <c r="O178" s="98">
        <f>SUM($L$6:L178)</f>
        <v/>
      </c>
      <c r="P178" s="99">
        <f>IF(N178=0,"",O178/N178)</f>
        <v/>
      </c>
      <c r="Q178" s="101">
        <f>IF(A178&gt;$S$2,"予定",IF(N178=0,"－",IF(P178&gt;=1,"完了",IF(O178&gt;=N178,"順調","遅延"))))</f>
        <v/>
      </c>
      <c r="R178" s="97">
        <f>D178+K178</f>
        <v/>
      </c>
      <c r="S178" s="102">
        <f>E178+L178</f>
        <v/>
      </c>
    </row>
    <row r="179">
      <c r="A179" s="94" t="n">
        <v>46171</v>
      </c>
      <c r="B179" s="95">
        <f>CHOOSE(WEEKDAY(A179,2),"月","火","水","木","金","土","日")</f>
        <v/>
      </c>
      <c r="C179" s="96">
        <f>IF(OR(WEEKDAY(A179,2)&gt;=6,COUNTIF(祝日マスタ!$A:$A,A179)&gt;0),"非営業日","営業日")</f>
        <v/>
      </c>
      <c r="D179" s="97">
        <f>COUNTIFS(明細!$F$5:$F$363,A179,明細!$D$5:$D$363,"オンライン")</f>
        <v/>
      </c>
      <c r="E179" s="98">
        <f>COUNTIFS(明細!$G$5:$G$363,A179,明細!$D$5:$D$363,"オンライン")</f>
        <v/>
      </c>
      <c r="F179" s="99">
        <f>IF(D179=0,0,E179/D179)</f>
        <v/>
      </c>
      <c r="G179" s="100">
        <f>SUM($D$6:D179)</f>
        <v/>
      </c>
      <c r="H179" s="98">
        <f>SUM($E$6:E179)</f>
        <v/>
      </c>
      <c r="I179" s="99">
        <f>IF(G179=0,"",H179/G179)</f>
        <v/>
      </c>
      <c r="J179" s="101">
        <f>IF(A179&gt;$S$2,"予定",IF(G179=0,"－",IF(I179&gt;=1,"完了",IF(H179&gt;=G179,"順調","遅延"))))</f>
        <v/>
      </c>
      <c r="K179" s="97">
        <f>COUNTIFS(明細!$I$5:$I$363,A179,明細!$D$5:$D$363,"オンライン")</f>
        <v/>
      </c>
      <c r="L179" s="98">
        <f>COUNTIFS(明細!$J$5:$J$363,A179,明細!$D$5:$D$363,"オンライン")</f>
        <v/>
      </c>
      <c r="M179" s="99">
        <f>IF(K179=0,0,L179/K179)</f>
        <v/>
      </c>
      <c r="N179" s="100">
        <f>SUM($K$6:K179)</f>
        <v/>
      </c>
      <c r="O179" s="98">
        <f>SUM($L$6:L179)</f>
        <v/>
      </c>
      <c r="P179" s="99">
        <f>IF(N179=0,"",O179/N179)</f>
        <v/>
      </c>
      <c r="Q179" s="101">
        <f>IF(A179&gt;$S$2,"予定",IF(N179=0,"－",IF(P179&gt;=1,"完了",IF(O179&gt;=N179,"順調","遅延"))))</f>
        <v/>
      </c>
      <c r="R179" s="97">
        <f>D179+K179</f>
        <v/>
      </c>
      <c r="S179" s="102">
        <f>E179+L179</f>
        <v/>
      </c>
    </row>
    <row r="180">
      <c r="A180" s="94" t="n">
        <v>46172</v>
      </c>
      <c r="B180" s="95">
        <f>CHOOSE(WEEKDAY(A180,2),"月","火","水","木","金","土","日")</f>
        <v/>
      </c>
      <c r="C180" s="96">
        <f>IF(OR(WEEKDAY(A180,2)&gt;=6,COUNTIF(祝日マスタ!$A:$A,A180)&gt;0),"非営業日","営業日")</f>
        <v/>
      </c>
      <c r="D180" s="97">
        <f>COUNTIFS(明細!$F$5:$F$363,A180,明細!$D$5:$D$363,"オンライン")</f>
        <v/>
      </c>
      <c r="E180" s="98">
        <f>COUNTIFS(明細!$G$5:$G$363,A180,明細!$D$5:$D$363,"オンライン")</f>
        <v/>
      </c>
      <c r="F180" s="99">
        <f>IF(D180=0,0,E180/D180)</f>
        <v/>
      </c>
      <c r="G180" s="100">
        <f>SUM($D$6:D180)</f>
        <v/>
      </c>
      <c r="H180" s="98">
        <f>SUM($E$6:E180)</f>
        <v/>
      </c>
      <c r="I180" s="99">
        <f>IF(G180=0,"",H180/G180)</f>
        <v/>
      </c>
      <c r="J180" s="101">
        <f>IF(A180&gt;$S$2,"予定",IF(G180=0,"－",IF(I180&gt;=1,"完了",IF(H180&gt;=G180,"順調","遅延"))))</f>
        <v/>
      </c>
      <c r="K180" s="97">
        <f>COUNTIFS(明細!$I$5:$I$363,A180,明細!$D$5:$D$363,"オンライン")</f>
        <v/>
      </c>
      <c r="L180" s="98">
        <f>COUNTIFS(明細!$J$5:$J$363,A180,明細!$D$5:$D$363,"オンライン")</f>
        <v/>
      </c>
      <c r="M180" s="99">
        <f>IF(K180=0,0,L180/K180)</f>
        <v/>
      </c>
      <c r="N180" s="100">
        <f>SUM($K$6:K180)</f>
        <v/>
      </c>
      <c r="O180" s="98">
        <f>SUM($L$6:L180)</f>
        <v/>
      </c>
      <c r="P180" s="99">
        <f>IF(N180=0,"",O180/N180)</f>
        <v/>
      </c>
      <c r="Q180" s="101">
        <f>IF(A180&gt;$S$2,"予定",IF(N180=0,"－",IF(P180&gt;=1,"完了",IF(O180&gt;=N180,"順調","遅延"))))</f>
        <v/>
      </c>
      <c r="R180" s="97">
        <f>D180+K180</f>
        <v/>
      </c>
      <c r="S180" s="102">
        <f>E180+L180</f>
        <v/>
      </c>
    </row>
    <row r="181">
      <c r="A181" s="94" t="n">
        <v>46173</v>
      </c>
      <c r="B181" s="95">
        <f>CHOOSE(WEEKDAY(A181,2),"月","火","水","木","金","土","日")</f>
        <v/>
      </c>
      <c r="C181" s="96">
        <f>IF(OR(WEEKDAY(A181,2)&gt;=6,COUNTIF(祝日マスタ!$A:$A,A181)&gt;0),"非営業日","営業日")</f>
        <v/>
      </c>
      <c r="D181" s="97">
        <f>COUNTIFS(明細!$F$5:$F$363,A181,明細!$D$5:$D$363,"オンライン")</f>
        <v/>
      </c>
      <c r="E181" s="98">
        <f>COUNTIFS(明細!$G$5:$G$363,A181,明細!$D$5:$D$363,"オンライン")</f>
        <v/>
      </c>
      <c r="F181" s="99">
        <f>IF(D181=0,0,E181/D181)</f>
        <v/>
      </c>
      <c r="G181" s="100">
        <f>SUM($D$6:D181)</f>
        <v/>
      </c>
      <c r="H181" s="98">
        <f>SUM($E$6:E181)</f>
        <v/>
      </c>
      <c r="I181" s="99">
        <f>IF(G181=0,"",H181/G181)</f>
        <v/>
      </c>
      <c r="J181" s="101">
        <f>IF(A181&gt;$S$2,"予定",IF(G181=0,"－",IF(I181&gt;=1,"完了",IF(H181&gt;=G181,"順調","遅延"))))</f>
        <v/>
      </c>
      <c r="K181" s="97">
        <f>COUNTIFS(明細!$I$5:$I$363,A181,明細!$D$5:$D$363,"オンライン")</f>
        <v/>
      </c>
      <c r="L181" s="98">
        <f>COUNTIFS(明細!$J$5:$J$363,A181,明細!$D$5:$D$363,"オンライン")</f>
        <v/>
      </c>
      <c r="M181" s="99">
        <f>IF(K181=0,0,L181/K181)</f>
        <v/>
      </c>
      <c r="N181" s="100">
        <f>SUM($K$6:K181)</f>
        <v/>
      </c>
      <c r="O181" s="98">
        <f>SUM($L$6:L181)</f>
        <v/>
      </c>
      <c r="P181" s="99">
        <f>IF(N181=0,"",O181/N181)</f>
        <v/>
      </c>
      <c r="Q181" s="101">
        <f>IF(A181&gt;$S$2,"予定",IF(N181=0,"－",IF(P181&gt;=1,"完了",IF(O181&gt;=N181,"順調","遅延"))))</f>
        <v/>
      </c>
      <c r="R181" s="97">
        <f>D181+K181</f>
        <v/>
      </c>
      <c r="S181" s="102">
        <f>E181+L181</f>
        <v/>
      </c>
    </row>
    <row r="182">
      <c r="A182" s="94" t="n">
        <v>46174</v>
      </c>
      <c r="B182" s="95">
        <f>CHOOSE(WEEKDAY(A182,2),"月","火","水","木","金","土","日")</f>
        <v/>
      </c>
      <c r="C182" s="96">
        <f>IF(OR(WEEKDAY(A182,2)&gt;=6,COUNTIF(祝日マスタ!$A:$A,A182)&gt;0),"非営業日","営業日")</f>
        <v/>
      </c>
      <c r="D182" s="97">
        <f>COUNTIFS(明細!$F$5:$F$363,A182,明細!$D$5:$D$363,"オンライン")</f>
        <v/>
      </c>
      <c r="E182" s="98">
        <f>COUNTIFS(明細!$G$5:$G$363,A182,明細!$D$5:$D$363,"オンライン")</f>
        <v/>
      </c>
      <c r="F182" s="99">
        <f>IF(D182=0,0,E182/D182)</f>
        <v/>
      </c>
      <c r="G182" s="100">
        <f>SUM($D$6:D182)</f>
        <v/>
      </c>
      <c r="H182" s="98">
        <f>SUM($E$6:E182)</f>
        <v/>
      </c>
      <c r="I182" s="99">
        <f>IF(G182=0,"",H182/G182)</f>
        <v/>
      </c>
      <c r="J182" s="101">
        <f>IF(A182&gt;$S$2,"予定",IF(G182=0,"－",IF(I182&gt;=1,"完了",IF(H182&gt;=G182,"順調","遅延"))))</f>
        <v/>
      </c>
      <c r="K182" s="97">
        <f>COUNTIFS(明細!$I$5:$I$363,A182,明細!$D$5:$D$363,"オンライン")</f>
        <v/>
      </c>
      <c r="L182" s="98">
        <f>COUNTIFS(明細!$J$5:$J$363,A182,明細!$D$5:$D$363,"オンライン")</f>
        <v/>
      </c>
      <c r="M182" s="99">
        <f>IF(K182=0,0,L182/K182)</f>
        <v/>
      </c>
      <c r="N182" s="100">
        <f>SUM($K$6:K182)</f>
        <v/>
      </c>
      <c r="O182" s="98">
        <f>SUM($L$6:L182)</f>
        <v/>
      </c>
      <c r="P182" s="99">
        <f>IF(N182=0,"",O182/N182)</f>
        <v/>
      </c>
      <c r="Q182" s="101">
        <f>IF(A182&gt;$S$2,"予定",IF(N182=0,"－",IF(P182&gt;=1,"完了",IF(O182&gt;=N182,"順調","遅延"))))</f>
        <v/>
      </c>
      <c r="R182" s="97">
        <f>D182+K182</f>
        <v/>
      </c>
      <c r="S182" s="102">
        <f>E182+L182</f>
        <v/>
      </c>
    </row>
    <row r="183">
      <c r="A183" s="94" t="n">
        <v>46175</v>
      </c>
      <c r="B183" s="95">
        <f>CHOOSE(WEEKDAY(A183,2),"月","火","水","木","金","土","日")</f>
        <v/>
      </c>
      <c r="C183" s="96">
        <f>IF(OR(WEEKDAY(A183,2)&gt;=6,COUNTIF(祝日マスタ!$A:$A,A183)&gt;0),"非営業日","営業日")</f>
        <v/>
      </c>
      <c r="D183" s="97">
        <f>COUNTIFS(明細!$F$5:$F$363,A183,明細!$D$5:$D$363,"オンライン")</f>
        <v/>
      </c>
      <c r="E183" s="98">
        <f>COUNTIFS(明細!$G$5:$G$363,A183,明細!$D$5:$D$363,"オンライン")</f>
        <v/>
      </c>
      <c r="F183" s="99">
        <f>IF(D183=0,0,E183/D183)</f>
        <v/>
      </c>
      <c r="G183" s="100">
        <f>SUM($D$6:D183)</f>
        <v/>
      </c>
      <c r="H183" s="98">
        <f>SUM($E$6:E183)</f>
        <v/>
      </c>
      <c r="I183" s="99">
        <f>IF(G183=0,"",H183/G183)</f>
        <v/>
      </c>
      <c r="J183" s="101">
        <f>IF(A183&gt;$S$2,"予定",IF(G183=0,"－",IF(I183&gt;=1,"完了",IF(H183&gt;=G183,"順調","遅延"))))</f>
        <v/>
      </c>
      <c r="K183" s="97">
        <f>COUNTIFS(明細!$I$5:$I$363,A183,明細!$D$5:$D$363,"オンライン")</f>
        <v/>
      </c>
      <c r="L183" s="98">
        <f>COUNTIFS(明細!$J$5:$J$363,A183,明細!$D$5:$D$363,"オンライン")</f>
        <v/>
      </c>
      <c r="M183" s="99">
        <f>IF(K183=0,0,L183/K183)</f>
        <v/>
      </c>
      <c r="N183" s="100">
        <f>SUM($K$6:K183)</f>
        <v/>
      </c>
      <c r="O183" s="98">
        <f>SUM($L$6:L183)</f>
        <v/>
      </c>
      <c r="P183" s="99">
        <f>IF(N183=0,"",O183/N183)</f>
        <v/>
      </c>
      <c r="Q183" s="101">
        <f>IF(A183&gt;$S$2,"予定",IF(N183=0,"－",IF(P183&gt;=1,"完了",IF(O183&gt;=N183,"順調","遅延"))))</f>
        <v/>
      </c>
      <c r="R183" s="97">
        <f>D183+K183</f>
        <v/>
      </c>
      <c r="S183" s="102">
        <f>E183+L183</f>
        <v/>
      </c>
    </row>
    <row r="184">
      <c r="A184" s="94" t="n">
        <v>46176</v>
      </c>
      <c r="B184" s="95">
        <f>CHOOSE(WEEKDAY(A184,2),"月","火","水","木","金","土","日")</f>
        <v/>
      </c>
      <c r="C184" s="96">
        <f>IF(OR(WEEKDAY(A184,2)&gt;=6,COUNTIF(祝日マスタ!$A:$A,A184)&gt;0),"非営業日","営業日")</f>
        <v/>
      </c>
      <c r="D184" s="97">
        <f>COUNTIFS(明細!$F$5:$F$363,A184,明細!$D$5:$D$363,"オンライン")</f>
        <v/>
      </c>
      <c r="E184" s="98">
        <f>COUNTIFS(明細!$G$5:$G$363,A184,明細!$D$5:$D$363,"オンライン")</f>
        <v/>
      </c>
      <c r="F184" s="99">
        <f>IF(D184=0,0,E184/D184)</f>
        <v/>
      </c>
      <c r="G184" s="100">
        <f>SUM($D$6:D184)</f>
        <v/>
      </c>
      <c r="H184" s="98">
        <f>SUM($E$6:E184)</f>
        <v/>
      </c>
      <c r="I184" s="99">
        <f>IF(G184=0,"",H184/G184)</f>
        <v/>
      </c>
      <c r="J184" s="101">
        <f>IF(A184&gt;$S$2,"予定",IF(G184=0,"－",IF(I184&gt;=1,"完了",IF(H184&gt;=G184,"順調","遅延"))))</f>
        <v/>
      </c>
      <c r="K184" s="97">
        <f>COUNTIFS(明細!$I$5:$I$363,A184,明細!$D$5:$D$363,"オンライン")</f>
        <v/>
      </c>
      <c r="L184" s="98">
        <f>COUNTIFS(明細!$J$5:$J$363,A184,明細!$D$5:$D$363,"オンライン")</f>
        <v/>
      </c>
      <c r="M184" s="99">
        <f>IF(K184=0,0,L184/K184)</f>
        <v/>
      </c>
      <c r="N184" s="100">
        <f>SUM($K$6:K184)</f>
        <v/>
      </c>
      <c r="O184" s="98">
        <f>SUM($L$6:L184)</f>
        <v/>
      </c>
      <c r="P184" s="99">
        <f>IF(N184=0,"",O184/N184)</f>
        <v/>
      </c>
      <c r="Q184" s="101">
        <f>IF(A184&gt;$S$2,"予定",IF(N184=0,"－",IF(P184&gt;=1,"完了",IF(O184&gt;=N184,"順調","遅延"))))</f>
        <v/>
      </c>
      <c r="R184" s="97">
        <f>D184+K184</f>
        <v/>
      </c>
      <c r="S184" s="102">
        <f>E184+L184</f>
        <v/>
      </c>
    </row>
    <row r="185">
      <c r="A185" s="94" t="n">
        <v>46177</v>
      </c>
      <c r="B185" s="95">
        <f>CHOOSE(WEEKDAY(A185,2),"月","火","水","木","金","土","日")</f>
        <v/>
      </c>
      <c r="C185" s="96">
        <f>IF(OR(WEEKDAY(A185,2)&gt;=6,COUNTIF(祝日マスタ!$A:$A,A185)&gt;0),"非営業日","営業日")</f>
        <v/>
      </c>
      <c r="D185" s="97">
        <f>COUNTIFS(明細!$F$5:$F$363,A185,明細!$D$5:$D$363,"オンライン")</f>
        <v/>
      </c>
      <c r="E185" s="98">
        <f>COUNTIFS(明細!$G$5:$G$363,A185,明細!$D$5:$D$363,"オンライン")</f>
        <v/>
      </c>
      <c r="F185" s="99">
        <f>IF(D185=0,0,E185/D185)</f>
        <v/>
      </c>
      <c r="G185" s="100">
        <f>SUM($D$6:D185)</f>
        <v/>
      </c>
      <c r="H185" s="98">
        <f>SUM($E$6:E185)</f>
        <v/>
      </c>
      <c r="I185" s="99">
        <f>IF(G185=0,"",H185/G185)</f>
        <v/>
      </c>
      <c r="J185" s="101">
        <f>IF(A185&gt;$S$2,"予定",IF(G185=0,"－",IF(I185&gt;=1,"完了",IF(H185&gt;=G185,"順調","遅延"))))</f>
        <v/>
      </c>
      <c r="K185" s="97">
        <f>COUNTIFS(明細!$I$5:$I$363,A185,明細!$D$5:$D$363,"オンライン")</f>
        <v/>
      </c>
      <c r="L185" s="98">
        <f>COUNTIFS(明細!$J$5:$J$363,A185,明細!$D$5:$D$363,"オンライン")</f>
        <v/>
      </c>
      <c r="M185" s="99">
        <f>IF(K185=0,0,L185/K185)</f>
        <v/>
      </c>
      <c r="N185" s="100">
        <f>SUM($K$6:K185)</f>
        <v/>
      </c>
      <c r="O185" s="98">
        <f>SUM($L$6:L185)</f>
        <v/>
      </c>
      <c r="P185" s="99">
        <f>IF(N185=0,"",O185/N185)</f>
        <v/>
      </c>
      <c r="Q185" s="101">
        <f>IF(A185&gt;$S$2,"予定",IF(N185=0,"－",IF(P185&gt;=1,"完了",IF(O185&gt;=N185,"順調","遅延"))))</f>
        <v/>
      </c>
      <c r="R185" s="97">
        <f>D185+K185</f>
        <v/>
      </c>
      <c r="S185" s="102">
        <f>E185+L185</f>
        <v/>
      </c>
    </row>
    <row r="186">
      <c r="A186" s="94" t="n">
        <v>46178</v>
      </c>
      <c r="B186" s="95">
        <f>CHOOSE(WEEKDAY(A186,2),"月","火","水","木","金","土","日")</f>
        <v/>
      </c>
      <c r="C186" s="96">
        <f>IF(OR(WEEKDAY(A186,2)&gt;=6,COUNTIF(祝日マスタ!$A:$A,A186)&gt;0),"非営業日","営業日")</f>
        <v/>
      </c>
      <c r="D186" s="97">
        <f>COUNTIFS(明細!$F$5:$F$363,A186,明細!$D$5:$D$363,"オンライン")</f>
        <v/>
      </c>
      <c r="E186" s="98">
        <f>COUNTIFS(明細!$G$5:$G$363,A186,明細!$D$5:$D$363,"オンライン")</f>
        <v/>
      </c>
      <c r="F186" s="99">
        <f>IF(D186=0,0,E186/D186)</f>
        <v/>
      </c>
      <c r="G186" s="100">
        <f>SUM($D$6:D186)</f>
        <v/>
      </c>
      <c r="H186" s="98">
        <f>SUM($E$6:E186)</f>
        <v/>
      </c>
      <c r="I186" s="99">
        <f>IF(G186=0,"",H186/G186)</f>
        <v/>
      </c>
      <c r="J186" s="101">
        <f>IF(A186&gt;$S$2,"予定",IF(G186=0,"－",IF(I186&gt;=1,"完了",IF(H186&gt;=G186,"順調","遅延"))))</f>
        <v/>
      </c>
      <c r="K186" s="97">
        <f>COUNTIFS(明細!$I$5:$I$363,A186,明細!$D$5:$D$363,"オンライン")</f>
        <v/>
      </c>
      <c r="L186" s="98">
        <f>COUNTIFS(明細!$J$5:$J$363,A186,明細!$D$5:$D$363,"オンライン")</f>
        <v/>
      </c>
      <c r="M186" s="99">
        <f>IF(K186=0,0,L186/K186)</f>
        <v/>
      </c>
      <c r="N186" s="100">
        <f>SUM($K$6:K186)</f>
        <v/>
      </c>
      <c r="O186" s="98">
        <f>SUM($L$6:L186)</f>
        <v/>
      </c>
      <c r="P186" s="99">
        <f>IF(N186=0,"",O186/N186)</f>
        <v/>
      </c>
      <c r="Q186" s="101">
        <f>IF(A186&gt;$S$2,"予定",IF(N186=0,"－",IF(P186&gt;=1,"完了",IF(O186&gt;=N186,"順調","遅延"))))</f>
        <v/>
      </c>
      <c r="R186" s="97">
        <f>D186+K186</f>
        <v/>
      </c>
      <c r="S186" s="102">
        <f>E186+L186</f>
        <v/>
      </c>
    </row>
    <row r="187">
      <c r="A187" s="94" t="n">
        <v>46179</v>
      </c>
      <c r="B187" s="95">
        <f>CHOOSE(WEEKDAY(A187,2),"月","火","水","木","金","土","日")</f>
        <v/>
      </c>
      <c r="C187" s="96">
        <f>IF(OR(WEEKDAY(A187,2)&gt;=6,COUNTIF(祝日マスタ!$A:$A,A187)&gt;0),"非営業日","営業日")</f>
        <v/>
      </c>
      <c r="D187" s="97">
        <f>COUNTIFS(明細!$F$5:$F$363,A187,明細!$D$5:$D$363,"オンライン")</f>
        <v/>
      </c>
      <c r="E187" s="98">
        <f>COUNTIFS(明細!$G$5:$G$363,A187,明細!$D$5:$D$363,"オンライン")</f>
        <v/>
      </c>
      <c r="F187" s="99">
        <f>IF(D187=0,0,E187/D187)</f>
        <v/>
      </c>
      <c r="G187" s="100">
        <f>SUM($D$6:D187)</f>
        <v/>
      </c>
      <c r="H187" s="98">
        <f>SUM($E$6:E187)</f>
        <v/>
      </c>
      <c r="I187" s="99">
        <f>IF(G187=0,"",H187/G187)</f>
        <v/>
      </c>
      <c r="J187" s="101">
        <f>IF(A187&gt;$S$2,"予定",IF(G187=0,"－",IF(I187&gt;=1,"完了",IF(H187&gt;=G187,"順調","遅延"))))</f>
        <v/>
      </c>
      <c r="K187" s="97">
        <f>COUNTIFS(明細!$I$5:$I$363,A187,明細!$D$5:$D$363,"オンライン")</f>
        <v/>
      </c>
      <c r="L187" s="98">
        <f>COUNTIFS(明細!$J$5:$J$363,A187,明細!$D$5:$D$363,"オンライン")</f>
        <v/>
      </c>
      <c r="M187" s="99">
        <f>IF(K187=0,0,L187/K187)</f>
        <v/>
      </c>
      <c r="N187" s="100">
        <f>SUM($K$6:K187)</f>
        <v/>
      </c>
      <c r="O187" s="98">
        <f>SUM($L$6:L187)</f>
        <v/>
      </c>
      <c r="P187" s="99">
        <f>IF(N187=0,"",O187/N187)</f>
        <v/>
      </c>
      <c r="Q187" s="101">
        <f>IF(A187&gt;$S$2,"予定",IF(N187=0,"－",IF(P187&gt;=1,"完了",IF(O187&gt;=N187,"順調","遅延"))))</f>
        <v/>
      </c>
      <c r="R187" s="97">
        <f>D187+K187</f>
        <v/>
      </c>
      <c r="S187" s="102">
        <f>E187+L187</f>
        <v/>
      </c>
    </row>
    <row r="188">
      <c r="A188" s="94" t="n">
        <v>46180</v>
      </c>
      <c r="B188" s="95">
        <f>CHOOSE(WEEKDAY(A188,2),"月","火","水","木","金","土","日")</f>
        <v/>
      </c>
      <c r="C188" s="96">
        <f>IF(OR(WEEKDAY(A188,2)&gt;=6,COUNTIF(祝日マスタ!$A:$A,A188)&gt;0),"非営業日","営業日")</f>
        <v/>
      </c>
      <c r="D188" s="97">
        <f>COUNTIFS(明細!$F$5:$F$363,A188,明細!$D$5:$D$363,"オンライン")</f>
        <v/>
      </c>
      <c r="E188" s="98">
        <f>COUNTIFS(明細!$G$5:$G$363,A188,明細!$D$5:$D$363,"オンライン")</f>
        <v/>
      </c>
      <c r="F188" s="99">
        <f>IF(D188=0,0,E188/D188)</f>
        <v/>
      </c>
      <c r="G188" s="100">
        <f>SUM($D$6:D188)</f>
        <v/>
      </c>
      <c r="H188" s="98">
        <f>SUM($E$6:E188)</f>
        <v/>
      </c>
      <c r="I188" s="99">
        <f>IF(G188=0,"",H188/G188)</f>
        <v/>
      </c>
      <c r="J188" s="101">
        <f>IF(A188&gt;$S$2,"予定",IF(G188=0,"－",IF(I188&gt;=1,"完了",IF(H188&gt;=G188,"順調","遅延"))))</f>
        <v/>
      </c>
      <c r="K188" s="97">
        <f>COUNTIFS(明細!$I$5:$I$363,A188,明細!$D$5:$D$363,"オンライン")</f>
        <v/>
      </c>
      <c r="L188" s="98">
        <f>COUNTIFS(明細!$J$5:$J$363,A188,明細!$D$5:$D$363,"オンライン")</f>
        <v/>
      </c>
      <c r="M188" s="99">
        <f>IF(K188=0,0,L188/K188)</f>
        <v/>
      </c>
      <c r="N188" s="100">
        <f>SUM($K$6:K188)</f>
        <v/>
      </c>
      <c r="O188" s="98">
        <f>SUM($L$6:L188)</f>
        <v/>
      </c>
      <c r="P188" s="99">
        <f>IF(N188=0,"",O188/N188)</f>
        <v/>
      </c>
      <c r="Q188" s="101">
        <f>IF(A188&gt;$S$2,"予定",IF(N188=0,"－",IF(P188&gt;=1,"完了",IF(O188&gt;=N188,"順調","遅延"))))</f>
        <v/>
      </c>
      <c r="R188" s="97">
        <f>D188+K188</f>
        <v/>
      </c>
      <c r="S188" s="102">
        <f>E188+L188</f>
        <v/>
      </c>
    </row>
    <row r="189">
      <c r="A189" s="94" t="n">
        <v>46181</v>
      </c>
      <c r="B189" s="95">
        <f>CHOOSE(WEEKDAY(A189,2),"月","火","水","木","金","土","日")</f>
        <v/>
      </c>
      <c r="C189" s="96">
        <f>IF(OR(WEEKDAY(A189,2)&gt;=6,COUNTIF(祝日マスタ!$A:$A,A189)&gt;0),"非営業日","営業日")</f>
        <v/>
      </c>
      <c r="D189" s="97">
        <f>COUNTIFS(明細!$F$5:$F$363,A189,明細!$D$5:$D$363,"オンライン")</f>
        <v/>
      </c>
      <c r="E189" s="98">
        <f>COUNTIFS(明細!$G$5:$G$363,A189,明細!$D$5:$D$363,"オンライン")</f>
        <v/>
      </c>
      <c r="F189" s="99">
        <f>IF(D189=0,0,E189/D189)</f>
        <v/>
      </c>
      <c r="G189" s="100">
        <f>SUM($D$6:D189)</f>
        <v/>
      </c>
      <c r="H189" s="98">
        <f>SUM($E$6:E189)</f>
        <v/>
      </c>
      <c r="I189" s="99">
        <f>IF(G189=0,"",H189/G189)</f>
        <v/>
      </c>
      <c r="J189" s="101">
        <f>IF(A189&gt;$S$2,"予定",IF(G189=0,"－",IF(I189&gt;=1,"完了",IF(H189&gt;=G189,"順調","遅延"))))</f>
        <v/>
      </c>
      <c r="K189" s="97">
        <f>COUNTIFS(明細!$I$5:$I$363,A189,明細!$D$5:$D$363,"オンライン")</f>
        <v/>
      </c>
      <c r="L189" s="98">
        <f>COUNTIFS(明細!$J$5:$J$363,A189,明細!$D$5:$D$363,"オンライン")</f>
        <v/>
      </c>
      <c r="M189" s="99">
        <f>IF(K189=0,0,L189/K189)</f>
        <v/>
      </c>
      <c r="N189" s="100">
        <f>SUM($K$6:K189)</f>
        <v/>
      </c>
      <c r="O189" s="98">
        <f>SUM($L$6:L189)</f>
        <v/>
      </c>
      <c r="P189" s="99">
        <f>IF(N189=0,"",O189/N189)</f>
        <v/>
      </c>
      <c r="Q189" s="101">
        <f>IF(A189&gt;$S$2,"予定",IF(N189=0,"－",IF(P189&gt;=1,"完了",IF(O189&gt;=N189,"順調","遅延"))))</f>
        <v/>
      </c>
      <c r="R189" s="97">
        <f>D189+K189</f>
        <v/>
      </c>
      <c r="S189" s="102">
        <f>E189+L189</f>
        <v/>
      </c>
    </row>
  </sheetData>
  <mergeCells count="5">
    <mergeCell ref="D3:J3"/>
    <mergeCell ref="K3:Q3"/>
    <mergeCell ref="A1:S1"/>
    <mergeCell ref="A3:C3"/>
    <mergeCell ref="R3:S3"/>
  </mergeCells>
  <conditionalFormatting sqref="J5:J189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89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89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89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89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ADC"/>
    <outlinePr summaryBelow="1" summaryRight="1"/>
    <pageSetUpPr/>
  </sheetPr>
  <dimension ref="A1:S18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テスト進捗サマリー（バッチ）</t>
        </is>
      </c>
    </row>
    <row r="2" ht="22" customHeight="1">
      <c r="A2" s="68" t="inlineStr">
        <is>
          <t>集計期間: 2025/12/11 ～ 2026/06/05 (177日間)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SUM(D6:D182)</f>
        <v/>
      </c>
      <c r="E5" s="91">
        <f>SUM(E6:E182)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SUM(K6:K182)</f>
        <v/>
      </c>
      <c r="L5" s="91">
        <f>SUM(L6:L182)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46002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COUNTIFS(明細!$F$5:$F$363,A6,明細!$D$5:$D$363,"バッチ")</f>
        <v/>
      </c>
      <c r="E6" s="98">
        <f>COUNTIFS(明細!$G$5:$G$363,A6,明細!$D$5:$D$363,"バッチ")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COUNTIFS(明細!$I$5:$I$363,A6,明細!$D$5:$D$363,"バッチ")</f>
        <v/>
      </c>
      <c r="L6" s="98">
        <f>COUNTIFS(明細!$J$5:$J$363,A6,明細!$D$5:$D$363,"バッチ")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46003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COUNTIFS(明細!$F$5:$F$363,A7,明細!$D$5:$D$363,"バッチ")</f>
        <v/>
      </c>
      <c r="E7" s="98">
        <f>COUNTIFS(明細!$G$5:$G$363,A7,明細!$D$5:$D$363,"バッチ")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COUNTIFS(明細!$I$5:$I$363,A7,明細!$D$5:$D$363,"バッチ")</f>
        <v/>
      </c>
      <c r="L7" s="98">
        <f>COUNTIFS(明細!$J$5:$J$363,A7,明細!$D$5:$D$363,"バッチ")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46004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COUNTIFS(明細!$F$5:$F$363,A8,明細!$D$5:$D$363,"バッチ")</f>
        <v/>
      </c>
      <c r="E8" s="98">
        <f>COUNTIFS(明細!$G$5:$G$363,A8,明細!$D$5:$D$363,"バッチ")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COUNTIFS(明細!$I$5:$I$363,A8,明細!$D$5:$D$363,"バッチ")</f>
        <v/>
      </c>
      <c r="L8" s="98">
        <f>COUNTIFS(明細!$J$5:$J$363,A8,明細!$D$5:$D$363,"バッチ")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46005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COUNTIFS(明細!$F$5:$F$363,A9,明細!$D$5:$D$363,"バッチ")</f>
        <v/>
      </c>
      <c r="E9" s="98">
        <f>COUNTIFS(明細!$G$5:$G$363,A9,明細!$D$5:$D$363,"バッチ")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COUNTIFS(明細!$I$5:$I$363,A9,明細!$D$5:$D$363,"バッチ")</f>
        <v/>
      </c>
      <c r="L9" s="98">
        <f>COUNTIFS(明細!$J$5:$J$363,A9,明細!$D$5:$D$363,"バッチ")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46006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COUNTIFS(明細!$F$5:$F$363,A10,明細!$D$5:$D$363,"バッチ")</f>
        <v/>
      </c>
      <c r="E10" s="98">
        <f>COUNTIFS(明細!$G$5:$G$363,A10,明細!$D$5:$D$363,"バッチ")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COUNTIFS(明細!$I$5:$I$363,A10,明細!$D$5:$D$363,"バッチ")</f>
        <v/>
      </c>
      <c r="L10" s="98">
        <f>COUNTIFS(明細!$J$5:$J$363,A10,明細!$D$5:$D$363,"バッチ")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46007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COUNTIFS(明細!$F$5:$F$363,A11,明細!$D$5:$D$363,"バッチ")</f>
        <v/>
      </c>
      <c r="E11" s="98">
        <f>COUNTIFS(明細!$G$5:$G$363,A11,明細!$D$5:$D$363,"バッチ")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COUNTIFS(明細!$I$5:$I$363,A11,明細!$D$5:$D$363,"バッチ")</f>
        <v/>
      </c>
      <c r="L11" s="98">
        <f>COUNTIFS(明細!$J$5:$J$363,A11,明細!$D$5:$D$363,"バッチ")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46008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COUNTIFS(明細!$F$5:$F$363,A12,明細!$D$5:$D$363,"バッチ")</f>
        <v/>
      </c>
      <c r="E12" s="98">
        <f>COUNTIFS(明細!$G$5:$G$363,A12,明細!$D$5:$D$363,"バッチ")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COUNTIFS(明細!$I$5:$I$363,A12,明細!$D$5:$D$363,"バッチ")</f>
        <v/>
      </c>
      <c r="L12" s="98">
        <f>COUNTIFS(明細!$J$5:$J$363,A12,明細!$D$5:$D$363,"バッチ")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46009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COUNTIFS(明細!$F$5:$F$363,A13,明細!$D$5:$D$363,"バッチ")</f>
        <v/>
      </c>
      <c r="E13" s="98">
        <f>COUNTIFS(明細!$G$5:$G$363,A13,明細!$D$5:$D$363,"バッチ")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COUNTIFS(明細!$I$5:$I$363,A13,明細!$D$5:$D$363,"バッチ")</f>
        <v/>
      </c>
      <c r="L13" s="98">
        <f>COUNTIFS(明細!$J$5:$J$363,A13,明細!$D$5:$D$363,"バッチ")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46010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COUNTIFS(明細!$F$5:$F$363,A14,明細!$D$5:$D$363,"バッチ")</f>
        <v/>
      </c>
      <c r="E14" s="98">
        <f>COUNTIFS(明細!$G$5:$G$363,A14,明細!$D$5:$D$363,"バッチ")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COUNTIFS(明細!$I$5:$I$363,A14,明細!$D$5:$D$363,"バッチ")</f>
        <v/>
      </c>
      <c r="L14" s="98">
        <f>COUNTIFS(明細!$J$5:$J$363,A14,明細!$D$5:$D$363,"バッチ")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46011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COUNTIFS(明細!$F$5:$F$363,A15,明細!$D$5:$D$363,"バッチ")</f>
        <v/>
      </c>
      <c r="E15" s="98">
        <f>COUNTIFS(明細!$G$5:$G$363,A15,明細!$D$5:$D$363,"バッチ")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COUNTIFS(明細!$I$5:$I$363,A15,明細!$D$5:$D$363,"バッチ")</f>
        <v/>
      </c>
      <c r="L15" s="98">
        <f>COUNTIFS(明細!$J$5:$J$363,A15,明細!$D$5:$D$363,"バッチ")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46012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COUNTIFS(明細!$F$5:$F$363,A16,明細!$D$5:$D$363,"バッチ")</f>
        <v/>
      </c>
      <c r="E16" s="98">
        <f>COUNTIFS(明細!$G$5:$G$363,A16,明細!$D$5:$D$363,"バッチ")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COUNTIFS(明細!$I$5:$I$363,A16,明細!$D$5:$D$363,"バッチ")</f>
        <v/>
      </c>
      <c r="L16" s="98">
        <f>COUNTIFS(明細!$J$5:$J$363,A16,明細!$D$5:$D$363,"バッチ")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46013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COUNTIFS(明細!$F$5:$F$363,A17,明細!$D$5:$D$363,"バッチ")</f>
        <v/>
      </c>
      <c r="E17" s="98">
        <f>COUNTIFS(明細!$G$5:$G$363,A17,明細!$D$5:$D$363,"バッチ")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COUNTIFS(明細!$I$5:$I$363,A17,明細!$D$5:$D$363,"バッチ")</f>
        <v/>
      </c>
      <c r="L17" s="98">
        <f>COUNTIFS(明細!$J$5:$J$363,A17,明細!$D$5:$D$363,"バッチ")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46014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COUNTIFS(明細!$F$5:$F$363,A18,明細!$D$5:$D$363,"バッチ")</f>
        <v/>
      </c>
      <c r="E18" s="98">
        <f>COUNTIFS(明細!$G$5:$G$363,A18,明細!$D$5:$D$363,"バッチ")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COUNTIFS(明細!$I$5:$I$363,A18,明細!$D$5:$D$363,"バッチ")</f>
        <v/>
      </c>
      <c r="L18" s="98">
        <f>COUNTIFS(明細!$J$5:$J$363,A18,明細!$D$5:$D$363,"バッチ")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46015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COUNTIFS(明細!$F$5:$F$363,A19,明細!$D$5:$D$363,"バッチ")</f>
        <v/>
      </c>
      <c r="E19" s="98">
        <f>COUNTIFS(明細!$G$5:$G$363,A19,明細!$D$5:$D$363,"バッチ")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COUNTIFS(明細!$I$5:$I$363,A19,明細!$D$5:$D$363,"バッチ")</f>
        <v/>
      </c>
      <c r="L19" s="98">
        <f>COUNTIFS(明細!$J$5:$J$363,A19,明細!$D$5:$D$363,"バッチ")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46016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COUNTIFS(明細!$F$5:$F$363,A20,明細!$D$5:$D$363,"バッチ")</f>
        <v/>
      </c>
      <c r="E20" s="98">
        <f>COUNTIFS(明細!$G$5:$G$363,A20,明細!$D$5:$D$363,"バッチ")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COUNTIFS(明細!$I$5:$I$363,A20,明細!$D$5:$D$363,"バッチ")</f>
        <v/>
      </c>
      <c r="L20" s="98">
        <f>COUNTIFS(明細!$J$5:$J$363,A20,明細!$D$5:$D$363,"バッチ")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46017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COUNTIFS(明細!$F$5:$F$363,A21,明細!$D$5:$D$363,"バッチ")</f>
        <v/>
      </c>
      <c r="E21" s="98">
        <f>COUNTIFS(明細!$G$5:$G$363,A21,明細!$D$5:$D$363,"バッチ")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COUNTIFS(明細!$I$5:$I$363,A21,明細!$D$5:$D$363,"バッチ")</f>
        <v/>
      </c>
      <c r="L21" s="98">
        <f>COUNTIFS(明細!$J$5:$J$363,A21,明細!$D$5:$D$363,"バッチ")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46018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COUNTIFS(明細!$F$5:$F$363,A22,明細!$D$5:$D$363,"バッチ")</f>
        <v/>
      </c>
      <c r="E22" s="98">
        <f>COUNTIFS(明細!$G$5:$G$363,A22,明細!$D$5:$D$363,"バッチ")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COUNTIFS(明細!$I$5:$I$363,A22,明細!$D$5:$D$363,"バッチ")</f>
        <v/>
      </c>
      <c r="L22" s="98">
        <f>COUNTIFS(明細!$J$5:$J$363,A22,明細!$D$5:$D$363,"バッチ")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46019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COUNTIFS(明細!$F$5:$F$363,A23,明細!$D$5:$D$363,"バッチ")</f>
        <v/>
      </c>
      <c r="E23" s="98">
        <f>COUNTIFS(明細!$G$5:$G$363,A23,明細!$D$5:$D$363,"バッチ")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COUNTIFS(明細!$I$5:$I$363,A23,明細!$D$5:$D$363,"バッチ")</f>
        <v/>
      </c>
      <c r="L23" s="98">
        <f>COUNTIFS(明細!$J$5:$J$363,A23,明細!$D$5:$D$363,"バッチ")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46020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COUNTIFS(明細!$F$5:$F$363,A24,明細!$D$5:$D$363,"バッチ")</f>
        <v/>
      </c>
      <c r="E24" s="98">
        <f>COUNTIFS(明細!$G$5:$G$363,A24,明細!$D$5:$D$363,"バッチ")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COUNTIFS(明細!$I$5:$I$363,A24,明細!$D$5:$D$363,"バッチ")</f>
        <v/>
      </c>
      <c r="L24" s="98">
        <f>COUNTIFS(明細!$J$5:$J$363,A24,明細!$D$5:$D$363,"バッチ")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46021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COUNTIFS(明細!$F$5:$F$363,A25,明細!$D$5:$D$363,"バッチ")</f>
        <v/>
      </c>
      <c r="E25" s="98">
        <f>COUNTIFS(明細!$G$5:$G$363,A25,明細!$D$5:$D$363,"バッチ")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COUNTIFS(明細!$I$5:$I$363,A25,明細!$D$5:$D$363,"バッチ")</f>
        <v/>
      </c>
      <c r="L25" s="98">
        <f>COUNTIFS(明細!$J$5:$J$363,A25,明細!$D$5:$D$363,"バッチ")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46022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COUNTIFS(明細!$F$5:$F$363,A26,明細!$D$5:$D$363,"バッチ")</f>
        <v/>
      </c>
      <c r="E26" s="98">
        <f>COUNTIFS(明細!$G$5:$G$363,A26,明細!$D$5:$D$363,"バッチ")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COUNTIFS(明細!$I$5:$I$363,A26,明細!$D$5:$D$363,"バッチ")</f>
        <v/>
      </c>
      <c r="L26" s="98">
        <f>COUNTIFS(明細!$J$5:$J$363,A26,明細!$D$5:$D$363,"バッチ")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46023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COUNTIFS(明細!$F$5:$F$363,A27,明細!$D$5:$D$363,"バッチ")</f>
        <v/>
      </c>
      <c r="E27" s="98">
        <f>COUNTIFS(明細!$G$5:$G$363,A27,明細!$D$5:$D$363,"バッチ")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COUNTIFS(明細!$I$5:$I$363,A27,明細!$D$5:$D$363,"バッチ")</f>
        <v/>
      </c>
      <c r="L27" s="98">
        <f>COUNTIFS(明細!$J$5:$J$363,A27,明細!$D$5:$D$363,"バッチ")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46024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COUNTIFS(明細!$F$5:$F$363,A28,明細!$D$5:$D$363,"バッチ")</f>
        <v/>
      </c>
      <c r="E28" s="98">
        <f>COUNTIFS(明細!$G$5:$G$363,A28,明細!$D$5:$D$363,"バッチ")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COUNTIFS(明細!$I$5:$I$363,A28,明細!$D$5:$D$363,"バッチ")</f>
        <v/>
      </c>
      <c r="L28" s="98">
        <f>COUNTIFS(明細!$J$5:$J$363,A28,明細!$D$5:$D$363,"バッチ")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46025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COUNTIFS(明細!$F$5:$F$363,A29,明細!$D$5:$D$363,"バッチ")</f>
        <v/>
      </c>
      <c r="E29" s="98">
        <f>COUNTIFS(明細!$G$5:$G$363,A29,明細!$D$5:$D$363,"バッチ")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COUNTIFS(明細!$I$5:$I$363,A29,明細!$D$5:$D$363,"バッチ")</f>
        <v/>
      </c>
      <c r="L29" s="98">
        <f>COUNTIFS(明細!$J$5:$J$363,A29,明細!$D$5:$D$363,"バッチ")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46026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COUNTIFS(明細!$F$5:$F$363,A30,明細!$D$5:$D$363,"バッチ")</f>
        <v/>
      </c>
      <c r="E30" s="98">
        <f>COUNTIFS(明細!$G$5:$G$363,A30,明細!$D$5:$D$363,"バッチ")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COUNTIFS(明細!$I$5:$I$363,A30,明細!$D$5:$D$363,"バッチ")</f>
        <v/>
      </c>
      <c r="L30" s="98">
        <f>COUNTIFS(明細!$J$5:$J$363,A30,明細!$D$5:$D$363,"バッチ")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46027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COUNTIFS(明細!$F$5:$F$363,A31,明細!$D$5:$D$363,"バッチ")</f>
        <v/>
      </c>
      <c r="E31" s="98">
        <f>COUNTIFS(明細!$G$5:$G$363,A31,明細!$D$5:$D$363,"バッチ")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COUNTIFS(明細!$I$5:$I$363,A31,明細!$D$5:$D$363,"バッチ")</f>
        <v/>
      </c>
      <c r="L31" s="98">
        <f>COUNTIFS(明細!$J$5:$J$363,A31,明細!$D$5:$D$363,"バッチ")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46028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COUNTIFS(明細!$F$5:$F$363,A32,明細!$D$5:$D$363,"バッチ")</f>
        <v/>
      </c>
      <c r="E32" s="98">
        <f>COUNTIFS(明細!$G$5:$G$363,A32,明細!$D$5:$D$363,"バッチ")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COUNTIFS(明細!$I$5:$I$363,A32,明細!$D$5:$D$363,"バッチ")</f>
        <v/>
      </c>
      <c r="L32" s="98">
        <f>COUNTIFS(明細!$J$5:$J$363,A32,明細!$D$5:$D$363,"バッチ")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46029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COUNTIFS(明細!$F$5:$F$363,A33,明細!$D$5:$D$363,"バッチ")</f>
        <v/>
      </c>
      <c r="E33" s="98">
        <f>COUNTIFS(明細!$G$5:$G$363,A33,明細!$D$5:$D$363,"バッチ")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COUNTIFS(明細!$I$5:$I$363,A33,明細!$D$5:$D$363,"バッチ")</f>
        <v/>
      </c>
      <c r="L33" s="98">
        <f>COUNTIFS(明細!$J$5:$J$363,A33,明細!$D$5:$D$363,"バッチ")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46030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COUNTIFS(明細!$F$5:$F$363,A34,明細!$D$5:$D$363,"バッチ")</f>
        <v/>
      </c>
      <c r="E34" s="98">
        <f>COUNTIFS(明細!$G$5:$G$363,A34,明細!$D$5:$D$363,"バッチ")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COUNTIFS(明細!$I$5:$I$363,A34,明細!$D$5:$D$363,"バッチ")</f>
        <v/>
      </c>
      <c r="L34" s="98">
        <f>COUNTIFS(明細!$J$5:$J$363,A34,明細!$D$5:$D$363,"バッチ")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46031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COUNTIFS(明細!$F$5:$F$363,A35,明細!$D$5:$D$363,"バッチ")</f>
        <v/>
      </c>
      <c r="E35" s="98">
        <f>COUNTIFS(明細!$G$5:$G$363,A35,明細!$D$5:$D$363,"バッチ")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COUNTIFS(明細!$I$5:$I$363,A35,明細!$D$5:$D$363,"バッチ")</f>
        <v/>
      </c>
      <c r="L35" s="98">
        <f>COUNTIFS(明細!$J$5:$J$363,A35,明細!$D$5:$D$363,"バッチ")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46032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COUNTIFS(明細!$F$5:$F$363,A36,明細!$D$5:$D$363,"バッチ")</f>
        <v/>
      </c>
      <c r="E36" s="98">
        <f>COUNTIFS(明細!$G$5:$G$363,A36,明細!$D$5:$D$363,"バッチ")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COUNTIFS(明細!$I$5:$I$363,A36,明細!$D$5:$D$363,"バッチ")</f>
        <v/>
      </c>
      <c r="L36" s="98">
        <f>COUNTIFS(明細!$J$5:$J$363,A36,明細!$D$5:$D$363,"バッチ")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46033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COUNTIFS(明細!$F$5:$F$363,A37,明細!$D$5:$D$363,"バッチ")</f>
        <v/>
      </c>
      <c r="E37" s="98">
        <f>COUNTIFS(明細!$G$5:$G$363,A37,明細!$D$5:$D$363,"バッチ")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COUNTIFS(明細!$I$5:$I$363,A37,明細!$D$5:$D$363,"バッチ")</f>
        <v/>
      </c>
      <c r="L37" s="98">
        <f>COUNTIFS(明細!$J$5:$J$363,A37,明細!$D$5:$D$363,"バッチ")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46034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COUNTIFS(明細!$F$5:$F$363,A38,明細!$D$5:$D$363,"バッチ")</f>
        <v/>
      </c>
      <c r="E38" s="98">
        <f>COUNTIFS(明細!$G$5:$G$363,A38,明細!$D$5:$D$363,"バッチ")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COUNTIFS(明細!$I$5:$I$363,A38,明細!$D$5:$D$363,"バッチ")</f>
        <v/>
      </c>
      <c r="L38" s="98">
        <f>COUNTIFS(明細!$J$5:$J$363,A38,明細!$D$5:$D$363,"バッチ")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46035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COUNTIFS(明細!$F$5:$F$363,A39,明細!$D$5:$D$363,"バッチ")</f>
        <v/>
      </c>
      <c r="E39" s="98">
        <f>COUNTIFS(明細!$G$5:$G$363,A39,明細!$D$5:$D$363,"バッチ")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COUNTIFS(明細!$I$5:$I$363,A39,明細!$D$5:$D$363,"バッチ")</f>
        <v/>
      </c>
      <c r="L39" s="98">
        <f>COUNTIFS(明細!$J$5:$J$363,A39,明細!$D$5:$D$363,"バッチ")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46036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COUNTIFS(明細!$F$5:$F$363,A40,明細!$D$5:$D$363,"バッチ")</f>
        <v/>
      </c>
      <c r="E40" s="98">
        <f>COUNTIFS(明細!$G$5:$G$363,A40,明細!$D$5:$D$363,"バッチ")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COUNTIFS(明細!$I$5:$I$363,A40,明細!$D$5:$D$363,"バッチ")</f>
        <v/>
      </c>
      <c r="L40" s="98">
        <f>COUNTIFS(明細!$J$5:$J$363,A40,明細!$D$5:$D$363,"バッチ")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46037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COUNTIFS(明細!$F$5:$F$363,A41,明細!$D$5:$D$363,"バッチ")</f>
        <v/>
      </c>
      <c r="E41" s="98">
        <f>COUNTIFS(明細!$G$5:$G$363,A41,明細!$D$5:$D$363,"バッチ")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COUNTIFS(明細!$I$5:$I$363,A41,明細!$D$5:$D$363,"バッチ")</f>
        <v/>
      </c>
      <c r="L41" s="98">
        <f>COUNTIFS(明細!$J$5:$J$363,A41,明細!$D$5:$D$363,"バッチ")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46038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COUNTIFS(明細!$F$5:$F$363,A42,明細!$D$5:$D$363,"バッチ")</f>
        <v/>
      </c>
      <c r="E42" s="98">
        <f>COUNTIFS(明細!$G$5:$G$363,A42,明細!$D$5:$D$363,"バッチ")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COUNTIFS(明細!$I$5:$I$363,A42,明細!$D$5:$D$363,"バッチ")</f>
        <v/>
      </c>
      <c r="L42" s="98">
        <f>COUNTIFS(明細!$J$5:$J$363,A42,明細!$D$5:$D$363,"バッチ")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46039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COUNTIFS(明細!$F$5:$F$363,A43,明細!$D$5:$D$363,"バッチ")</f>
        <v/>
      </c>
      <c r="E43" s="98">
        <f>COUNTIFS(明細!$G$5:$G$363,A43,明細!$D$5:$D$363,"バッチ")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COUNTIFS(明細!$I$5:$I$363,A43,明細!$D$5:$D$363,"バッチ")</f>
        <v/>
      </c>
      <c r="L43" s="98">
        <f>COUNTIFS(明細!$J$5:$J$363,A43,明細!$D$5:$D$363,"バッチ")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46040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COUNTIFS(明細!$F$5:$F$363,A44,明細!$D$5:$D$363,"バッチ")</f>
        <v/>
      </c>
      <c r="E44" s="98">
        <f>COUNTIFS(明細!$G$5:$G$363,A44,明細!$D$5:$D$363,"バッチ")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COUNTIFS(明細!$I$5:$I$363,A44,明細!$D$5:$D$363,"バッチ")</f>
        <v/>
      </c>
      <c r="L44" s="98">
        <f>COUNTIFS(明細!$J$5:$J$363,A44,明細!$D$5:$D$363,"バッチ")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46041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COUNTIFS(明細!$F$5:$F$363,A45,明細!$D$5:$D$363,"バッチ")</f>
        <v/>
      </c>
      <c r="E45" s="98">
        <f>COUNTIFS(明細!$G$5:$G$363,A45,明細!$D$5:$D$363,"バッチ")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COUNTIFS(明細!$I$5:$I$363,A45,明細!$D$5:$D$363,"バッチ")</f>
        <v/>
      </c>
      <c r="L45" s="98">
        <f>COUNTIFS(明細!$J$5:$J$363,A45,明細!$D$5:$D$363,"バッチ")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46042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COUNTIFS(明細!$F$5:$F$363,A46,明細!$D$5:$D$363,"バッチ")</f>
        <v/>
      </c>
      <c r="E46" s="98">
        <f>COUNTIFS(明細!$G$5:$G$363,A46,明細!$D$5:$D$363,"バッチ")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COUNTIFS(明細!$I$5:$I$363,A46,明細!$D$5:$D$363,"バッチ")</f>
        <v/>
      </c>
      <c r="L46" s="98">
        <f>COUNTIFS(明細!$J$5:$J$363,A46,明細!$D$5:$D$363,"バッチ")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46043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COUNTIFS(明細!$F$5:$F$363,A47,明細!$D$5:$D$363,"バッチ")</f>
        <v/>
      </c>
      <c r="E47" s="98">
        <f>COUNTIFS(明細!$G$5:$G$363,A47,明細!$D$5:$D$363,"バッチ")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COUNTIFS(明細!$I$5:$I$363,A47,明細!$D$5:$D$363,"バッチ")</f>
        <v/>
      </c>
      <c r="L47" s="98">
        <f>COUNTIFS(明細!$J$5:$J$363,A47,明細!$D$5:$D$363,"バッチ")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46044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COUNTIFS(明細!$F$5:$F$363,A48,明細!$D$5:$D$363,"バッチ")</f>
        <v/>
      </c>
      <c r="E48" s="98">
        <f>COUNTIFS(明細!$G$5:$G$363,A48,明細!$D$5:$D$363,"バッチ")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COUNTIFS(明細!$I$5:$I$363,A48,明細!$D$5:$D$363,"バッチ")</f>
        <v/>
      </c>
      <c r="L48" s="98">
        <f>COUNTIFS(明細!$J$5:$J$363,A48,明細!$D$5:$D$363,"バッチ")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46045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COUNTIFS(明細!$F$5:$F$363,A49,明細!$D$5:$D$363,"バッチ")</f>
        <v/>
      </c>
      <c r="E49" s="98">
        <f>COUNTIFS(明細!$G$5:$G$363,A49,明細!$D$5:$D$363,"バッチ")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COUNTIFS(明細!$I$5:$I$363,A49,明細!$D$5:$D$363,"バッチ")</f>
        <v/>
      </c>
      <c r="L49" s="98">
        <f>COUNTIFS(明細!$J$5:$J$363,A49,明細!$D$5:$D$363,"バッチ")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46046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COUNTIFS(明細!$F$5:$F$363,A50,明細!$D$5:$D$363,"バッチ")</f>
        <v/>
      </c>
      <c r="E50" s="98">
        <f>COUNTIFS(明細!$G$5:$G$363,A50,明細!$D$5:$D$363,"バッチ")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COUNTIFS(明細!$I$5:$I$363,A50,明細!$D$5:$D$363,"バッチ")</f>
        <v/>
      </c>
      <c r="L50" s="98">
        <f>COUNTIFS(明細!$J$5:$J$363,A50,明細!$D$5:$D$363,"バッチ")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46047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COUNTIFS(明細!$F$5:$F$363,A51,明細!$D$5:$D$363,"バッチ")</f>
        <v/>
      </c>
      <c r="E51" s="98">
        <f>COUNTIFS(明細!$G$5:$G$363,A51,明細!$D$5:$D$363,"バッチ")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COUNTIFS(明細!$I$5:$I$363,A51,明細!$D$5:$D$363,"バッチ")</f>
        <v/>
      </c>
      <c r="L51" s="98">
        <f>COUNTIFS(明細!$J$5:$J$363,A51,明細!$D$5:$D$363,"バッチ")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46048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COUNTIFS(明細!$F$5:$F$363,A52,明細!$D$5:$D$363,"バッチ")</f>
        <v/>
      </c>
      <c r="E52" s="98">
        <f>COUNTIFS(明細!$G$5:$G$363,A52,明細!$D$5:$D$363,"バッチ")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COUNTIFS(明細!$I$5:$I$363,A52,明細!$D$5:$D$363,"バッチ")</f>
        <v/>
      </c>
      <c r="L52" s="98">
        <f>COUNTIFS(明細!$J$5:$J$363,A52,明細!$D$5:$D$363,"バッチ")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46049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COUNTIFS(明細!$F$5:$F$363,A53,明細!$D$5:$D$363,"バッチ")</f>
        <v/>
      </c>
      <c r="E53" s="98">
        <f>COUNTIFS(明細!$G$5:$G$363,A53,明細!$D$5:$D$363,"バッチ")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COUNTIFS(明細!$I$5:$I$363,A53,明細!$D$5:$D$363,"バッチ")</f>
        <v/>
      </c>
      <c r="L53" s="98">
        <f>COUNTIFS(明細!$J$5:$J$363,A53,明細!$D$5:$D$363,"バッチ")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46050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COUNTIFS(明細!$F$5:$F$363,A54,明細!$D$5:$D$363,"バッチ")</f>
        <v/>
      </c>
      <c r="E54" s="98">
        <f>COUNTIFS(明細!$G$5:$G$363,A54,明細!$D$5:$D$363,"バッチ")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COUNTIFS(明細!$I$5:$I$363,A54,明細!$D$5:$D$363,"バッチ")</f>
        <v/>
      </c>
      <c r="L54" s="98">
        <f>COUNTIFS(明細!$J$5:$J$363,A54,明細!$D$5:$D$363,"バッチ")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46051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COUNTIFS(明細!$F$5:$F$363,A55,明細!$D$5:$D$363,"バッチ")</f>
        <v/>
      </c>
      <c r="E55" s="98">
        <f>COUNTIFS(明細!$G$5:$G$363,A55,明細!$D$5:$D$363,"バッチ")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COUNTIFS(明細!$I$5:$I$363,A55,明細!$D$5:$D$363,"バッチ")</f>
        <v/>
      </c>
      <c r="L55" s="98">
        <f>COUNTIFS(明細!$J$5:$J$363,A55,明細!$D$5:$D$363,"バッチ")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46052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COUNTIFS(明細!$F$5:$F$363,A56,明細!$D$5:$D$363,"バッチ")</f>
        <v/>
      </c>
      <c r="E56" s="98">
        <f>COUNTIFS(明細!$G$5:$G$363,A56,明細!$D$5:$D$363,"バッチ")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COUNTIFS(明細!$I$5:$I$363,A56,明細!$D$5:$D$363,"バッチ")</f>
        <v/>
      </c>
      <c r="L56" s="98">
        <f>COUNTIFS(明細!$J$5:$J$363,A56,明細!$D$5:$D$363,"バッチ")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46053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COUNTIFS(明細!$F$5:$F$363,A57,明細!$D$5:$D$363,"バッチ")</f>
        <v/>
      </c>
      <c r="E57" s="98">
        <f>COUNTIFS(明細!$G$5:$G$363,A57,明細!$D$5:$D$363,"バッチ")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COUNTIFS(明細!$I$5:$I$363,A57,明細!$D$5:$D$363,"バッチ")</f>
        <v/>
      </c>
      <c r="L57" s="98">
        <f>COUNTIFS(明細!$J$5:$J$363,A57,明細!$D$5:$D$363,"バッチ")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46054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COUNTIFS(明細!$F$5:$F$363,A58,明細!$D$5:$D$363,"バッチ")</f>
        <v/>
      </c>
      <c r="E58" s="98">
        <f>COUNTIFS(明細!$G$5:$G$363,A58,明細!$D$5:$D$363,"バッチ")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COUNTIFS(明細!$I$5:$I$363,A58,明細!$D$5:$D$363,"バッチ")</f>
        <v/>
      </c>
      <c r="L58" s="98">
        <f>COUNTIFS(明細!$J$5:$J$363,A58,明細!$D$5:$D$363,"バッチ")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46055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COUNTIFS(明細!$F$5:$F$363,A59,明細!$D$5:$D$363,"バッチ")</f>
        <v/>
      </c>
      <c r="E59" s="98">
        <f>COUNTIFS(明細!$G$5:$G$363,A59,明細!$D$5:$D$363,"バッチ")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COUNTIFS(明細!$I$5:$I$363,A59,明細!$D$5:$D$363,"バッチ")</f>
        <v/>
      </c>
      <c r="L59" s="98">
        <f>COUNTIFS(明細!$J$5:$J$363,A59,明細!$D$5:$D$363,"バッチ")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46056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COUNTIFS(明細!$F$5:$F$363,A60,明細!$D$5:$D$363,"バッチ")</f>
        <v/>
      </c>
      <c r="E60" s="98">
        <f>COUNTIFS(明細!$G$5:$G$363,A60,明細!$D$5:$D$363,"バッチ")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COUNTIFS(明細!$I$5:$I$363,A60,明細!$D$5:$D$363,"バッチ")</f>
        <v/>
      </c>
      <c r="L60" s="98">
        <f>COUNTIFS(明細!$J$5:$J$363,A60,明細!$D$5:$D$363,"バッチ")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46057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COUNTIFS(明細!$F$5:$F$363,A61,明細!$D$5:$D$363,"バッチ")</f>
        <v/>
      </c>
      <c r="E61" s="98">
        <f>COUNTIFS(明細!$G$5:$G$363,A61,明細!$D$5:$D$363,"バッチ")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COUNTIFS(明細!$I$5:$I$363,A61,明細!$D$5:$D$363,"バッチ")</f>
        <v/>
      </c>
      <c r="L61" s="98">
        <f>COUNTIFS(明細!$J$5:$J$363,A61,明細!$D$5:$D$363,"バッチ")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46058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COUNTIFS(明細!$F$5:$F$363,A62,明細!$D$5:$D$363,"バッチ")</f>
        <v/>
      </c>
      <c r="E62" s="98">
        <f>COUNTIFS(明細!$G$5:$G$363,A62,明細!$D$5:$D$363,"バッチ")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COUNTIFS(明細!$I$5:$I$363,A62,明細!$D$5:$D$363,"バッチ")</f>
        <v/>
      </c>
      <c r="L62" s="98">
        <f>COUNTIFS(明細!$J$5:$J$363,A62,明細!$D$5:$D$363,"バッチ")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46059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COUNTIFS(明細!$F$5:$F$363,A63,明細!$D$5:$D$363,"バッチ")</f>
        <v/>
      </c>
      <c r="E63" s="98">
        <f>COUNTIFS(明細!$G$5:$G$363,A63,明細!$D$5:$D$363,"バッチ")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COUNTIFS(明細!$I$5:$I$363,A63,明細!$D$5:$D$363,"バッチ")</f>
        <v/>
      </c>
      <c r="L63" s="98">
        <f>COUNTIFS(明細!$J$5:$J$363,A63,明細!$D$5:$D$363,"バッチ")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46060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COUNTIFS(明細!$F$5:$F$363,A64,明細!$D$5:$D$363,"バッチ")</f>
        <v/>
      </c>
      <c r="E64" s="98">
        <f>COUNTIFS(明細!$G$5:$G$363,A64,明細!$D$5:$D$363,"バッチ")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COUNTIFS(明細!$I$5:$I$363,A64,明細!$D$5:$D$363,"バッチ")</f>
        <v/>
      </c>
      <c r="L64" s="98">
        <f>COUNTIFS(明細!$J$5:$J$363,A64,明細!$D$5:$D$363,"バッチ")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46061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COUNTIFS(明細!$F$5:$F$363,A65,明細!$D$5:$D$363,"バッチ")</f>
        <v/>
      </c>
      <c r="E65" s="98">
        <f>COUNTIFS(明細!$G$5:$G$363,A65,明細!$D$5:$D$363,"バッチ")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COUNTIFS(明細!$I$5:$I$363,A65,明細!$D$5:$D$363,"バッチ")</f>
        <v/>
      </c>
      <c r="L65" s="98">
        <f>COUNTIFS(明細!$J$5:$J$363,A65,明細!$D$5:$D$363,"バッチ")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46062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COUNTIFS(明細!$F$5:$F$363,A66,明細!$D$5:$D$363,"バッチ")</f>
        <v/>
      </c>
      <c r="E66" s="98">
        <f>COUNTIFS(明細!$G$5:$G$363,A66,明細!$D$5:$D$363,"バッチ")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COUNTIFS(明細!$I$5:$I$363,A66,明細!$D$5:$D$363,"バッチ")</f>
        <v/>
      </c>
      <c r="L66" s="98">
        <f>COUNTIFS(明細!$J$5:$J$363,A66,明細!$D$5:$D$363,"バッチ")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46063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COUNTIFS(明細!$F$5:$F$363,A67,明細!$D$5:$D$363,"バッチ")</f>
        <v/>
      </c>
      <c r="E67" s="98">
        <f>COUNTIFS(明細!$G$5:$G$363,A67,明細!$D$5:$D$363,"バッチ")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COUNTIFS(明細!$I$5:$I$363,A67,明細!$D$5:$D$363,"バッチ")</f>
        <v/>
      </c>
      <c r="L67" s="98">
        <f>COUNTIFS(明細!$J$5:$J$363,A67,明細!$D$5:$D$363,"バッチ")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46064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COUNTIFS(明細!$F$5:$F$363,A68,明細!$D$5:$D$363,"バッチ")</f>
        <v/>
      </c>
      <c r="E68" s="98">
        <f>COUNTIFS(明細!$G$5:$G$363,A68,明細!$D$5:$D$363,"バッチ")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COUNTIFS(明細!$I$5:$I$363,A68,明細!$D$5:$D$363,"バッチ")</f>
        <v/>
      </c>
      <c r="L68" s="98">
        <f>COUNTIFS(明細!$J$5:$J$363,A68,明細!$D$5:$D$363,"バッチ")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46065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COUNTIFS(明細!$F$5:$F$363,A69,明細!$D$5:$D$363,"バッチ")</f>
        <v/>
      </c>
      <c r="E69" s="98">
        <f>COUNTIFS(明細!$G$5:$G$363,A69,明細!$D$5:$D$363,"バッチ")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COUNTIFS(明細!$I$5:$I$363,A69,明細!$D$5:$D$363,"バッチ")</f>
        <v/>
      </c>
      <c r="L69" s="98">
        <f>COUNTIFS(明細!$J$5:$J$363,A69,明細!$D$5:$D$363,"バッチ")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46066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COUNTIFS(明細!$F$5:$F$363,A70,明細!$D$5:$D$363,"バッチ")</f>
        <v/>
      </c>
      <c r="E70" s="98">
        <f>COUNTIFS(明細!$G$5:$G$363,A70,明細!$D$5:$D$363,"バッチ")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COUNTIFS(明細!$I$5:$I$363,A70,明細!$D$5:$D$363,"バッチ")</f>
        <v/>
      </c>
      <c r="L70" s="98">
        <f>COUNTIFS(明細!$J$5:$J$363,A70,明細!$D$5:$D$363,"バッチ")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46067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COUNTIFS(明細!$F$5:$F$363,A71,明細!$D$5:$D$363,"バッチ")</f>
        <v/>
      </c>
      <c r="E71" s="98">
        <f>COUNTIFS(明細!$G$5:$G$363,A71,明細!$D$5:$D$363,"バッチ")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COUNTIFS(明細!$I$5:$I$363,A71,明細!$D$5:$D$363,"バッチ")</f>
        <v/>
      </c>
      <c r="L71" s="98">
        <f>COUNTIFS(明細!$J$5:$J$363,A71,明細!$D$5:$D$363,"バッチ")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46068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COUNTIFS(明細!$F$5:$F$363,A72,明細!$D$5:$D$363,"バッチ")</f>
        <v/>
      </c>
      <c r="E72" s="98">
        <f>COUNTIFS(明細!$G$5:$G$363,A72,明細!$D$5:$D$363,"バッチ")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COUNTIFS(明細!$I$5:$I$363,A72,明細!$D$5:$D$363,"バッチ")</f>
        <v/>
      </c>
      <c r="L72" s="98">
        <f>COUNTIFS(明細!$J$5:$J$363,A72,明細!$D$5:$D$363,"バッチ")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46069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COUNTIFS(明細!$F$5:$F$363,A73,明細!$D$5:$D$363,"バッチ")</f>
        <v/>
      </c>
      <c r="E73" s="98">
        <f>COUNTIFS(明細!$G$5:$G$363,A73,明細!$D$5:$D$363,"バッチ")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COUNTIFS(明細!$I$5:$I$363,A73,明細!$D$5:$D$363,"バッチ")</f>
        <v/>
      </c>
      <c r="L73" s="98">
        <f>COUNTIFS(明細!$J$5:$J$363,A73,明細!$D$5:$D$363,"バッチ")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46070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COUNTIFS(明細!$F$5:$F$363,A74,明細!$D$5:$D$363,"バッチ")</f>
        <v/>
      </c>
      <c r="E74" s="98">
        <f>COUNTIFS(明細!$G$5:$G$363,A74,明細!$D$5:$D$363,"バッチ")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COUNTIFS(明細!$I$5:$I$363,A74,明細!$D$5:$D$363,"バッチ")</f>
        <v/>
      </c>
      <c r="L74" s="98">
        <f>COUNTIFS(明細!$J$5:$J$363,A74,明細!$D$5:$D$363,"バッチ")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46071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COUNTIFS(明細!$F$5:$F$363,A75,明細!$D$5:$D$363,"バッチ")</f>
        <v/>
      </c>
      <c r="E75" s="98">
        <f>COUNTIFS(明細!$G$5:$G$363,A75,明細!$D$5:$D$363,"バッチ")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COUNTIFS(明細!$I$5:$I$363,A75,明細!$D$5:$D$363,"バッチ")</f>
        <v/>
      </c>
      <c r="L75" s="98">
        <f>COUNTIFS(明細!$J$5:$J$363,A75,明細!$D$5:$D$363,"バッチ")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46072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COUNTIFS(明細!$F$5:$F$363,A76,明細!$D$5:$D$363,"バッチ")</f>
        <v/>
      </c>
      <c r="E76" s="98">
        <f>COUNTIFS(明細!$G$5:$G$363,A76,明細!$D$5:$D$363,"バッチ")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COUNTIFS(明細!$I$5:$I$363,A76,明細!$D$5:$D$363,"バッチ")</f>
        <v/>
      </c>
      <c r="L76" s="98">
        <f>COUNTIFS(明細!$J$5:$J$363,A76,明細!$D$5:$D$363,"バッチ")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46073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COUNTIFS(明細!$F$5:$F$363,A77,明細!$D$5:$D$363,"バッチ")</f>
        <v/>
      </c>
      <c r="E77" s="98">
        <f>COUNTIFS(明細!$G$5:$G$363,A77,明細!$D$5:$D$363,"バッチ")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COUNTIFS(明細!$I$5:$I$363,A77,明細!$D$5:$D$363,"バッチ")</f>
        <v/>
      </c>
      <c r="L77" s="98">
        <f>COUNTIFS(明細!$J$5:$J$363,A77,明細!$D$5:$D$363,"バッチ")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46074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COUNTIFS(明細!$F$5:$F$363,A78,明細!$D$5:$D$363,"バッチ")</f>
        <v/>
      </c>
      <c r="E78" s="98">
        <f>COUNTIFS(明細!$G$5:$G$363,A78,明細!$D$5:$D$363,"バッチ")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COUNTIFS(明細!$I$5:$I$363,A78,明細!$D$5:$D$363,"バッチ")</f>
        <v/>
      </c>
      <c r="L78" s="98">
        <f>COUNTIFS(明細!$J$5:$J$363,A78,明細!$D$5:$D$363,"バッチ")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46075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COUNTIFS(明細!$F$5:$F$363,A79,明細!$D$5:$D$363,"バッチ")</f>
        <v/>
      </c>
      <c r="E79" s="98">
        <f>COUNTIFS(明細!$G$5:$G$363,A79,明細!$D$5:$D$363,"バッチ")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COUNTIFS(明細!$I$5:$I$363,A79,明細!$D$5:$D$363,"バッチ")</f>
        <v/>
      </c>
      <c r="L79" s="98">
        <f>COUNTIFS(明細!$J$5:$J$363,A79,明細!$D$5:$D$363,"バッチ")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46076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COUNTIFS(明細!$F$5:$F$363,A80,明細!$D$5:$D$363,"バッチ")</f>
        <v/>
      </c>
      <c r="E80" s="98">
        <f>COUNTIFS(明細!$G$5:$G$363,A80,明細!$D$5:$D$363,"バッチ")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COUNTIFS(明細!$I$5:$I$363,A80,明細!$D$5:$D$363,"バッチ")</f>
        <v/>
      </c>
      <c r="L80" s="98">
        <f>COUNTIFS(明細!$J$5:$J$363,A80,明細!$D$5:$D$363,"バッチ")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46077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COUNTIFS(明細!$F$5:$F$363,A81,明細!$D$5:$D$363,"バッチ")</f>
        <v/>
      </c>
      <c r="E81" s="98">
        <f>COUNTIFS(明細!$G$5:$G$363,A81,明細!$D$5:$D$363,"バッチ")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COUNTIFS(明細!$I$5:$I$363,A81,明細!$D$5:$D$363,"バッチ")</f>
        <v/>
      </c>
      <c r="L81" s="98">
        <f>COUNTIFS(明細!$J$5:$J$363,A81,明細!$D$5:$D$363,"バッチ")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46078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COUNTIFS(明細!$F$5:$F$363,A82,明細!$D$5:$D$363,"バッチ")</f>
        <v/>
      </c>
      <c r="E82" s="98">
        <f>COUNTIFS(明細!$G$5:$G$363,A82,明細!$D$5:$D$363,"バッチ")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COUNTIFS(明細!$I$5:$I$363,A82,明細!$D$5:$D$363,"バッチ")</f>
        <v/>
      </c>
      <c r="L82" s="98">
        <f>COUNTIFS(明細!$J$5:$J$363,A82,明細!$D$5:$D$363,"バッチ")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46079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COUNTIFS(明細!$F$5:$F$363,A83,明細!$D$5:$D$363,"バッチ")</f>
        <v/>
      </c>
      <c r="E83" s="98">
        <f>COUNTIFS(明細!$G$5:$G$363,A83,明細!$D$5:$D$363,"バッチ")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COUNTIFS(明細!$I$5:$I$363,A83,明細!$D$5:$D$363,"バッチ")</f>
        <v/>
      </c>
      <c r="L83" s="98">
        <f>COUNTIFS(明細!$J$5:$J$363,A83,明細!$D$5:$D$363,"バッチ")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46080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COUNTIFS(明細!$F$5:$F$363,A84,明細!$D$5:$D$363,"バッチ")</f>
        <v/>
      </c>
      <c r="E84" s="98">
        <f>COUNTIFS(明細!$G$5:$G$363,A84,明細!$D$5:$D$363,"バッチ")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COUNTIFS(明細!$I$5:$I$363,A84,明細!$D$5:$D$363,"バッチ")</f>
        <v/>
      </c>
      <c r="L84" s="98">
        <f>COUNTIFS(明細!$J$5:$J$363,A84,明細!$D$5:$D$363,"バッチ")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46081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COUNTIFS(明細!$F$5:$F$363,A85,明細!$D$5:$D$363,"バッチ")</f>
        <v/>
      </c>
      <c r="E85" s="98">
        <f>COUNTIFS(明細!$G$5:$G$363,A85,明細!$D$5:$D$363,"バッチ")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COUNTIFS(明細!$I$5:$I$363,A85,明細!$D$5:$D$363,"バッチ")</f>
        <v/>
      </c>
      <c r="L85" s="98">
        <f>COUNTIFS(明細!$J$5:$J$363,A85,明細!$D$5:$D$363,"バッチ")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46082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COUNTIFS(明細!$F$5:$F$363,A86,明細!$D$5:$D$363,"バッチ")</f>
        <v/>
      </c>
      <c r="E86" s="98">
        <f>COUNTIFS(明細!$G$5:$G$363,A86,明細!$D$5:$D$363,"バッチ")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COUNTIFS(明細!$I$5:$I$363,A86,明細!$D$5:$D$363,"バッチ")</f>
        <v/>
      </c>
      <c r="L86" s="98">
        <f>COUNTIFS(明細!$J$5:$J$363,A86,明細!$D$5:$D$363,"バッチ")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46083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COUNTIFS(明細!$F$5:$F$363,A87,明細!$D$5:$D$363,"バッチ")</f>
        <v/>
      </c>
      <c r="E87" s="98">
        <f>COUNTIFS(明細!$G$5:$G$363,A87,明細!$D$5:$D$363,"バッチ")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COUNTIFS(明細!$I$5:$I$363,A87,明細!$D$5:$D$363,"バッチ")</f>
        <v/>
      </c>
      <c r="L87" s="98">
        <f>COUNTIFS(明細!$J$5:$J$363,A87,明細!$D$5:$D$363,"バッチ")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46084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COUNTIFS(明細!$F$5:$F$363,A88,明細!$D$5:$D$363,"バッチ")</f>
        <v/>
      </c>
      <c r="E88" s="98">
        <f>COUNTIFS(明細!$G$5:$G$363,A88,明細!$D$5:$D$363,"バッチ")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COUNTIFS(明細!$I$5:$I$363,A88,明細!$D$5:$D$363,"バッチ")</f>
        <v/>
      </c>
      <c r="L88" s="98">
        <f>COUNTIFS(明細!$J$5:$J$363,A88,明細!$D$5:$D$363,"バッチ")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46085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COUNTIFS(明細!$F$5:$F$363,A89,明細!$D$5:$D$363,"バッチ")</f>
        <v/>
      </c>
      <c r="E89" s="98">
        <f>COUNTIFS(明細!$G$5:$G$363,A89,明細!$D$5:$D$363,"バッチ")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COUNTIFS(明細!$I$5:$I$363,A89,明細!$D$5:$D$363,"バッチ")</f>
        <v/>
      </c>
      <c r="L89" s="98">
        <f>COUNTIFS(明細!$J$5:$J$363,A89,明細!$D$5:$D$363,"バッチ")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46086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COUNTIFS(明細!$F$5:$F$363,A90,明細!$D$5:$D$363,"バッチ")</f>
        <v/>
      </c>
      <c r="E90" s="98">
        <f>COUNTIFS(明細!$G$5:$G$363,A90,明細!$D$5:$D$363,"バッチ")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COUNTIFS(明細!$I$5:$I$363,A90,明細!$D$5:$D$363,"バッチ")</f>
        <v/>
      </c>
      <c r="L90" s="98">
        <f>COUNTIFS(明細!$J$5:$J$363,A90,明細!$D$5:$D$363,"バッチ")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46087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COUNTIFS(明細!$F$5:$F$363,A91,明細!$D$5:$D$363,"バッチ")</f>
        <v/>
      </c>
      <c r="E91" s="98">
        <f>COUNTIFS(明細!$G$5:$G$363,A91,明細!$D$5:$D$363,"バッチ")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COUNTIFS(明細!$I$5:$I$363,A91,明細!$D$5:$D$363,"バッチ")</f>
        <v/>
      </c>
      <c r="L91" s="98">
        <f>COUNTIFS(明細!$J$5:$J$363,A91,明細!$D$5:$D$363,"バッチ")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46088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COUNTIFS(明細!$F$5:$F$363,A92,明細!$D$5:$D$363,"バッチ")</f>
        <v/>
      </c>
      <c r="E92" s="98">
        <f>COUNTIFS(明細!$G$5:$G$363,A92,明細!$D$5:$D$363,"バッチ")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COUNTIFS(明細!$I$5:$I$363,A92,明細!$D$5:$D$363,"バッチ")</f>
        <v/>
      </c>
      <c r="L92" s="98">
        <f>COUNTIFS(明細!$J$5:$J$363,A92,明細!$D$5:$D$363,"バッチ")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46089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COUNTIFS(明細!$F$5:$F$363,A93,明細!$D$5:$D$363,"バッチ")</f>
        <v/>
      </c>
      <c r="E93" s="98">
        <f>COUNTIFS(明細!$G$5:$G$363,A93,明細!$D$5:$D$363,"バッチ")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COUNTIFS(明細!$I$5:$I$363,A93,明細!$D$5:$D$363,"バッチ")</f>
        <v/>
      </c>
      <c r="L93" s="98">
        <f>COUNTIFS(明細!$J$5:$J$363,A93,明細!$D$5:$D$363,"バッチ")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46090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COUNTIFS(明細!$F$5:$F$363,A94,明細!$D$5:$D$363,"バッチ")</f>
        <v/>
      </c>
      <c r="E94" s="98">
        <f>COUNTIFS(明細!$G$5:$G$363,A94,明細!$D$5:$D$363,"バッチ")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COUNTIFS(明細!$I$5:$I$363,A94,明細!$D$5:$D$363,"バッチ")</f>
        <v/>
      </c>
      <c r="L94" s="98">
        <f>COUNTIFS(明細!$J$5:$J$363,A94,明細!$D$5:$D$363,"バッチ")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46091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COUNTIFS(明細!$F$5:$F$363,A95,明細!$D$5:$D$363,"バッチ")</f>
        <v/>
      </c>
      <c r="E95" s="98">
        <f>COUNTIFS(明細!$G$5:$G$363,A95,明細!$D$5:$D$363,"バッチ")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COUNTIFS(明細!$I$5:$I$363,A95,明細!$D$5:$D$363,"バッチ")</f>
        <v/>
      </c>
      <c r="L95" s="98">
        <f>COUNTIFS(明細!$J$5:$J$363,A95,明細!$D$5:$D$363,"バッチ")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46092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COUNTIFS(明細!$F$5:$F$363,A96,明細!$D$5:$D$363,"バッチ")</f>
        <v/>
      </c>
      <c r="E96" s="98">
        <f>COUNTIFS(明細!$G$5:$G$363,A96,明細!$D$5:$D$363,"バッチ")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COUNTIFS(明細!$I$5:$I$363,A96,明細!$D$5:$D$363,"バッチ")</f>
        <v/>
      </c>
      <c r="L96" s="98">
        <f>COUNTIFS(明細!$J$5:$J$363,A96,明細!$D$5:$D$363,"バッチ")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46093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COUNTIFS(明細!$F$5:$F$363,A97,明細!$D$5:$D$363,"バッチ")</f>
        <v/>
      </c>
      <c r="E97" s="98">
        <f>COUNTIFS(明細!$G$5:$G$363,A97,明細!$D$5:$D$363,"バッチ")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COUNTIFS(明細!$I$5:$I$363,A97,明細!$D$5:$D$363,"バッチ")</f>
        <v/>
      </c>
      <c r="L97" s="98">
        <f>COUNTIFS(明細!$J$5:$J$363,A97,明細!$D$5:$D$363,"バッチ")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46094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COUNTIFS(明細!$F$5:$F$363,A98,明細!$D$5:$D$363,"バッチ")</f>
        <v/>
      </c>
      <c r="E98" s="98">
        <f>COUNTIFS(明細!$G$5:$G$363,A98,明細!$D$5:$D$363,"バッチ")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COUNTIFS(明細!$I$5:$I$363,A98,明細!$D$5:$D$363,"バッチ")</f>
        <v/>
      </c>
      <c r="L98" s="98">
        <f>COUNTIFS(明細!$J$5:$J$363,A98,明細!$D$5:$D$363,"バッチ")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46095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COUNTIFS(明細!$F$5:$F$363,A99,明細!$D$5:$D$363,"バッチ")</f>
        <v/>
      </c>
      <c r="E99" s="98">
        <f>COUNTIFS(明細!$G$5:$G$363,A99,明細!$D$5:$D$363,"バッチ")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COUNTIFS(明細!$I$5:$I$363,A99,明細!$D$5:$D$363,"バッチ")</f>
        <v/>
      </c>
      <c r="L99" s="98">
        <f>COUNTIFS(明細!$J$5:$J$363,A99,明細!$D$5:$D$363,"バッチ")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46096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COUNTIFS(明細!$F$5:$F$363,A100,明細!$D$5:$D$363,"バッチ")</f>
        <v/>
      </c>
      <c r="E100" s="98">
        <f>COUNTIFS(明細!$G$5:$G$363,A100,明細!$D$5:$D$363,"バッチ")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COUNTIFS(明細!$I$5:$I$363,A100,明細!$D$5:$D$363,"バッチ")</f>
        <v/>
      </c>
      <c r="L100" s="98">
        <f>COUNTIFS(明細!$J$5:$J$363,A100,明細!$D$5:$D$363,"バッチ")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46097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COUNTIFS(明細!$F$5:$F$363,A101,明細!$D$5:$D$363,"バッチ")</f>
        <v/>
      </c>
      <c r="E101" s="98">
        <f>COUNTIFS(明細!$G$5:$G$363,A101,明細!$D$5:$D$363,"バッチ")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COUNTIFS(明細!$I$5:$I$363,A101,明細!$D$5:$D$363,"バッチ")</f>
        <v/>
      </c>
      <c r="L101" s="98">
        <f>COUNTIFS(明細!$J$5:$J$363,A101,明細!$D$5:$D$363,"バッチ")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46098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COUNTIFS(明細!$F$5:$F$363,A102,明細!$D$5:$D$363,"バッチ")</f>
        <v/>
      </c>
      <c r="E102" s="98">
        <f>COUNTIFS(明細!$G$5:$G$363,A102,明細!$D$5:$D$363,"バッチ")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COUNTIFS(明細!$I$5:$I$363,A102,明細!$D$5:$D$363,"バッチ")</f>
        <v/>
      </c>
      <c r="L102" s="98">
        <f>COUNTIFS(明細!$J$5:$J$363,A102,明細!$D$5:$D$363,"バッチ")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46099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COUNTIFS(明細!$F$5:$F$363,A103,明細!$D$5:$D$363,"バッチ")</f>
        <v/>
      </c>
      <c r="E103" s="98">
        <f>COUNTIFS(明細!$G$5:$G$363,A103,明細!$D$5:$D$363,"バッチ")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COUNTIFS(明細!$I$5:$I$363,A103,明細!$D$5:$D$363,"バッチ")</f>
        <v/>
      </c>
      <c r="L103" s="98">
        <f>COUNTIFS(明細!$J$5:$J$363,A103,明細!$D$5:$D$363,"バッチ")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46100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COUNTIFS(明細!$F$5:$F$363,A104,明細!$D$5:$D$363,"バッチ")</f>
        <v/>
      </c>
      <c r="E104" s="98">
        <f>COUNTIFS(明細!$G$5:$G$363,A104,明細!$D$5:$D$363,"バッチ")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COUNTIFS(明細!$I$5:$I$363,A104,明細!$D$5:$D$363,"バッチ")</f>
        <v/>
      </c>
      <c r="L104" s="98">
        <f>COUNTIFS(明細!$J$5:$J$363,A104,明細!$D$5:$D$363,"バッチ")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46101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COUNTIFS(明細!$F$5:$F$363,A105,明細!$D$5:$D$363,"バッチ")</f>
        <v/>
      </c>
      <c r="E105" s="98">
        <f>COUNTIFS(明細!$G$5:$G$363,A105,明細!$D$5:$D$363,"バッチ")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COUNTIFS(明細!$I$5:$I$363,A105,明細!$D$5:$D$363,"バッチ")</f>
        <v/>
      </c>
      <c r="L105" s="98">
        <f>COUNTIFS(明細!$J$5:$J$363,A105,明細!$D$5:$D$363,"バッチ")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46102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COUNTIFS(明細!$F$5:$F$363,A106,明細!$D$5:$D$363,"バッチ")</f>
        <v/>
      </c>
      <c r="E106" s="98">
        <f>COUNTIFS(明細!$G$5:$G$363,A106,明細!$D$5:$D$363,"バッチ")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COUNTIFS(明細!$I$5:$I$363,A106,明細!$D$5:$D$363,"バッチ")</f>
        <v/>
      </c>
      <c r="L106" s="98">
        <f>COUNTIFS(明細!$J$5:$J$363,A106,明細!$D$5:$D$363,"バッチ")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46103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COUNTIFS(明細!$F$5:$F$363,A107,明細!$D$5:$D$363,"バッチ")</f>
        <v/>
      </c>
      <c r="E107" s="98">
        <f>COUNTIFS(明細!$G$5:$G$363,A107,明細!$D$5:$D$363,"バッチ")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COUNTIFS(明細!$I$5:$I$363,A107,明細!$D$5:$D$363,"バッチ")</f>
        <v/>
      </c>
      <c r="L107" s="98">
        <f>COUNTIFS(明細!$J$5:$J$363,A107,明細!$D$5:$D$363,"バッチ")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46104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COUNTIFS(明細!$F$5:$F$363,A108,明細!$D$5:$D$363,"バッチ")</f>
        <v/>
      </c>
      <c r="E108" s="98">
        <f>COUNTIFS(明細!$G$5:$G$363,A108,明細!$D$5:$D$363,"バッチ")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COUNTIFS(明細!$I$5:$I$363,A108,明細!$D$5:$D$363,"バッチ")</f>
        <v/>
      </c>
      <c r="L108" s="98">
        <f>COUNTIFS(明細!$J$5:$J$363,A108,明細!$D$5:$D$363,"バッチ")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46105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COUNTIFS(明細!$F$5:$F$363,A109,明細!$D$5:$D$363,"バッチ")</f>
        <v/>
      </c>
      <c r="E109" s="98">
        <f>COUNTIFS(明細!$G$5:$G$363,A109,明細!$D$5:$D$363,"バッチ")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COUNTIFS(明細!$I$5:$I$363,A109,明細!$D$5:$D$363,"バッチ")</f>
        <v/>
      </c>
      <c r="L109" s="98">
        <f>COUNTIFS(明細!$J$5:$J$363,A109,明細!$D$5:$D$363,"バッチ")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46106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COUNTIFS(明細!$F$5:$F$363,A110,明細!$D$5:$D$363,"バッチ")</f>
        <v/>
      </c>
      <c r="E110" s="98">
        <f>COUNTIFS(明細!$G$5:$G$363,A110,明細!$D$5:$D$363,"バッチ")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COUNTIFS(明細!$I$5:$I$363,A110,明細!$D$5:$D$363,"バッチ")</f>
        <v/>
      </c>
      <c r="L110" s="98">
        <f>COUNTIFS(明細!$J$5:$J$363,A110,明細!$D$5:$D$363,"バッチ")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46107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COUNTIFS(明細!$F$5:$F$363,A111,明細!$D$5:$D$363,"バッチ")</f>
        <v/>
      </c>
      <c r="E111" s="98">
        <f>COUNTIFS(明細!$G$5:$G$363,A111,明細!$D$5:$D$363,"バッチ")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COUNTIFS(明細!$I$5:$I$363,A111,明細!$D$5:$D$363,"バッチ")</f>
        <v/>
      </c>
      <c r="L111" s="98">
        <f>COUNTIFS(明細!$J$5:$J$363,A111,明細!$D$5:$D$363,"バッチ")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46108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COUNTIFS(明細!$F$5:$F$363,A112,明細!$D$5:$D$363,"バッチ")</f>
        <v/>
      </c>
      <c r="E112" s="98">
        <f>COUNTIFS(明細!$G$5:$G$363,A112,明細!$D$5:$D$363,"バッチ")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COUNTIFS(明細!$I$5:$I$363,A112,明細!$D$5:$D$363,"バッチ")</f>
        <v/>
      </c>
      <c r="L112" s="98">
        <f>COUNTIFS(明細!$J$5:$J$363,A112,明細!$D$5:$D$363,"バッチ")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46109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COUNTIFS(明細!$F$5:$F$363,A113,明細!$D$5:$D$363,"バッチ")</f>
        <v/>
      </c>
      <c r="E113" s="98">
        <f>COUNTIFS(明細!$G$5:$G$363,A113,明細!$D$5:$D$363,"バッチ")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COUNTIFS(明細!$I$5:$I$363,A113,明細!$D$5:$D$363,"バッチ")</f>
        <v/>
      </c>
      <c r="L113" s="98">
        <f>COUNTIFS(明細!$J$5:$J$363,A113,明細!$D$5:$D$363,"バッチ")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46110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COUNTIFS(明細!$F$5:$F$363,A114,明細!$D$5:$D$363,"バッチ")</f>
        <v/>
      </c>
      <c r="E114" s="98">
        <f>COUNTIFS(明細!$G$5:$G$363,A114,明細!$D$5:$D$363,"バッチ")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COUNTIFS(明細!$I$5:$I$363,A114,明細!$D$5:$D$363,"バッチ")</f>
        <v/>
      </c>
      <c r="L114" s="98">
        <f>COUNTIFS(明細!$J$5:$J$363,A114,明細!$D$5:$D$363,"バッチ")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46111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COUNTIFS(明細!$F$5:$F$363,A115,明細!$D$5:$D$363,"バッチ")</f>
        <v/>
      </c>
      <c r="E115" s="98">
        <f>COUNTIFS(明細!$G$5:$G$363,A115,明細!$D$5:$D$363,"バッチ")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COUNTIFS(明細!$I$5:$I$363,A115,明細!$D$5:$D$363,"バッチ")</f>
        <v/>
      </c>
      <c r="L115" s="98">
        <f>COUNTIFS(明細!$J$5:$J$363,A115,明細!$D$5:$D$363,"バッチ")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46112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COUNTIFS(明細!$F$5:$F$363,A116,明細!$D$5:$D$363,"バッチ")</f>
        <v/>
      </c>
      <c r="E116" s="98">
        <f>COUNTIFS(明細!$G$5:$G$363,A116,明細!$D$5:$D$363,"バッチ")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COUNTIFS(明細!$I$5:$I$363,A116,明細!$D$5:$D$363,"バッチ")</f>
        <v/>
      </c>
      <c r="L116" s="98">
        <f>COUNTIFS(明細!$J$5:$J$363,A116,明細!$D$5:$D$363,"バッチ")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46113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COUNTIFS(明細!$F$5:$F$363,A117,明細!$D$5:$D$363,"バッチ")</f>
        <v/>
      </c>
      <c r="E117" s="98">
        <f>COUNTIFS(明細!$G$5:$G$363,A117,明細!$D$5:$D$363,"バッチ")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COUNTIFS(明細!$I$5:$I$363,A117,明細!$D$5:$D$363,"バッチ")</f>
        <v/>
      </c>
      <c r="L117" s="98">
        <f>COUNTIFS(明細!$J$5:$J$363,A117,明細!$D$5:$D$363,"バッチ")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46114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COUNTIFS(明細!$F$5:$F$363,A118,明細!$D$5:$D$363,"バッチ")</f>
        <v/>
      </c>
      <c r="E118" s="98">
        <f>COUNTIFS(明細!$G$5:$G$363,A118,明細!$D$5:$D$363,"バッチ")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COUNTIFS(明細!$I$5:$I$363,A118,明細!$D$5:$D$363,"バッチ")</f>
        <v/>
      </c>
      <c r="L118" s="98">
        <f>COUNTIFS(明細!$J$5:$J$363,A118,明細!$D$5:$D$363,"バッチ")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46115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COUNTIFS(明細!$F$5:$F$363,A119,明細!$D$5:$D$363,"バッチ")</f>
        <v/>
      </c>
      <c r="E119" s="98">
        <f>COUNTIFS(明細!$G$5:$G$363,A119,明細!$D$5:$D$363,"バッチ")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COUNTIFS(明細!$I$5:$I$363,A119,明細!$D$5:$D$363,"バッチ")</f>
        <v/>
      </c>
      <c r="L119" s="98">
        <f>COUNTIFS(明細!$J$5:$J$363,A119,明細!$D$5:$D$363,"バッチ")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46116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COUNTIFS(明細!$F$5:$F$363,A120,明細!$D$5:$D$363,"バッチ")</f>
        <v/>
      </c>
      <c r="E120" s="98">
        <f>COUNTIFS(明細!$G$5:$G$363,A120,明細!$D$5:$D$363,"バッチ")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COUNTIFS(明細!$I$5:$I$363,A120,明細!$D$5:$D$363,"バッチ")</f>
        <v/>
      </c>
      <c r="L120" s="98">
        <f>COUNTIFS(明細!$J$5:$J$363,A120,明細!$D$5:$D$363,"バッチ")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46117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COUNTIFS(明細!$F$5:$F$363,A121,明細!$D$5:$D$363,"バッチ")</f>
        <v/>
      </c>
      <c r="E121" s="98">
        <f>COUNTIFS(明細!$G$5:$G$363,A121,明細!$D$5:$D$363,"バッチ")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COUNTIFS(明細!$I$5:$I$363,A121,明細!$D$5:$D$363,"バッチ")</f>
        <v/>
      </c>
      <c r="L121" s="98">
        <f>COUNTIFS(明細!$J$5:$J$363,A121,明細!$D$5:$D$363,"バッチ")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46118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COUNTIFS(明細!$F$5:$F$363,A122,明細!$D$5:$D$363,"バッチ")</f>
        <v/>
      </c>
      <c r="E122" s="98">
        <f>COUNTIFS(明細!$G$5:$G$363,A122,明細!$D$5:$D$363,"バッチ")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COUNTIFS(明細!$I$5:$I$363,A122,明細!$D$5:$D$363,"バッチ")</f>
        <v/>
      </c>
      <c r="L122" s="98">
        <f>COUNTIFS(明細!$J$5:$J$363,A122,明細!$D$5:$D$363,"バッチ")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46119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COUNTIFS(明細!$F$5:$F$363,A123,明細!$D$5:$D$363,"バッチ")</f>
        <v/>
      </c>
      <c r="E123" s="98">
        <f>COUNTIFS(明細!$G$5:$G$363,A123,明細!$D$5:$D$363,"バッチ")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COUNTIFS(明細!$I$5:$I$363,A123,明細!$D$5:$D$363,"バッチ")</f>
        <v/>
      </c>
      <c r="L123" s="98">
        <f>COUNTIFS(明細!$J$5:$J$363,A123,明細!$D$5:$D$363,"バッチ")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46120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COUNTIFS(明細!$F$5:$F$363,A124,明細!$D$5:$D$363,"バッチ")</f>
        <v/>
      </c>
      <c r="E124" s="98">
        <f>COUNTIFS(明細!$G$5:$G$363,A124,明細!$D$5:$D$363,"バッチ")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COUNTIFS(明細!$I$5:$I$363,A124,明細!$D$5:$D$363,"バッチ")</f>
        <v/>
      </c>
      <c r="L124" s="98">
        <f>COUNTIFS(明細!$J$5:$J$363,A124,明細!$D$5:$D$363,"バッチ")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46121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COUNTIFS(明細!$F$5:$F$363,A125,明細!$D$5:$D$363,"バッチ")</f>
        <v/>
      </c>
      <c r="E125" s="98">
        <f>COUNTIFS(明細!$G$5:$G$363,A125,明細!$D$5:$D$363,"バッチ")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COUNTIFS(明細!$I$5:$I$363,A125,明細!$D$5:$D$363,"バッチ")</f>
        <v/>
      </c>
      <c r="L125" s="98">
        <f>COUNTIFS(明細!$J$5:$J$363,A125,明細!$D$5:$D$363,"バッチ")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46122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COUNTIFS(明細!$F$5:$F$363,A126,明細!$D$5:$D$363,"バッチ")</f>
        <v/>
      </c>
      <c r="E126" s="98">
        <f>COUNTIFS(明細!$G$5:$G$363,A126,明細!$D$5:$D$363,"バッチ")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COUNTIFS(明細!$I$5:$I$363,A126,明細!$D$5:$D$363,"バッチ")</f>
        <v/>
      </c>
      <c r="L126" s="98">
        <f>COUNTIFS(明細!$J$5:$J$363,A126,明細!$D$5:$D$363,"バッチ")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46123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COUNTIFS(明細!$F$5:$F$363,A127,明細!$D$5:$D$363,"バッチ")</f>
        <v/>
      </c>
      <c r="E127" s="98">
        <f>COUNTIFS(明細!$G$5:$G$363,A127,明細!$D$5:$D$363,"バッチ")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COUNTIFS(明細!$I$5:$I$363,A127,明細!$D$5:$D$363,"バッチ")</f>
        <v/>
      </c>
      <c r="L127" s="98">
        <f>COUNTIFS(明細!$J$5:$J$363,A127,明細!$D$5:$D$363,"バッチ")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46124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COUNTIFS(明細!$F$5:$F$363,A128,明細!$D$5:$D$363,"バッチ")</f>
        <v/>
      </c>
      <c r="E128" s="98">
        <f>COUNTIFS(明細!$G$5:$G$363,A128,明細!$D$5:$D$363,"バッチ")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COUNTIFS(明細!$I$5:$I$363,A128,明細!$D$5:$D$363,"バッチ")</f>
        <v/>
      </c>
      <c r="L128" s="98">
        <f>COUNTIFS(明細!$J$5:$J$363,A128,明細!$D$5:$D$363,"バッチ")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46125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COUNTIFS(明細!$F$5:$F$363,A129,明細!$D$5:$D$363,"バッチ")</f>
        <v/>
      </c>
      <c r="E129" s="98">
        <f>COUNTIFS(明細!$G$5:$G$363,A129,明細!$D$5:$D$363,"バッチ")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COUNTIFS(明細!$I$5:$I$363,A129,明細!$D$5:$D$363,"バッチ")</f>
        <v/>
      </c>
      <c r="L129" s="98">
        <f>COUNTIFS(明細!$J$5:$J$363,A129,明細!$D$5:$D$363,"バッチ")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46126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COUNTIFS(明細!$F$5:$F$363,A130,明細!$D$5:$D$363,"バッチ")</f>
        <v/>
      </c>
      <c r="E130" s="98">
        <f>COUNTIFS(明細!$G$5:$G$363,A130,明細!$D$5:$D$363,"バッチ")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COUNTIFS(明細!$I$5:$I$363,A130,明細!$D$5:$D$363,"バッチ")</f>
        <v/>
      </c>
      <c r="L130" s="98">
        <f>COUNTIFS(明細!$J$5:$J$363,A130,明細!$D$5:$D$363,"バッチ")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46127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COUNTIFS(明細!$F$5:$F$363,A131,明細!$D$5:$D$363,"バッチ")</f>
        <v/>
      </c>
      <c r="E131" s="98">
        <f>COUNTIFS(明細!$G$5:$G$363,A131,明細!$D$5:$D$363,"バッチ")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COUNTIFS(明細!$I$5:$I$363,A131,明細!$D$5:$D$363,"バッチ")</f>
        <v/>
      </c>
      <c r="L131" s="98">
        <f>COUNTIFS(明細!$J$5:$J$363,A131,明細!$D$5:$D$363,"バッチ")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46128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COUNTIFS(明細!$F$5:$F$363,A132,明細!$D$5:$D$363,"バッチ")</f>
        <v/>
      </c>
      <c r="E132" s="98">
        <f>COUNTIFS(明細!$G$5:$G$363,A132,明細!$D$5:$D$363,"バッチ")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COUNTIFS(明細!$I$5:$I$363,A132,明細!$D$5:$D$363,"バッチ")</f>
        <v/>
      </c>
      <c r="L132" s="98">
        <f>COUNTIFS(明細!$J$5:$J$363,A132,明細!$D$5:$D$363,"バッチ")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46129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COUNTIFS(明細!$F$5:$F$363,A133,明細!$D$5:$D$363,"バッチ")</f>
        <v/>
      </c>
      <c r="E133" s="98">
        <f>COUNTIFS(明細!$G$5:$G$363,A133,明細!$D$5:$D$363,"バッチ")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COUNTIFS(明細!$I$5:$I$363,A133,明細!$D$5:$D$363,"バッチ")</f>
        <v/>
      </c>
      <c r="L133" s="98">
        <f>COUNTIFS(明細!$J$5:$J$363,A133,明細!$D$5:$D$363,"バッチ")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46130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COUNTIFS(明細!$F$5:$F$363,A134,明細!$D$5:$D$363,"バッチ")</f>
        <v/>
      </c>
      <c r="E134" s="98">
        <f>COUNTIFS(明細!$G$5:$G$363,A134,明細!$D$5:$D$363,"バッチ")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COUNTIFS(明細!$I$5:$I$363,A134,明細!$D$5:$D$363,"バッチ")</f>
        <v/>
      </c>
      <c r="L134" s="98">
        <f>COUNTIFS(明細!$J$5:$J$363,A134,明細!$D$5:$D$363,"バッチ")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46131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COUNTIFS(明細!$F$5:$F$363,A135,明細!$D$5:$D$363,"バッチ")</f>
        <v/>
      </c>
      <c r="E135" s="98">
        <f>COUNTIFS(明細!$G$5:$G$363,A135,明細!$D$5:$D$363,"バッチ")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COUNTIFS(明細!$I$5:$I$363,A135,明細!$D$5:$D$363,"バッチ")</f>
        <v/>
      </c>
      <c r="L135" s="98">
        <f>COUNTIFS(明細!$J$5:$J$363,A135,明細!$D$5:$D$363,"バッチ")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46132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COUNTIFS(明細!$F$5:$F$363,A136,明細!$D$5:$D$363,"バッチ")</f>
        <v/>
      </c>
      <c r="E136" s="98">
        <f>COUNTIFS(明細!$G$5:$G$363,A136,明細!$D$5:$D$363,"バッチ")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COUNTIFS(明細!$I$5:$I$363,A136,明細!$D$5:$D$363,"バッチ")</f>
        <v/>
      </c>
      <c r="L136" s="98">
        <f>COUNTIFS(明細!$J$5:$J$363,A136,明細!$D$5:$D$363,"バッチ")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46133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COUNTIFS(明細!$F$5:$F$363,A137,明細!$D$5:$D$363,"バッチ")</f>
        <v/>
      </c>
      <c r="E137" s="98">
        <f>COUNTIFS(明細!$G$5:$G$363,A137,明細!$D$5:$D$363,"バッチ")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COUNTIFS(明細!$I$5:$I$363,A137,明細!$D$5:$D$363,"バッチ")</f>
        <v/>
      </c>
      <c r="L137" s="98">
        <f>COUNTIFS(明細!$J$5:$J$363,A137,明細!$D$5:$D$363,"バッチ")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46134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COUNTIFS(明細!$F$5:$F$363,A138,明細!$D$5:$D$363,"バッチ")</f>
        <v/>
      </c>
      <c r="E138" s="98">
        <f>COUNTIFS(明細!$G$5:$G$363,A138,明細!$D$5:$D$363,"バッチ")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COUNTIFS(明細!$I$5:$I$363,A138,明細!$D$5:$D$363,"バッチ")</f>
        <v/>
      </c>
      <c r="L138" s="98">
        <f>COUNTIFS(明細!$J$5:$J$363,A138,明細!$D$5:$D$363,"バッチ")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46135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COUNTIFS(明細!$F$5:$F$363,A139,明細!$D$5:$D$363,"バッチ")</f>
        <v/>
      </c>
      <c r="E139" s="98">
        <f>COUNTIFS(明細!$G$5:$G$363,A139,明細!$D$5:$D$363,"バッチ")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COUNTIFS(明細!$I$5:$I$363,A139,明細!$D$5:$D$363,"バッチ")</f>
        <v/>
      </c>
      <c r="L139" s="98">
        <f>COUNTIFS(明細!$J$5:$J$363,A139,明細!$D$5:$D$363,"バッチ")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46136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COUNTIFS(明細!$F$5:$F$363,A140,明細!$D$5:$D$363,"バッチ")</f>
        <v/>
      </c>
      <c r="E140" s="98">
        <f>COUNTIFS(明細!$G$5:$G$363,A140,明細!$D$5:$D$363,"バッチ")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COUNTIFS(明細!$I$5:$I$363,A140,明細!$D$5:$D$363,"バッチ")</f>
        <v/>
      </c>
      <c r="L140" s="98">
        <f>COUNTIFS(明細!$J$5:$J$363,A140,明細!$D$5:$D$363,"バッチ")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46137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COUNTIFS(明細!$F$5:$F$363,A141,明細!$D$5:$D$363,"バッチ")</f>
        <v/>
      </c>
      <c r="E141" s="98">
        <f>COUNTIFS(明細!$G$5:$G$363,A141,明細!$D$5:$D$363,"バッチ")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COUNTIFS(明細!$I$5:$I$363,A141,明細!$D$5:$D$363,"バッチ")</f>
        <v/>
      </c>
      <c r="L141" s="98">
        <f>COUNTIFS(明細!$J$5:$J$363,A141,明細!$D$5:$D$363,"バッチ")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46138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COUNTIFS(明細!$F$5:$F$363,A142,明細!$D$5:$D$363,"バッチ")</f>
        <v/>
      </c>
      <c r="E142" s="98">
        <f>COUNTIFS(明細!$G$5:$G$363,A142,明細!$D$5:$D$363,"バッチ")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COUNTIFS(明細!$I$5:$I$363,A142,明細!$D$5:$D$363,"バッチ")</f>
        <v/>
      </c>
      <c r="L142" s="98">
        <f>COUNTIFS(明細!$J$5:$J$363,A142,明細!$D$5:$D$363,"バッチ")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46139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COUNTIFS(明細!$F$5:$F$363,A143,明細!$D$5:$D$363,"バッチ")</f>
        <v/>
      </c>
      <c r="E143" s="98">
        <f>COUNTIFS(明細!$G$5:$G$363,A143,明細!$D$5:$D$363,"バッチ")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COUNTIFS(明細!$I$5:$I$363,A143,明細!$D$5:$D$363,"バッチ")</f>
        <v/>
      </c>
      <c r="L143" s="98">
        <f>COUNTIFS(明細!$J$5:$J$363,A143,明細!$D$5:$D$363,"バッチ")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46140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COUNTIFS(明細!$F$5:$F$363,A144,明細!$D$5:$D$363,"バッチ")</f>
        <v/>
      </c>
      <c r="E144" s="98">
        <f>COUNTIFS(明細!$G$5:$G$363,A144,明細!$D$5:$D$363,"バッチ")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COUNTIFS(明細!$I$5:$I$363,A144,明細!$D$5:$D$363,"バッチ")</f>
        <v/>
      </c>
      <c r="L144" s="98">
        <f>COUNTIFS(明細!$J$5:$J$363,A144,明細!$D$5:$D$363,"バッチ")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46141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COUNTIFS(明細!$F$5:$F$363,A145,明細!$D$5:$D$363,"バッチ")</f>
        <v/>
      </c>
      <c r="E145" s="98">
        <f>COUNTIFS(明細!$G$5:$G$363,A145,明細!$D$5:$D$363,"バッチ")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COUNTIFS(明細!$I$5:$I$363,A145,明細!$D$5:$D$363,"バッチ")</f>
        <v/>
      </c>
      <c r="L145" s="98">
        <f>COUNTIFS(明細!$J$5:$J$363,A145,明細!$D$5:$D$363,"バッチ")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46142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COUNTIFS(明細!$F$5:$F$363,A146,明細!$D$5:$D$363,"バッチ")</f>
        <v/>
      </c>
      <c r="E146" s="98">
        <f>COUNTIFS(明細!$G$5:$G$363,A146,明細!$D$5:$D$363,"バッチ")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COUNTIFS(明細!$I$5:$I$363,A146,明細!$D$5:$D$363,"バッチ")</f>
        <v/>
      </c>
      <c r="L146" s="98">
        <f>COUNTIFS(明細!$J$5:$J$363,A146,明細!$D$5:$D$363,"バッチ")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46143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COUNTIFS(明細!$F$5:$F$363,A147,明細!$D$5:$D$363,"バッチ")</f>
        <v/>
      </c>
      <c r="E147" s="98">
        <f>COUNTIFS(明細!$G$5:$G$363,A147,明細!$D$5:$D$363,"バッチ")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COUNTIFS(明細!$I$5:$I$363,A147,明細!$D$5:$D$363,"バッチ")</f>
        <v/>
      </c>
      <c r="L147" s="98">
        <f>COUNTIFS(明細!$J$5:$J$363,A147,明細!$D$5:$D$363,"バッチ")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46144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COUNTIFS(明細!$F$5:$F$363,A148,明細!$D$5:$D$363,"バッチ")</f>
        <v/>
      </c>
      <c r="E148" s="98">
        <f>COUNTIFS(明細!$G$5:$G$363,A148,明細!$D$5:$D$363,"バッチ")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COUNTIFS(明細!$I$5:$I$363,A148,明細!$D$5:$D$363,"バッチ")</f>
        <v/>
      </c>
      <c r="L148" s="98">
        <f>COUNTIFS(明細!$J$5:$J$363,A148,明細!$D$5:$D$363,"バッチ")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46145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COUNTIFS(明細!$F$5:$F$363,A149,明細!$D$5:$D$363,"バッチ")</f>
        <v/>
      </c>
      <c r="E149" s="98">
        <f>COUNTIFS(明細!$G$5:$G$363,A149,明細!$D$5:$D$363,"バッチ")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COUNTIFS(明細!$I$5:$I$363,A149,明細!$D$5:$D$363,"バッチ")</f>
        <v/>
      </c>
      <c r="L149" s="98">
        <f>COUNTIFS(明細!$J$5:$J$363,A149,明細!$D$5:$D$363,"バッチ")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46146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COUNTIFS(明細!$F$5:$F$363,A150,明細!$D$5:$D$363,"バッチ")</f>
        <v/>
      </c>
      <c r="E150" s="98">
        <f>COUNTIFS(明細!$G$5:$G$363,A150,明細!$D$5:$D$363,"バッチ")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COUNTIFS(明細!$I$5:$I$363,A150,明細!$D$5:$D$363,"バッチ")</f>
        <v/>
      </c>
      <c r="L150" s="98">
        <f>COUNTIFS(明細!$J$5:$J$363,A150,明細!$D$5:$D$363,"バッチ")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46147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COUNTIFS(明細!$F$5:$F$363,A151,明細!$D$5:$D$363,"バッチ")</f>
        <v/>
      </c>
      <c r="E151" s="98">
        <f>COUNTIFS(明細!$G$5:$G$363,A151,明細!$D$5:$D$363,"バッチ")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COUNTIFS(明細!$I$5:$I$363,A151,明細!$D$5:$D$363,"バッチ")</f>
        <v/>
      </c>
      <c r="L151" s="98">
        <f>COUNTIFS(明細!$J$5:$J$363,A151,明細!$D$5:$D$363,"バッチ")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46148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COUNTIFS(明細!$F$5:$F$363,A152,明細!$D$5:$D$363,"バッチ")</f>
        <v/>
      </c>
      <c r="E152" s="98">
        <f>COUNTIFS(明細!$G$5:$G$363,A152,明細!$D$5:$D$363,"バッチ")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COUNTIFS(明細!$I$5:$I$363,A152,明細!$D$5:$D$363,"バッチ")</f>
        <v/>
      </c>
      <c r="L152" s="98">
        <f>COUNTIFS(明細!$J$5:$J$363,A152,明細!$D$5:$D$363,"バッチ")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46149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COUNTIFS(明細!$F$5:$F$363,A153,明細!$D$5:$D$363,"バッチ")</f>
        <v/>
      </c>
      <c r="E153" s="98">
        <f>COUNTIFS(明細!$G$5:$G$363,A153,明細!$D$5:$D$363,"バッチ")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COUNTIFS(明細!$I$5:$I$363,A153,明細!$D$5:$D$363,"バッチ")</f>
        <v/>
      </c>
      <c r="L153" s="98">
        <f>COUNTIFS(明細!$J$5:$J$363,A153,明細!$D$5:$D$363,"バッチ")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46150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COUNTIFS(明細!$F$5:$F$363,A154,明細!$D$5:$D$363,"バッチ")</f>
        <v/>
      </c>
      <c r="E154" s="98">
        <f>COUNTIFS(明細!$G$5:$G$363,A154,明細!$D$5:$D$363,"バッチ")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COUNTIFS(明細!$I$5:$I$363,A154,明細!$D$5:$D$363,"バッチ")</f>
        <v/>
      </c>
      <c r="L154" s="98">
        <f>COUNTIFS(明細!$J$5:$J$363,A154,明細!$D$5:$D$363,"バッチ")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46151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COUNTIFS(明細!$F$5:$F$363,A155,明細!$D$5:$D$363,"バッチ")</f>
        <v/>
      </c>
      <c r="E155" s="98">
        <f>COUNTIFS(明細!$G$5:$G$363,A155,明細!$D$5:$D$363,"バッチ")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COUNTIFS(明細!$I$5:$I$363,A155,明細!$D$5:$D$363,"バッチ")</f>
        <v/>
      </c>
      <c r="L155" s="98">
        <f>COUNTIFS(明細!$J$5:$J$363,A155,明細!$D$5:$D$363,"バッチ")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46152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COUNTIFS(明細!$F$5:$F$363,A156,明細!$D$5:$D$363,"バッチ")</f>
        <v/>
      </c>
      <c r="E156" s="98">
        <f>COUNTIFS(明細!$G$5:$G$363,A156,明細!$D$5:$D$363,"バッチ")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COUNTIFS(明細!$I$5:$I$363,A156,明細!$D$5:$D$363,"バッチ")</f>
        <v/>
      </c>
      <c r="L156" s="98">
        <f>COUNTIFS(明細!$J$5:$J$363,A156,明細!$D$5:$D$363,"バッチ")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46153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COUNTIFS(明細!$F$5:$F$363,A157,明細!$D$5:$D$363,"バッチ")</f>
        <v/>
      </c>
      <c r="E157" s="98">
        <f>COUNTIFS(明細!$G$5:$G$363,A157,明細!$D$5:$D$363,"バッチ")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COUNTIFS(明細!$I$5:$I$363,A157,明細!$D$5:$D$363,"バッチ")</f>
        <v/>
      </c>
      <c r="L157" s="98">
        <f>COUNTIFS(明細!$J$5:$J$363,A157,明細!$D$5:$D$363,"バッチ")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46154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COUNTIFS(明細!$F$5:$F$363,A158,明細!$D$5:$D$363,"バッチ")</f>
        <v/>
      </c>
      <c r="E158" s="98">
        <f>COUNTIFS(明細!$G$5:$G$363,A158,明細!$D$5:$D$363,"バッチ")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COUNTIFS(明細!$I$5:$I$363,A158,明細!$D$5:$D$363,"バッチ")</f>
        <v/>
      </c>
      <c r="L158" s="98">
        <f>COUNTIFS(明細!$J$5:$J$363,A158,明細!$D$5:$D$363,"バッチ")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46155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COUNTIFS(明細!$F$5:$F$363,A159,明細!$D$5:$D$363,"バッチ")</f>
        <v/>
      </c>
      <c r="E159" s="98">
        <f>COUNTIFS(明細!$G$5:$G$363,A159,明細!$D$5:$D$363,"バッチ")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COUNTIFS(明細!$I$5:$I$363,A159,明細!$D$5:$D$363,"バッチ")</f>
        <v/>
      </c>
      <c r="L159" s="98">
        <f>COUNTIFS(明細!$J$5:$J$363,A159,明細!$D$5:$D$363,"バッチ")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46156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COUNTIFS(明細!$F$5:$F$363,A160,明細!$D$5:$D$363,"バッチ")</f>
        <v/>
      </c>
      <c r="E160" s="98">
        <f>COUNTIFS(明細!$G$5:$G$363,A160,明細!$D$5:$D$363,"バッチ")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COUNTIFS(明細!$I$5:$I$363,A160,明細!$D$5:$D$363,"バッチ")</f>
        <v/>
      </c>
      <c r="L160" s="98">
        <f>COUNTIFS(明細!$J$5:$J$363,A160,明細!$D$5:$D$363,"バッチ")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46157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COUNTIFS(明細!$F$5:$F$363,A161,明細!$D$5:$D$363,"バッチ")</f>
        <v/>
      </c>
      <c r="E161" s="98">
        <f>COUNTIFS(明細!$G$5:$G$363,A161,明細!$D$5:$D$363,"バッチ")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COUNTIFS(明細!$I$5:$I$363,A161,明細!$D$5:$D$363,"バッチ")</f>
        <v/>
      </c>
      <c r="L161" s="98">
        <f>COUNTIFS(明細!$J$5:$J$363,A161,明細!$D$5:$D$363,"バッチ")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46158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COUNTIFS(明細!$F$5:$F$363,A162,明細!$D$5:$D$363,"バッチ")</f>
        <v/>
      </c>
      <c r="E162" s="98">
        <f>COUNTIFS(明細!$G$5:$G$363,A162,明細!$D$5:$D$363,"バッチ")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COUNTIFS(明細!$I$5:$I$363,A162,明細!$D$5:$D$363,"バッチ")</f>
        <v/>
      </c>
      <c r="L162" s="98">
        <f>COUNTIFS(明細!$J$5:$J$363,A162,明細!$D$5:$D$363,"バッチ")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46159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COUNTIFS(明細!$F$5:$F$363,A163,明細!$D$5:$D$363,"バッチ")</f>
        <v/>
      </c>
      <c r="E163" s="98">
        <f>COUNTIFS(明細!$G$5:$G$363,A163,明細!$D$5:$D$363,"バッチ")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COUNTIFS(明細!$I$5:$I$363,A163,明細!$D$5:$D$363,"バッチ")</f>
        <v/>
      </c>
      <c r="L163" s="98">
        <f>COUNTIFS(明細!$J$5:$J$363,A163,明細!$D$5:$D$363,"バッチ")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46160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COUNTIFS(明細!$F$5:$F$363,A164,明細!$D$5:$D$363,"バッチ")</f>
        <v/>
      </c>
      <c r="E164" s="98">
        <f>COUNTIFS(明細!$G$5:$G$363,A164,明細!$D$5:$D$363,"バッチ")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COUNTIFS(明細!$I$5:$I$363,A164,明細!$D$5:$D$363,"バッチ")</f>
        <v/>
      </c>
      <c r="L164" s="98">
        <f>COUNTIFS(明細!$J$5:$J$363,A164,明細!$D$5:$D$363,"バッチ")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46161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COUNTIFS(明細!$F$5:$F$363,A165,明細!$D$5:$D$363,"バッチ")</f>
        <v/>
      </c>
      <c r="E165" s="98">
        <f>COUNTIFS(明細!$G$5:$G$363,A165,明細!$D$5:$D$363,"バッチ")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COUNTIFS(明細!$I$5:$I$363,A165,明細!$D$5:$D$363,"バッチ")</f>
        <v/>
      </c>
      <c r="L165" s="98">
        <f>COUNTIFS(明細!$J$5:$J$363,A165,明細!$D$5:$D$363,"バッチ")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46162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COUNTIFS(明細!$F$5:$F$363,A166,明細!$D$5:$D$363,"バッチ")</f>
        <v/>
      </c>
      <c r="E166" s="98">
        <f>COUNTIFS(明細!$G$5:$G$363,A166,明細!$D$5:$D$363,"バッチ")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COUNTIFS(明細!$I$5:$I$363,A166,明細!$D$5:$D$363,"バッチ")</f>
        <v/>
      </c>
      <c r="L166" s="98">
        <f>COUNTIFS(明細!$J$5:$J$363,A166,明細!$D$5:$D$363,"バッチ")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46163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COUNTIFS(明細!$F$5:$F$363,A167,明細!$D$5:$D$363,"バッチ")</f>
        <v/>
      </c>
      <c r="E167" s="98">
        <f>COUNTIFS(明細!$G$5:$G$363,A167,明細!$D$5:$D$363,"バッチ")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COUNTIFS(明細!$I$5:$I$363,A167,明細!$D$5:$D$363,"バッチ")</f>
        <v/>
      </c>
      <c r="L167" s="98">
        <f>COUNTIFS(明細!$J$5:$J$363,A167,明細!$D$5:$D$363,"バッチ")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46164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COUNTIFS(明細!$F$5:$F$363,A168,明細!$D$5:$D$363,"バッチ")</f>
        <v/>
      </c>
      <c r="E168" s="98">
        <f>COUNTIFS(明細!$G$5:$G$363,A168,明細!$D$5:$D$363,"バッチ")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COUNTIFS(明細!$I$5:$I$363,A168,明細!$D$5:$D$363,"バッチ")</f>
        <v/>
      </c>
      <c r="L168" s="98">
        <f>COUNTIFS(明細!$J$5:$J$363,A168,明細!$D$5:$D$363,"バッチ")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46165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COUNTIFS(明細!$F$5:$F$363,A169,明細!$D$5:$D$363,"バッチ")</f>
        <v/>
      </c>
      <c r="E169" s="98">
        <f>COUNTIFS(明細!$G$5:$G$363,A169,明細!$D$5:$D$363,"バッチ")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COUNTIFS(明細!$I$5:$I$363,A169,明細!$D$5:$D$363,"バッチ")</f>
        <v/>
      </c>
      <c r="L169" s="98">
        <f>COUNTIFS(明細!$J$5:$J$363,A169,明細!$D$5:$D$363,"バッチ")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46166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COUNTIFS(明細!$F$5:$F$363,A170,明細!$D$5:$D$363,"バッチ")</f>
        <v/>
      </c>
      <c r="E170" s="98">
        <f>COUNTIFS(明細!$G$5:$G$363,A170,明細!$D$5:$D$363,"バッチ")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COUNTIFS(明細!$I$5:$I$363,A170,明細!$D$5:$D$363,"バッチ")</f>
        <v/>
      </c>
      <c r="L170" s="98">
        <f>COUNTIFS(明細!$J$5:$J$363,A170,明細!$D$5:$D$363,"バッチ")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46167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COUNTIFS(明細!$F$5:$F$363,A171,明細!$D$5:$D$363,"バッチ")</f>
        <v/>
      </c>
      <c r="E171" s="98">
        <f>COUNTIFS(明細!$G$5:$G$363,A171,明細!$D$5:$D$363,"バッチ")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COUNTIFS(明細!$I$5:$I$363,A171,明細!$D$5:$D$363,"バッチ")</f>
        <v/>
      </c>
      <c r="L171" s="98">
        <f>COUNTIFS(明細!$J$5:$J$363,A171,明細!$D$5:$D$363,"バッチ")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  <row r="172">
      <c r="A172" s="94" t="n">
        <v>46168</v>
      </c>
      <c r="B172" s="95">
        <f>CHOOSE(WEEKDAY(A172,2),"月","火","水","木","金","土","日")</f>
        <v/>
      </c>
      <c r="C172" s="96">
        <f>IF(OR(WEEKDAY(A172,2)&gt;=6,COUNTIF(祝日マスタ!$A:$A,A172)&gt;0),"非営業日","営業日")</f>
        <v/>
      </c>
      <c r="D172" s="97">
        <f>COUNTIFS(明細!$F$5:$F$363,A172,明細!$D$5:$D$363,"バッチ")</f>
        <v/>
      </c>
      <c r="E172" s="98">
        <f>COUNTIFS(明細!$G$5:$G$363,A172,明細!$D$5:$D$363,"バッチ")</f>
        <v/>
      </c>
      <c r="F172" s="99">
        <f>IF(D172=0,0,E172/D172)</f>
        <v/>
      </c>
      <c r="G172" s="100">
        <f>SUM($D$6:D172)</f>
        <v/>
      </c>
      <c r="H172" s="98">
        <f>SUM($E$6:E172)</f>
        <v/>
      </c>
      <c r="I172" s="99">
        <f>IF(G172=0,"",H172/G172)</f>
        <v/>
      </c>
      <c r="J172" s="101">
        <f>IF(A172&gt;$S$2,"予定",IF(G172=0,"－",IF(I172&gt;=1,"完了",IF(H172&gt;=G172,"順調","遅延"))))</f>
        <v/>
      </c>
      <c r="K172" s="97">
        <f>COUNTIFS(明細!$I$5:$I$363,A172,明細!$D$5:$D$363,"バッチ")</f>
        <v/>
      </c>
      <c r="L172" s="98">
        <f>COUNTIFS(明細!$J$5:$J$363,A172,明細!$D$5:$D$363,"バッチ")</f>
        <v/>
      </c>
      <c r="M172" s="99">
        <f>IF(K172=0,0,L172/K172)</f>
        <v/>
      </c>
      <c r="N172" s="100">
        <f>SUM($K$6:K172)</f>
        <v/>
      </c>
      <c r="O172" s="98">
        <f>SUM($L$6:L172)</f>
        <v/>
      </c>
      <c r="P172" s="99">
        <f>IF(N172=0,"",O172/N172)</f>
        <v/>
      </c>
      <c r="Q172" s="101">
        <f>IF(A172&gt;$S$2,"予定",IF(N172=0,"－",IF(P172&gt;=1,"完了",IF(O172&gt;=N172,"順調","遅延"))))</f>
        <v/>
      </c>
      <c r="R172" s="97">
        <f>D172+K172</f>
        <v/>
      </c>
      <c r="S172" s="102">
        <f>E172+L172</f>
        <v/>
      </c>
    </row>
    <row r="173">
      <c r="A173" s="94" t="n">
        <v>46169</v>
      </c>
      <c r="B173" s="95">
        <f>CHOOSE(WEEKDAY(A173,2),"月","火","水","木","金","土","日")</f>
        <v/>
      </c>
      <c r="C173" s="96">
        <f>IF(OR(WEEKDAY(A173,2)&gt;=6,COUNTIF(祝日マスタ!$A:$A,A173)&gt;0),"非営業日","営業日")</f>
        <v/>
      </c>
      <c r="D173" s="97">
        <f>COUNTIFS(明細!$F$5:$F$363,A173,明細!$D$5:$D$363,"バッチ")</f>
        <v/>
      </c>
      <c r="E173" s="98">
        <f>COUNTIFS(明細!$G$5:$G$363,A173,明細!$D$5:$D$363,"バッチ")</f>
        <v/>
      </c>
      <c r="F173" s="99">
        <f>IF(D173=0,0,E173/D173)</f>
        <v/>
      </c>
      <c r="G173" s="100">
        <f>SUM($D$6:D173)</f>
        <v/>
      </c>
      <c r="H173" s="98">
        <f>SUM($E$6:E173)</f>
        <v/>
      </c>
      <c r="I173" s="99">
        <f>IF(G173=0,"",H173/G173)</f>
        <v/>
      </c>
      <c r="J173" s="101">
        <f>IF(A173&gt;$S$2,"予定",IF(G173=0,"－",IF(I173&gt;=1,"完了",IF(H173&gt;=G173,"順調","遅延"))))</f>
        <v/>
      </c>
      <c r="K173" s="97">
        <f>COUNTIFS(明細!$I$5:$I$363,A173,明細!$D$5:$D$363,"バッチ")</f>
        <v/>
      </c>
      <c r="L173" s="98">
        <f>COUNTIFS(明細!$J$5:$J$363,A173,明細!$D$5:$D$363,"バッチ")</f>
        <v/>
      </c>
      <c r="M173" s="99">
        <f>IF(K173=0,0,L173/K173)</f>
        <v/>
      </c>
      <c r="N173" s="100">
        <f>SUM($K$6:K173)</f>
        <v/>
      </c>
      <c r="O173" s="98">
        <f>SUM($L$6:L173)</f>
        <v/>
      </c>
      <c r="P173" s="99">
        <f>IF(N173=0,"",O173/N173)</f>
        <v/>
      </c>
      <c r="Q173" s="101">
        <f>IF(A173&gt;$S$2,"予定",IF(N173=0,"－",IF(P173&gt;=1,"完了",IF(O173&gt;=N173,"順調","遅延"))))</f>
        <v/>
      </c>
      <c r="R173" s="97">
        <f>D173+K173</f>
        <v/>
      </c>
      <c r="S173" s="102">
        <f>E173+L173</f>
        <v/>
      </c>
    </row>
    <row r="174">
      <c r="A174" s="94" t="n">
        <v>46170</v>
      </c>
      <c r="B174" s="95">
        <f>CHOOSE(WEEKDAY(A174,2),"月","火","水","木","金","土","日")</f>
        <v/>
      </c>
      <c r="C174" s="96">
        <f>IF(OR(WEEKDAY(A174,2)&gt;=6,COUNTIF(祝日マスタ!$A:$A,A174)&gt;0),"非営業日","営業日")</f>
        <v/>
      </c>
      <c r="D174" s="97">
        <f>COUNTIFS(明細!$F$5:$F$363,A174,明細!$D$5:$D$363,"バッチ")</f>
        <v/>
      </c>
      <c r="E174" s="98">
        <f>COUNTIFS(明細!$G$5:$G$363,A174,明細!$D$5:$D$363,"バッチ")</f>
        <v/>
      </c>
      <c r="F174" s="99">
        <f>IF(D174=0,0,E174/D174)</f>
        <v/>
      </c>
      <c r="G174" s="100">
        <f>SUM($D$6:D174)</f>
        <v/>
      </c>
      <c r="H174" s="98">
        <f>SUM($E$6:E174)</f>
        <v/>
      </c>
      <c r="I174" s="99">
        <f>IF(G174=0,"",H174/G174)</f>
        <v/>
      </c>
      <c r="J174" s="101">
        <f>IF(A174&gt;$S$2,"予定",IF(G174=0,"－",IF(I174&gt;=1,"完了",IF(H174&gt;=G174,"順調","遅延"))))</f>
        <v/>
      </c>
      <c r="K174" s="97">
        <f>COUNTIFS(明細!$I$5:$I$363,A174,明細!$D$5:$D$363,"バッチ")</f>
        <v/>
      </c>
      <c r="L174" s="98">
        <f>COUNTIFS(明細!$J$5:$J$363,A174,明細!$D$5:$D$363,"バッチ")</f>
        <v/>
      </c>
      <c r="M174" s="99">
        <f>IF(K174=0,0,L174/K174)</f>
        <v/>
      </c>
      <c r="N174" s="100">
        <f>SUM($K$6:K174)</f>
        <v/>
      </c>
      <c r="O174" s="98">
        <f>SUM($L$6:L174)</f>
        <v/>
      </c>
      <c r="P174" s="99">
        <f>IF(N174=0,"",O174/N174)</f>
        <v/>
      </c>
      <c r="Q174" s="101">
        <f>IF(A174&gt;$S$2,"予定",IF(N174=0,"－",IF(P174&gt;=1,"完了",IF(O174&gt;=N174,"順調","遅延"))))</f>
        <v/>
      </c>
      <c r="R174" s="97">
        <f>D174+K174</f>
        <v/>
      </c>
      <c r="S174" s="102">
        <f>E174+L174</f>
        <v/>
      </c>
    </row>
    <row r="175">
      <c r="A175" s="94" t="n">
        <v>46171</v>
      </c>
      <c r="B175" s="95">
        <f>CHOOSE(WEEKDAY(A175,2),"月","火","水","木","金","土","日")</f>
        <v/>
      </c>
      <c r="C175" s="96">
        <f>IF(OR(WEEKDAY(A175,2)&gt;=6,COUNTIF(祝日マスタ!$A:$A,A175)&gt;0),"非営業日","営業日")</f>
        <v/>
      </c>
      <c r="D175" s="97">
        <f>COUNTIFS(明細!$F$5:$F$363,A175,明細!$D$5:$D$363,"バッチ")</f>
        <v/>
      </c>
      <c r="E175" s="98">
        <f>COUNTIFS(明細!$G$5:$G$363,A175,明細!$D$5:$D$363,"バッチ")</f>
        <v/>
      </c>
      <c r="F175" s="99">
        <f>IF(D175=0,0,E175/D175)</f>
        <v/>
      </c>
      <c r="G175" s="100">
        <f>SUM($D$6:D175)</f>
        <v/>
      </c>
      <c r="H175" s="98">
        <f>SUM($E$6:E175)</f>
        <v/>
      </c>
      <c r="I175" s="99">
        <f>IF(G175=0,"",H175/G175)</f>
        <v/>
      </c>
      <c r="J175" s="101">
        <f>IF(A175&gt;$S$2,"予定",IF(G175=0,"－",IF(I175&gt;=1,"完了",IF(H175&gt;=G175,"順調","遅延"))))</f>
        <v/>
      </c>
      <c r="K175" s="97">
        <f>COUNTIFS(明細!$I$5:$I$363,A175,明細!$D$5:$D$363,"バッチ")</f>
        <v/>
      </c>
      <c r="L175" s="98">
        <f>COUNTIFS(明細!$J$5:$J$363,A175,明細!$D$5:$D$363,"バッチ")</f>
        <v/>
      </c>
      <c r="M175" s="99">
        <f>IF(K175=0,0,L175/K175)</f>
        <v/>
      </c>
      <c r="N175" s="100">
        <f>SUM($K$6:K175)</f>
        <v/>
      </c>
      <c r="O175" s="98">
        <f>SUM($L$6:L175)</f>
        <v/>
      </c>
      <c r="P175" s="99">
        <f>IF(N175=0,"",O175/N175)</f>
        <v/>
      </c>
      <c r="Q175" s="101">
        <f>IF(A175&gt;$S$2,"予定",IF(N175=0,"－",IF(P175&gt;=1,"完了",IF(O175&gt;=N175,"順調","遅延"))))</f>
        <v/>
      </c>
      <c r="R175" s="97">
        <f>D175+K175</f>
        <v/>
      </c>
      <c r="S175" s="102">
        <f>E175+L175</f>
        <v/>
      </c>
    </row>
    <row r="176">
      <c r="A176" s="94" t="n">
        <v>46172</v>
      </c>
      <c r="B176" s="95">
        <f>CHOOSE(WEEKDAY(A176,2),"月","火","水","木","金","土","日")</f>
        <v/>
      </c>
      <c r="C176" s="96">
        <f>IF(OR(WEEKDAY(A176,2)&gt;=6,COUNTIF(祝日マスタ!$A:$A,A176)&gt;0),"非営業日","営業日")</f>
        <v/>
      </c>
      <c r="D176" s="97">
        <f>COUNTIFS(明細!$F$5:$F$363,A176,明細!$D$5:$D$363,"バッチ")</f>
        <v/>
      </c>
      <c r="E176" s="98">
        <f>COUNTIFS(明細!$G$5:$G$363,A176,明細!$D$5:$D$363,"バッチ")</f>
        <v/>
      </c>
      <c r="F176" s="99">
        <f>IF(D176=0,0,E176/D176)</f>
        <v/>
      </c>
      <c r="G176" s="100">
        <f>SUM($D$6:D176)</f>
        <v/>
      </c>
      <c r="H176" s="98">
        <f>SUM($E$6:E176)</f>
        <v/>
      </c>
      <c r="I176" s="99">
        <f>IF(G176=0,"",H176/G176)</f>
        <v/>
      </c>
      <c r="J176" s="101">
        <f>IF(A176&gt;$S$2,"予定",IF(G176=0,"－",IF(I176&gt;=1,"完了",IF(H176&gt;=G176,"順調","遅延"))))</f>
        <v/>
      </c>
      <c r="K176" s="97">
        <f>COUNTIFS(明細!$I$5:$I$363,A176,明細!$D$5:$D$363,"バッチ")</f>
        <v/>
      </c>
      <c r="L176" s="98">
        <f>COUNTIFS(明細!$J$5:$J$363,A176,明細!$D$5:$D$363,"バッチ")</f>
        <v/>
      </c>
      <c r="M176" s="99">
        <f>IF(K176=0,0,L176/K176)</f>
        <v/>
      </c>
      <c r="N176" s="100">
        <f>SUM($K$6:K176)</f>
        <v/>
      </c>
      <c r="O176" s="98">
        <f>SUM($L$6:L176)</f>
        <v/>
      </c>
      <c r="P176" s="99">
        <f>IF(N176=0,"",O176/N176)</f>
        <v/>
      </c>
      <c r="Q176" s="101">
        <f>IF(A176&gt;$S$2,"予定",IF(N176=0,"－",IF(P176&gt;=1,"完了",IF(O176&gt;=N176,"順調","遅延"))))</f>
        <v/>
      </c>
      <c r="R176" s="97">
        <f>D176+K176</f>
        <v/>
      </c>
      <c r="S176" s="102">
        <f>E176+L176</f>
        <v/>
      </c>
    </row>
    <row r="177">
      <c r="A177" s="94" t="n">
        <v>46173</v>
      </c>
      <c r="B177" s="95">
        <f>CHOOSE(WEEKDAY(A177,2),"月","火","水","木","金","土","日")</f>
        <v/>
      </c>
      <c r="C177" s="96">
        <f>IF(OR(WEEKDAY(A177,2)&gt;=6,COUNTIF(祝日マスタ!$A:$A,A177)&gt;0),"非営業日","営業日")</f>
        <v/>
      </c>
      <c r="D177" s="97">
        <f>COUNTIFS(明細!$F$5:$F$363,A177,明細!$D$5:$D$363,"バッチ")</f>
        <v/>
      </c>
      <c r="E177" s="98">
        <f>COUNTIFS(明細!$G$5:$G$363,A177,明細!$D$5:$D$363,"バッチ")</f>
        <v/>
      </c>
      <c r="F177" s="99">
        <f>IF(D177=0,0,E177/D177)</f>
        <v/>
      </c>
      <c r="G177" s="100">
        <f>SUM($D$6:D177)</f>
        <v/>
      </c>
      <c r="H177" s="98">
        <f>SUM($E$6:E177)</f>
        <v/>
      </c>
      <c r="I177" s="99">
        <f>IF(G177=0,"",H177/G177)</f>
        <v/>
      </c>
      <c r="J177" s="101">
        <f>IF(A177&gt;$S$2,"予定",IF(G177=0,"－",IF(I177&gt;=1,"完了",IF(H177&gt;=G177,"順調","遅延"))))</f>
        <v/>
      </c>
      <c r="K177" s="97">
        <f>COUNTIFS(明細!$I$5:$I$363,A177,明細!$D$5:$D$363,"バッチ")</f>
        <v/>
      </c>
      <c r="L177" s="98">
        <f>COUNTIFS(明細!$J$5:$J$363,A177,明細!$D$5:$D$363,"バッチ")</f>
        <v/>
      </c>
      <c r="M177" s="99">
        <f>IF(K177=0,0,L177/K177)</f>
        <v/>
      </c>
      <c r="N177" s="100">
        <f>SUM($K$6:K177)</f>
        <v/>
      </c>
      <c r="O177" s="98">
        <f>SUM($L$6:L177)</f>
        <v/>
      </c>
      <c r="P177" s="99">
        <f>IF(N177=0,"",O177/N177)</f>
        <v/>
      </c>
      <c r="Q177" s="101">
        <f>IF(A177&gt;$S$2,"予定",IF(N177=0,"－",IF(P177&gt;=1,"完了",IF(O177&gt;=N177,"順調","遅延"))))</f>
        <v/>
      </c>
      <c r="R177" s="97">
        <f>D177+K177</f>
        <v/>
      </c>
      <c r="S177" s="102">
        <f>E177+L177</f>
        <v/>
      </c>
    </row>
    <row r="178">
      <c r="A178" s="94" t="n">
        <v>46174</v>
      </c>
      <c r="B178" s="95">
        <f>CHOOSE(WEEKDAY(A178,2),"月","火","水","木","金","土","日")</f>
        <v/>
      </c>
      <c r="C178" s="96">
        <f>IF(OR(WEEKDAY(A178,2)&gt;=6,COUNTIF(祝日マスタ!$A:$A,A178)&gt;0),"非営業日","営業日")</f>
        <v/>
      </c>
      <c r="D178" s="97">
        <f>COUNTIFS(明細!$F$5:$F$363,A178,明細!$D$5:$D$363,"バッチ")</f>
        <v/>
      </c>
      <c r="E178" s="98">
        <f>COUNTIFS(明細!$G$5:$G$363,A178,明細!$D$5:$D$363,"バッチ")</f>
        <v/>
      </c>
      <c r="F178" s="99">
        <f>IF(D178=0,0,E178/D178)</f>
        <v/>
      </c>
      <c r="G178" s="100">
        <f>SUM($D$6:D178)</f>
        <v/>
      </c>
      <c r="H178" s="98">
        <f>SUM($E$6:E178)</f>
        <v/>
      </c>
      <c r="I178" s="99">
        <f>IF(G178=0,"",H178/G178)</f>
        <v/>
      </c>
      <c r="J178" s="101">
        <f>IF(A178&gt;$S$2,"予定",IF(G178=0,"－",IF(I178&gt;=1,"完了",IF(H178&gt;=G178,"順調","遅延"))))</f>
        <v/>
      </c>
      <c r="K178" s="97">
        <f>COUNTIFS(明細!$I$5:$I$363,A178,明細!$D$5:$D$363,"バッチ")</f>
        <v/>
      </c>
      <c r="L178" s="98">
        <f>COUNTIFS(明細!$J$5:$J$363,A178,明細!$D$5:$D$363,"バッチ")</f>
        <v/>
      </c>
      <c r="M178" s="99">
        <f>IF(K178=0,0,L178/K178)</f>
        <v/>
      </c>
      <c r="N178" s="100">
        <f>SUM($K$6:K178)</f>
        <v/>
      </c>
      <c r="O178" s="98">
        <f>SUM($L$6:L178)</f>
        <v/>
      </c>
      <c r="P178" s="99">
        <f>IF(N178=0,"",O178/N178)</f>
        <v/>
      </c>
      <c r="Q178" s="101">
        <f>IF(A178&gt;$S$2,"予定",IF(N178=0,"－",IF(P178&gt;=1,"完了",IF(O178&gt;=N178,"順調","遅延"))))</f>
        <v/>
      </c>
      <c r="R178" s="97">
        <f>D178+K178</f>
        <v/>
      </c>
      <c r="S178" s="102">
        <f>E178+L178</f>
        <v/>
      </c>
    </row>
    <row r="179">
      <c r="A179" s="94" t="n">
        <v>46175</v>
      </c>
      <c r="B179" s="95">
        <f>CHOOSE(WEEKDAY(A179,2),"月","火","水","木","金","土","日")</f>
        <v/>
      </c>
      <c r="C179" s="96">
        <f>IF(OR(WEEKDAY(A179,2)&gt;=6,COUNTIF(祝日マスタ!$A:$A,A179)&gt;0),"非営業日","営業日")</f>
        <v/>
      </c>
      <c r="D179" s="97">
        <f>COUNTIFS(明細!$F$5:$F$363,A179,明細!$D$5:$D$363,"バッチ")</f>
        <v/>
      </c>
      <c r="E179" s="98">
        <f>COUNTIFS(明細!$G$5:$G$363,A179,明細!$D$5:$D$363,"バッチ")</f>
        <v/>
      </c>
      <c r="F179" s="99">
        <f>IF(D179=0,0,E179/D179)</f>
        <v/>
      </c>
      <c r="G179" s="100">
        <f>SUM($D$6:D179)</f>
        <v/>
      </c>
      <c r="H179" s="98">
        <f>SUM($E$6:E179)</f>
        <v/>
      </c>
      <c r="I179" s="99">
        <f>IF(G179=0,"",H179/G179)</f>
        <v/>
      </c>
      <c r="J179" s="101">
        <f>IF(A179&gt;$S$2,"予定",IF(G179=0,"－",IF(I179&gt;=1,"完了",IF(H179&gt;=G179,"順調","遅延"))))</f>
        <v/>
      </c>
      <c r="K179" s="97">
        <f>COUNTIFS(明細!$I$5:$I$363,A179,明細!$D$5:$D$363,"バッチ")</f>
        <v/>
      </c>
      <c r="L179" s="98">
        <f>COUNTIFS(明細!$J$5:$J$363,A179,明細!$D$5:$D$363,"バッチ")</f>
        <v/>
      </c>
      <c r="M179" s="99">
        <f>IF(K179=0,0,L179/K179)</f>
        <v/>
      </c>
      <c r="N179" s="100">
        <f>SUM($K$6:K179)</f>
        <v/>
      </c>
      <c r="O179" s="98">
        <f>SUM($L$6:L179)</f>
        <v/>
      </c>
      <c r="P179" s="99">
        <f>IF(N179=0,"",O179/N179)</f>
        <v/>
      </c>
      <c r="Q179" s="101">
        <f>IF(A179&gt;$S$2,"予定",IF(N179=0,"－",IF(P179&gt;=1,"完了",IF(O179&gt;=N179,"順調","遅延"))))</f>
        <v/>
      </c>
      <c r="R179" s="97">
        <f>D179+K179</f>
        <v/>
      </c>
      <c r="S179" s="102">
        <f>E179+L179</f>
        <v/>
      </c>
    </row>
    <row r="180">
      <c r="A180" s="94" t="n">
        <v>46176</v>
      </c>
      <c r="B180" s="95">
        <f>CHOOSE(WEEKDAY(A180,2),"月","火","水","木","金","土","日")</f>
        <v/>
      </c>
      <c r="C180" s="96">
        <f>IF(OR(WEEKDAY(A180,2)&gt;=6,COUNTIF(祝日マスタ!$A:$A,A180)&gt;0),"非営業日","営業日")</f>
        <v/>
      </c>
      <c r="D180" s="97">
        <f>COUNTIFS(明細!$F$5:$F$363,A180,明細!$D$5:$D$363,"バッチ")</f>
        <v/>
      </c>
      <c r="E180" s="98">
        <f>COUNTIFS(明細!$G$5:$G$363,A180,明細!$D$5:$D$363,"バッチ")</f>
        <v/>
      </c>
      <c r="F180" s="99">
        <f>IF(D180=0,0,E180/D180)</f>
        <v/>
      </c>
      <c r="G180" s="100">
        <f>SUM($D$6:D180)</f>
        <v/>
      </c>
      <c r="H180" s="98">
        <f>SUM($E$6:E180)</f>
        <v/>
      </c>
      <c r="I180" s="99">
        <f>IF(G180=0,"",H180/G180)</f>
        <v/>
      </c>
      <c r="J180" s="101">
        <f>IF(A180&gt;$S$2,"予定",IF(G180=0,"－",IF(I180&gt;=1,"完了",IF(H180&gt;=G180,"順調","遅延"))))</f>
        <v/>
      </c>
      <c r="K180" s="97">
        <f>COUNTIFS(明細!$I$5:$I$363,A180,明細!$D$5:$D$363,"バッチ")</f>
        <v/>
      </c>
      <c r="L180" s="98">
        <f>COUNTIFS(明細!$J$5:$J$363,A180,明細!$D$5:$D$363,"バッチ")</f>
        <v/>
      </c>
      <c r="M180" s="99">
        <f>IF(K180=0,0,L180/K180)</f>
        <v/>
      </c>
      <c r="N180" s="100">
        <f>SUM($K$6:K180)</f>
        <v/>
      </c>
      <c r="O180" s="98">
        <f>SUM($L$6:L180)</f>
        <v/>
      </c>
      <c r="P180" s="99">
        <f>IF(N180=0,"",O180/N180)</f>
        <v/>
      </c>
      <c r="Q180" s="101">
        <f>IF(A180&gt;$S$2,"予定",IF(N180=0,"－",IF(P180&gt;=1,"完了",IF(O180&gt;=N180,"順調","遅延"))))</f>
        <v/>
      </c>
      <c r="R180" s="97">
        <f>D180+K180</f>
        <v/>
      </c>
      <c r="S180" s="102">
        <f>E180+L180</f>
        <v/>
      </c>
    </row>
    <row r="181">
      <c r="A181" s="94" t="n">
        <v>46177</v>
      </c>
      <c r="B181" s="95">
        <f>CHOOSE(WEEKDAY(A181,2),"月","火","水","木","金","土","日")</f>
        <v/>
      </c>
      <c r="C181" s="96">
        <f>IF(OR(WEEKDAY(A181,2)&gt;=6,COUNTIF(祝日マスタ!$A:$A,A181)&gt;0),"非営業日","営業日")</f>
        <v/>
      </c>
      <c r="D181" s="97">
        <f>COUNTIFS(明細!$F$5:$F$363,A181,明細!$D$5:$D$363,"バッチ")</f>
        <v/>
      </c>
      <c r="E181" s="98">
        <f>COUNTIFS(明細!$G$5:$G$363,A181,明細!$D$5:$D$363,"バッチ")</f>
        <v/>
      </c>
      <c r="F181" s="99">
        <f>IF(D181=0,0,E181/D181)</f>
        <v/>
      </c>
      <c r="G181" s="100">
        <f>SUM($D$6:D181)</f>
        <v/>
      </c>
      <c r="H181" s="98">
        <f>SUM($E$6:E181)</f>
        <v/>
      </c>
      <c r="I181" s="99">
        <f>IF(G181=0,"",H181/G181)</f>
        <v/>
      </c>
      <c r="J181" s="101">
        <f>IF(A181&gt;$S$2,"予定",IF(G181=0,"－",IF(I181&gt;=1,"完了",IF(H181&gt;=G181,"順調","遅延"))))</f>
        <v/>
      </c>
      <c r="K181" s="97">
        <f>COUNTIFS(明細!$I$5:$I$363,A181,明細!$D$5:$D$363,"バッチ")</f>
        <v/>
      </c>
      <c r="L181" s="98">
        <f>COUNTIFS(明細!$J$5:$J$363,A181,明細!$D$5:$D$363,"バッチ")</f>
        <v/>
      </c>
      <c r="M181" s="99">
        <f>IF(K181=0,0,L181/K181)</f>
        <v/>
      </c>
      <c r="N181" s="100">
        <f>SUM($K$6:K181)</f>
        <v/>
      </c>
      <c r="O181" s="98">
        <f>SUM($L$6:L181)</f>
        <v/>
      </c>
      <c r="P181" s="99">
        <f>IF(N181=0,"",O181/N181)</f>
        <v/>
      </c>
      <c r="Q181" s="101">
        <f>IF(A181&gt;$S$2,"予定",IF(N181=0,"－",IF(P181&gt;=1,"完了",IF(O181&gt;=N181,"順調","遅延"))))</f>
        <v/>
      </c>
      <c r="R181" s="97">
        <f>D181+K181</f>
        <v/>
      </c>
      <c r="S181" s="102">
        <f>E181+L181</f>
        <v/>
      </c>
    </row>
    <row r="182">
      <c r="A182" s="94" t="n">
        <v>46178</v>
      </c>
      <c r="B182" s="95">
        <f>CHOOSE(WEEKDAY(A182,2),"月","火","水","木","金","土","日")</f>
        <v/>
      </c>
      <c r="C182" s="96">
        <f>IF(OR(WEEKDAY(A182,2)&gt;=6,COUNTIF(祝日マスタ!$A:$A,A182)&gt;0),"非営業日","営業日")</f>
        <v/>
      </c>
      <c r="D182" s="97">
        <f>COUNTIFS(明細!$F$5:$F$363,A182,明細!$D$5:$D$363,"バッチ")</f>
        <v/>
      </c>
      <c r="E182" s="98">
        <f>COUNTIFS(明細!$G$5:$G$363,A182,明細!$D$5:$D$363,"バッチ")</f>
        <v/>
      </c>
      <c r="F182" s="99">
        <f>IF(D182=0,0,E182/D182)</f>
        <v/>
      </c>
      <c r="G182" s="100">
        <f>SUM($D$6:D182)</f>
        <v/>
      </c>
      <c r="H182" s="98">
        <f>SUM($E$6:E182)</f>
        <v/>
      </c>
      <c r="I182" s="99">
        <f>IF(G182=0,"",H182/G182)</f>
        <v/>
      </c>
      <c r="J182" s="101">
        <f>IF(A182&gt;$S$2,"予定",IF(G182=0,"－",IF(I182&gt;=1,"完了",IF(H182&gt;=G182,"順調","遅延"))))</f>
        <v/>
      </c>
      <c r="K182" s="97">
        <f>COUNTIFS(明細!$I$5:$I$363,A182,明細!$D$5:$D$363,"バッチ")</f>
        <v/>
      </c>
      <c r="L182" s="98">
        <f>COUNTIFS(明細!$J$5:$J$363,A182,明細!$D$5:$D$363,"バッチ")</f>
        <v/>
      </c>
      <c r="M182" s="99">
        <f>IF(K182=0,0,L182/K182)</f>
        <v/>
      </c>
      <c r="N182" s="100">
        <f>SUM($K$6:K182)</f>
        <v/>
      </c>
      <c r="O182" s="98">
        <f>SUM($L$6:L182)</f>
        <v/>
      </c>
      <c r="P182" s="99">
        <f>IF(N182=0,"",O182/N182)</f>
        <v/>
      </c>
      <c r="Q182" s="101">
        <f>IF(A182&gt;$S$2,"予定",IF(N182=0,"－",IF(P182&gt;=1,"完了",IF(O182&gt;=N182,"順調","遅延"))))</f>
        <v/>
      </c>
      <c r="R182" s="97">
        <f>D182+K182</f>
        <v/>
      </c>
      <c r="S182" s="102">
        <f>E182+L182</f>
        <v/>
      </c>
    </row>
  </sheetData>
  <mergeCells count="5">
    <mergeCell ref="D3:J3"/>
    <mergeCell ref="K3:Q3"/>
    <mergeCell ref="A1:S1"/>
    <mergeCell ref="A3:C3"/>
    <mergeCell ref="R3:S3"/>
  </mergeCells>
  <conditionalFormatting sqref="J5:J182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82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82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82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82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FAADC"/>
    <outlinePr summaryBelow="1" summaryRight="1"/>
    <pageSetUpPr/>
  </sheetPr>
  <dimension ref="A1:S18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テスト進捗サマリー（基盤）</t>
        </is>
      </c>
    </row>
    <row r="2" ht="22" customHeight="1">
      <c r="A2" s="68" t="inlineStr">
        <is>
          <t>集計期間: 2025/12/12 ～ 2026/06/07 (178日間)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SUM(D6:D183)</f>
        <v/>
      </c>
      <c r="E5" s="91">
        <f>SUM(E6:E183)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SUM(K6:K183)</f>
        <v/>
      </c>
      <c r="L5" s="91">
        <f>SUM(L6:L183)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46003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COUNTIFS(明細!$F$5:$F$363,A6,明細!$D$5:$D$363,"基盤")</f>
        <v/>
      </c>
      <c r="E6" s="98">
        <f>COUNTIFS(明細!$G$5:$G$363,A6,明細!$D$5:$D$363,"基盤")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COUNTIFS(明細!$I$5:$I$363,A6,明細!$D$5:$D$363,"基盤")</f>
        <v/>
      </c>
      <c r="L6" s="98">
        <f>COUNTIFS(明細!$J$5:$J$363,A6,明細!$D$5:$D$363,"基盤")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46004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COUNTIFS(明細!$F$5:$F$363,A7,明細!$D$5:$D$363,"基盤")</f>
        <v/>
      </c>
      <c r="E7" s="98">
        <f>COUNTIFS(明細!$G$5:$G$363,A7,明細!$D$5:$D$363,"基盤")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COUNTIFS(明細!$I$5:$I$363,A7,明細!$D$5:$D$363,"基盤")</f>
        <v/>
      </c>
      <c r="L7" s="98">
        <f>COUNTIFS(明細!$J$5:$J$363,A7,明細!$D$5:$D$363,"基盤")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46005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COUNTIFS(明細!$F$5:$F$363,A8,明細!$D$5:$D$363,"基盤")</f>
        <v/>
      </c>
      <c r="E8" s="98">
        <f>COUNTIFS(明細!$G$5:$G$363,A8,明細!$D$5:$D$363,"基盤")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COUNTIFS(明細!$I$5:$I$363,A8,明細!$D$5:$D$363,"基盤")</f>
        <v/>
      </c>
      <c r="L8" s="98">
        <f>COUNTIFS(明細!$J$5:$J$363,A8,明細!$D$5:$D$363,"基盤")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46006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COUNTIFS(明細!$F$5:$F$363,A9,明細!$D$5:$D$363,"基盤")</f>
        <v/>
      </c>
      <c r="E9" s="98">
        <f>COUNTIFS(明細!$G$5:$G$363,A9,明細!$D$5:$D$363,"基盤")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COUNTIFS(明細!$I$5:$I$363,A9,明細!$D$5:$D$363,"基盤")</f>
        <v/>
      </c>
      <c r="L9" s="98">
        <f>COUNTIFS(明細!$J$5:$J$363,A9,明細!$D$5:$D$363,"基盤")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46007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COUNTIFS(明細!$F$5:$F$363,A10,明細!$D$5:$D$363,"基盤")</f>
        <v/>
      </c>
      <c r="E10" s="98">
        <f>COUNTIFS(明細!$G$5:$G$363,A10,明細!$D$5:$D$363,"基盤")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COUNTIFS(明細!$I$5:$I$363,A10,明細!$D$5:$D$363,"基盤")</f>
        <v/>
      </c>
      <c r="L10" s="98">
        <f>COUNTIFS(明細!$J$5:$J$363,A10,明細!$D$5:$D$363,"基盤")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46008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COUNTIFS(明細!$F$5:$F$363,A11,明細!$D$5:$D$363,"基盤")</f>
        <v/>
      </c>
      <c r="E11" s="98">
        <f>COUNTIFS(明細!$G$5:$G$363,A11,明細!$D$5:$D$363,"基盤")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COUNTIFS(明細!$I$5:$I$363,A11,明細!$D$5:$D$363,"基盤")</f>
        <v/>
      </c>
      <c r="L11" s="98">
        <f>COUNTIFS(明細!$J$5:$J$363,A11,明細!$D$5:$D$363,"基盤")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46009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COUNTIFS(明細!$F$5:$F$363,A12,明細!$D$5:$D$363,"基盤")</f>
        <v/>
      </c>
      <c r="E12" s="98">
        <f>COUNTIFS(明細!$G$5:$G$363,A12,明細!$D$5:$D$363,"基盤")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COUNTIFS(明細!$I$5:$I$363,A12,明細!$D$5:$D$363,"基盤")</f>
        <v/>
      </c>
      <c r="L12" s="98">
        <f>COUNTIFS(明細!$J$5:$J$363,A12,明細!$D$5:$D$363,"基盤")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46010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COUNTIFS(明細!$F$5:$F$363,A13,明細!$D$5:$D$363,"基盤")</f>
        <v/>
      </c>
      <c r="E13" s="98">
        <f>COUNTIFS(明細!$G$5:$G$363,A13,明細!$D$5:$D$363,"基盤")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COUNTIFS(明細!$I$5:$I$363,A13,明細!$D$5:$D$363,"基盤")</f>
        <v/>
      </c>
      <c r="L13" s="98">
        <f>COUNTIFS(明細!$J$5:$J$363,A13,明細!$D$5:$D$363,"基盤")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46011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COUNTIFS(明細!$F$5:$F$363,A14,明細!$D$5:$D$363,"基盤")</f>
        <v/>
      </c>
      <c r="E14" s="98">
        <f>COUNTIFS(明細!$G$5:$G$363,A14,明細!$D$5:$D$363,"基盤")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COUNTIFS(明細!$I$5:$I$363,A14,明細!$D$5:$D$363,"基盤")</f>
        <v/>
      </c>
      <c r="L14" s="98">
        <f>COUNTIFS(明細!$J$5:$J$363,A14,明細!$D$5:$D$363,"基盤")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46012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COUNTIFS(明細!$F$5:$F$363,A15,明細!$D$5:$D$363,"基盤")</f>
        <v/>
      </c>
      <c r="E15" s="98">
        <f>COUNTIFS(明細!$G$5:$G$363,A15,明細!$D$5:$D$363,"基盤")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COUNTIFS(明細!$I$5:$I$363,A15,明細!$D$5:$D$363,"基盤")</f>
        <v/>
      </c>
      <c r="L15" s="98">
        <f>COUNTIFS(明細!$J$5:$J$363,A15,明細!$D$5:$D$363,"基盤")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46013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COUNTIFS(明細!$F$5:$F$363,A16,明細!$D$5:$D$363,"基盤")</f>
        <v/>
      </c>
      <c r="E16" s="98">
        <f>COUNTIFS(明細!$G$5:$G$363,A16,明細!$D$5:$D$363,"基盤")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COUNTIFS(明細!$I$5:$I$363,A16,明細!$D$5:$D$363,"基盤")</f>
        <v/>
      </c>
      <c r="L16" s="98">
        <f>COUNTIFS(明細!$J$5:$J$363,A16,明細!$D$5:$D$363,"基盤")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46014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COUNTIFS(明細!$F$5:$F$363,A17,明細!$D$5:$D$363,"基盤")</f>
        <v/>
      </c>
      <c r="E17" s="98">
        <f>COUNTIFS(明細!$G$5:$G$363,A17,明細!$D$5:$D$363,"基盤")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COUNTIFS(明細!$I$5:$I$363,A17,明細!$D$5:$D$363,"基盤")</f>
        <v/>
      </c>
      <c r="L17" s="98">
        <f>COUNTIFS(明細!$J$5:$J$363,A17,明細!$D$5:$D$363,"基盤")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46015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COUNTIFS(明細!$F$5:$F$363,A18,明細!$D$5:$D$363,"基盤")</f>
        <v/>
      </c>
      <c r="E18" s="98">
        <f>COUNTIFS(明細!$G$5:$G$363,A18,明細!$D$5:$D$363,"基盤")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COUNTIFS(明細!$I$5:$I$363,A18,明細!$D$5:$D$363,"基盤")</f>
        <v/>
      </c>
      <c r="L18" s="98">
        <f>COUNTIFS(明細!$J$5:$J$363,A18,明細!$D$5:$D$363,"基盤")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46016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COUNTIFS(明細!$F$5:$F$363,A19,明細!$D$5:$D$363,"基盤")</f>
        <v/>
      </c>
      <c r="E19" s="98">
        <f>COUNTIFS(明細!$G$5:$G$363,A19,明細!$D$5:$D$363,"基盤")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COUNTIFS(明細!$I$5:$I$363,A19,明細!$D$5:$D$363,"基盤")</f>
        <v/>
      </c>
      <c r="L19" s="98">
        <f>COUNTIFS(明細!$J$5:$J$363,A19,明細!$D$5:$D$363,"基盤")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46017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COUNTIFS(明細!$F$5:$F$363,A20,明細!$D$5:$D$363,"基盤")</f>
        <v/>
      </c>
      <c r="E20" s="98">
        <f>COUNTIFS(明細!$G$5:$G$363,A20,明細!$D$5:$D$363,"基盤")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COUNTIFS(明細!$I$5:$I$363,A20,明細!$D$5:$D$363,"基盤")</f>
        <v/>
      </c>
      <c r="L20" s="98">
        <f>COUNTIFS(明細!$J$5:$J$363,A20,明細!$D$5:$D$363,"基盤")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46018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COUNTIFS(明細!$F$5:$F$363,A21,明細!$D$5:$D$363,"基盤")</f>
        <v/>
      </c>
      <c r="E21" s="98">
        <f>COUNTIFS(明細!$G$5:$G$363,A21,明細!$D$5:$D$363,"基盤")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COUNTIFS(明細!$I$5:$I$363,A21,明細!$D$5:$D$363,"基盤")</f>
        <v/>
      </c>
      <c r="L21" s="98">
        <f>COUNTIFS(明細!$J$5:$J$363,A21,明細!$D$5:$D$363,"基盤")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46019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COUNTIFS(明細!$F$5:$F$363,A22,明細!$D$5:$D$363,"基盤")</f>
        <v/>
      </c>
      <c r="E22" s="98">
        <f>COUNTIFS(明細!$G$5:$G$363,A22,明細!$D$5:$D$363,"基盤")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COUNTIFS(明細!$I$5:$I$363,A22,明細!$D$5:$D$363,"基盤")</f>
        <v/>
      </c>
      <c r="L22" s="98">
        <f>COUNTIFS(明細!$J$5:$J$363,A22,明細!$D$5:$D$363,"基盤")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46020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COUNTIFS(明細!$F$5:$F$363,A23,明細!$D$5:$D$363,"基盤")</f>
        <v/>
      </c>
      <c r="E23" s="98">
        <f>COUNTIFS(明細!$G$5:$G$363,A23,明細!$D$5:$D$363,"基盤")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COUNTIFS(明細!$I$5:$I$363,A23,明細!$D$5:$D$363,"基盤")</f>
        <v/>
      </c>
      <c r="L23" s="98">
        <f>COUNTIFS(明細!$J$5:$J$363,A23,明細!$D$5:$D$363,"基盤")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46021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COUNTIFS(明細!$F$5:$F$363,A24,明細!$D$5:$D$363,"基盤")</f>
        <v/>
      </c>
      <c r="E24" s="98">
        <f>COUNTIFS(明細!$G$5:$G$363,A24,明細!$D$5:$D$363,"基盤")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COUNTIFS(明細!$I$5:$I$363,A24,明細!$D$5:$D$363,"基盤")</f>
        <v/>
      </c>
      <c r="L24" s="98">
        <f>COUNTIFS(明細!$J$5:$J$363,A24,明細!$D$5:$D$363,"基盤")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46022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COUNTIFS(明細!$F$5:$F$363,A25,明細!$D$5:$D$363,"基盤")</f>
        <v/>
      </c>
      <c r="E25" s="98">
        <f>COUNTIFS(明細!$G$5:$G$363,A25,明細!$D$5:$D$363,"基盤")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COUNTIFS(明細!$I$5:$I$363,A25,明細!$D$5:$D$363,"基盤")</f>
        <v/>
      </c>
      <c r="L25" s="98">
        <f>COUNTIFS(明細!$J$5:$J$363,A25,明細!$D$5:$D$363,"基盤")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46023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COUNTIFS(明細!$F$5:$F$363,A26,明細!$D$5:$D$363,"基盤")</f>
        <v/>
      </c>
      <c r="E26" s="98">
        <f>COUNTIFS(明細!$G$5:$G$363,A26,明細!$D$5:$D$363,"基盤")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COUNTIFS(明細!$I$5:$I$363,A26,明細!$D$5:$D$363,"基盤")</f>
        <v/>
      </c>
      <c r="L26" s="98">
        <f>COUNTIFS(明細!$J$5:$J$363,A26,明細!$D$5:$D$363,"基盤")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46024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COUNTIFS(明細!$F$5:$F$363,A27,明細!$D$5:$D$363,"基盤")</f>
        <v/>
      </c>
      <c r="E27" s="98">
        <f>COUNTIFS(明細!$G$5:$G$363,A27,明細!$D$5:$D$363,"基盤")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COUNTIFS(明細!$I$5:$I$363,A27,明細!$D$5:$D$363,"基盤")</f>
        <v/>
      </c>
      <c r="L27" s="98">
        <f>COUNTIFS(明細!$J$5:$J$363,A27,明細!$D$5:$D$363,"基盤")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46025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COUNTIFS(明細!$F$5:$F$363,A28,明細!$D$5:$D$363,"基盤")</f>
        <v/>
      </c>
      <c r="E28" s="98">
        <f>COUNTIFS(明細!$G$5:$G$363,A28,明細!$D$5:$D$363,"基盤")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COUNTIFS(明細!$I$5:$I$363,A28,明細!$D$5:$D$363,"基盤")</f>
        <v/>
      </c>
      <c r="L28" s="98">
        <f>COUNTIFS(明細!$J$5:$J$363,A28,明細!$D$5:$D$363,"基盤")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46026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COUNTIFS(明細!$F$5:$F$363,A29,明細!$D$5:$D$363,"基盤")</f>
        <v/>
      </c>
      <c r="E29" s="98">
        <f>COUNTIFS(明細!$G$5:$G$363,A29,明細!$D$5:$D$363,"基盤")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COUNTIFS(明細!$I$5:$I$363,A29,明細!$D$5:$D$363,"基盤")</f>
        <v/>
      </c>
      <c r="L29" s="98">
        <f>COUNTIFS(明細!$J$5:$J$363,A29,明細!$D$5:$D$363,"基盤")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46027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COUNTIFS(明細!$F$5:$F$363,A30,明細!$D$5:$D$363,"基盤")</f>
        <v/>
      </c>
      <c r="E30" s="98">
        <f>COUNTIFS(明細!$G$5:$G$363,A30,明細!$D$5:$D$363,"基盤")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COUNTIFS(明細!$I$5:$I$363,A30,明細!$D$5:$D$363,"基盤")</f>
        <v/>
      </c>
      <c r="L30" s="98">
        <f>COUNTIFS(明細!$J$5:$J$363,A30,明細!$D$5:$D$363,"基盤")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46028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COUNTIFS(明細!$F$5:$F$363,A31,明細!$D$5:$D$363,"基盤")</f>
        <v/>
      </c>
      <c r="E31" s="98">
        <f>COUNTIFS(明細!$G$5:$G$363,A31,明細!$D$5:$D$363,"基盤")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COUNTIFS(明細!$I$5:$I$363,A31,明細!$D$5:$D$363,"基盤")</f>
        <v/>
      </c>
      <c r="L31" s="98">
        <f>COUNTIFS(明細!$J$5:$J$363,A31,明細!$D$5:$D$363,"基盤")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46029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COUNTIFS(明細!$F$5:$F$363,A32,明細!$D$5:$D$363,"基盤")</f>
        <v/>
      </c>
      <c r="E32" s="98">
        <f>COUNTIFS(明細!$G$5:$G$363,A32,明細!$D$5:$D$363,"基盤")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COUNTIFS(明細!$I$5:$I$363,A32,明細!$D$5:$D$363,"基盤")</f>
        <v/>
      </c>
      <c r="L32" s="98">
        <f>COUNTIFS(明細!$J$5:$J$363,A32,明細!$D$5:$D$363,"基盤")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46030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COUNTIFS(明細!$F$5:$F$363,A33,明細!$D$5:$D$363,"基盤")</f>
        <v/>
      </c>
      <c r="E33" s="98">
        <f>COUNTIFS(明細!$G$5:$G$363,A33,明細!$D$5:$D$363,"基盤")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COUNTIFS(明細!$I$5:$I$363,A33,明細!$D$5:$D$363,"基盤")</f>
        <v/>
      </c>
      <c r="L33" s="98">
        <f>COUNTIFS(明細!$J$5:$J$363,A33,明細!$D$5:$D$363,"基盤")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46031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COUNTIFS(明細!$F$5:$F$363,A34,明細!$D$5:$D$363,"基盤")</f>
        <v/>
      </c>
      <c r="E34" s="98">
        <f>COUNTIFS(明細!$G$5:$G$363,A34,明細!$D$5:$D$363,"基盤")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COUNTIFS(明細!$I$5:$I$363,A34,明細!$D$5:$D$363,"基盤")</f>
        <v/>
      </c>
      <c r="L34" s="98">
        <f>COUNTIFS(明細!$J$5:$J$363,A34,明細!$D$5:$D$363,"基盤")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46032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COUNTIFS(明細!$F$5:$F$363,A35,明細!$D$5:$D$363,"基盤")</f>
        <v/>
      </c>
      <c r="E35" s="98">
        <f>COUNTIFS(明細!$G$5:$G$363,A35,明細!$D$5:$D$363,"基盤")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COUNTIFS(明細!$I$5:$I$363,A35,明細!$D$5:$D$363,"基盤")</f>
        <v/>
      </c>
      <c r="L35" s="98">
        <f>COUNTIFS(明細!$J$5:$J$363,A35,明細!$D$5:$D$363,"基盤")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46033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COUNTIFS(明細!$F$5:$F$363,A36,明細!$D$5:$D$363,"基盤")</f>
        <v/>
      </c>
      <c r="E36" s="98">
        <f>COUNTIFS(明細!$G$5:$G$363,A36,明細!$D$5:$D$363,"基盤")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COUNTIFS(明細!$I$5:$I$363,A36,明細!$D$5:$D$363,"基盤")</f>
        <v/>
      </c>
      <c r="L36" s="98">
        <f>COUNTIFS(明細!$J$5:$J$363,A36,明細!$D$5:$D$363,"基盤")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46034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COUNTIFS(明細!$F$5:$F$363,A37,明細!$D$5:$D$363,"基盤")</f>
        <v/>
      </c>
      <c r="E37" s="98">
        <f>COUNTIFS(明細!$G$5:$G$363,A37,明細!$D$5:$D$363,"基盤")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COUNTIFS(明細!$I$5:$I$363,A37,明細!$D$5:$D$363,"基盤")</f>
        <v/>
      </c>
      <c r="L37" s="98">
        <f>COUNTIFS(明細!$J$5:$J$363,A37,明細!$D$5:$D$363,"基盤")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46035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COUNTIFS(明細!$F$5:$F$363,A38,明細!$D$5:$D$363,"基盤")</f>
        <v/>
      </c>
      <c r="E38" s="98">
        <f>COUNTIFS(明細!$G$5:$G$363,A38,明細!$D$5:$D$363,"基盤")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COUNTIFS(明細!$I$5:$I$363,A38,明細!$D$5:$D$363,"基盤")</f>
        <v/>
      </c>
      <c r="L38" s="98">
        <f>COUNTIFS(明細!$J$5:$J$363,A38,明細!$D$5:$D$363,"基盤")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46036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COUNTIFS(明細!$F$5:$F$363,A39,明細!$D$5:$D$363,"基盤")</f>
        <v/>
      </c>
      <c r="E39" s="98">
        <f>COUNTIFS(明細!$G$5:$G$363,A39,明細!$D$5:$D$363,"基盤")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COUNTIFS(明細!$I$5:$I$363,A39,明細!$D$5:$D$363,"基盤")</f>
        <v/>
      </c>
      <c r="L39" s="98">
        <f>COUNTIFS(明細!$J$5:$J$363,A39,明細!$D$5:$D$363,"基盤")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46037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COUNTIFS(明細!$F$5:$F$363,A40,明細!$D$5:$D$363,"基盤")</f>
        <v/>
      </c>
      <c r="E40" s="98">
        <f>COUNTIFS(明細!$G$5:$G$363,A40,明細!$D$5:$D$363,"基盤")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COUNTIFS(明細!$I$5:$I$363,A40,明細!$D$5:$D$363,"基盤")</f>
        <v/>
      </c>
      <c r="L40" s="98">
        <f>COUNTIFS(明細!$J$5:$J$363,A40,明細!$D$5:$D$363,"基盤")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46038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COUNTIFS(明細!$F$5:$F$363,A41,明細!$D$5:$D$363,"基盤")</f>
        <v/>
      </c>
      <c r="E41" s="98">
        <f>COUNTIFS(明細!$G$5:$G$363,A41,明細!$D$5:$D$363,"基盤")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COUNTIFS(明細!$I$5:$I$363,A41,明細!$D$5:$D$363,"基盤")</f>
        <v/>
      </c>
      <c r="L41" s="98">
        <f>COUNTIFS(明細!$J$5:$J$363,A41,明細!$D$5:$D$363,"基盤")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46039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COUNTIFS(明細!$F$5:$F$363,A42,明細!$D$5:$D$363,"基盤")</f>
        <v/>
      </c>
      <c r="E42" s="98">
        <f>COUNTIFS(明細!$G$5:$G$363,A42,明細!$D$5:$D$363,"基盤")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COUNTIFS(明細!$I$5:$I$363,A42,明細!$D$5:$D$363,"基盤")</f>
        <v/>
      </c>
      <c r="L42" s="98">
        <f>COUNTIFS(明細!$J$5:$J$363,A42,明細!$D$5:$D$363,"基盤")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46040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COUNTIFS(明細!$F$5:$F$363,A43,明細!$D$5:$D$363,"基盤")</f>
        <v/>
      </c>
      <c r="E43" s="98">
        <f>COUNTIFS(明細!$G$5:$G$363,A43,明細!$D$5:$D$363,"基盤")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COUNTIFS(明細!$I$5:$I$363,A43,明細!$D$5:$D$363,"基盤")</f>
        <v/>
      </c>
      <c r="L43" s="98">
        <f>COUNTIFS(明細!$J$5:$J$363,A43,明細!$D$5:$D$363,"基盤")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46041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COUNTIFS(明細!$F$5:$F$363,A44,明細!$D$5:$D$363,"基盤")</f>
        <v/>
      </c>
      <c r="E44" s="98">
        <f>COUNTIFS(明細!$G$5:$G$363,A44,明細!$D$5:$D$363,"基盤")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COUNTIFS(明細!$I$5:$I$363,A44,明細!$D$5:$D$363,"基盤")</f>
        <v/>
      </c>
      <c r="L44" s="98">
        <f>COUNTIFS(明細!$J$5:$J$363,A44,明細!$D$5:$D$363,"基盤")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46042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COUNTIFS(明細!$F$5:$F$363,A45,明細!$D$5:$D$363,"基盤")</f>
        <v/>
      </c>
      <c r="E45" s="98">
        <f>COUNTIFS(明細!$G$5:$G$363,A45,明細!$D$5:$D$363,"基盤")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COUNTIFS(明細!$I$5:$I$363,A45,明細!$D$5:$D$363,"基盤")</f>
        <v/>
      </c>
      <c r="L45" s="98">
        <f>COUNTIFS(明細!$J$5:$J$363,A45,明細!$D$5:$D$363,"基盤")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46043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COUNTIFS(明細!$F$5:$F$363,A46,明細!$D$5:$D$363,"基盤")</f>
        <v/>
      </c>
      <c r="E46" s="98">
        <f>COUNTIFS(明細!$G$5:$G$363,A46,明細!$D$5:$D$363,"基盤")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COUNTIFS(明細!$I$5:$I$363,A46,明細!$D$5:$D$363,"基盤")</f>
        <v/>
      </c>
      <c r="L46" s="98">
        <f>COUNTIFS(明細!$J$5:$J$363,A46,明細!$D$5:$D$363,"基盤")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46044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COUNTIFS(明細!$F$5:$F$363,A47,明細!$D$5:$D$363,"基盤")</f>
        <v/>
      </c>
      <c r="E47" s="98">
        <f>COUNTIFS(明細!$G$5:$G$363,A47,明細!$D$5:$D$363,"基盤")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COUNTIFS(明細!$I$5:$I$363,A47,明細!$D$5:$D$363,"基盤")</f>
        <v/>
      </c>
      <c r="L47" s="98">
        <f>COUNTIFS(明細!$J$5:$J$363,A47,明細!$D$5:$D$363,"基盤")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46045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COUNTIFS(明細!$F$5:$F$363,A48,明細!$D$5:$D$363,"基盤")</f>
        <v/>
      </c>
      <c r="E48" s="98">
        <f>COUNTIFS(明細!$G$5:$G$363,A48,明細!$D$5:$D$363,"基盤")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COUNTIFS(明細!$I$5:$I$363,A48,明細!$D$5:$D$363,"基盤")</f>
        <v/>
      </c>
      <c r="L48" s="98">
        <f>COUNTIFS(明細!$J$5:$J$363,A48,明細!$D$5:$D$363,"基盤")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46046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COUNTIFS(明細!$F$5:$F$363,A49,明細!$D$5:$D$363,"基盤")</f>
        <v/>
      </c>
      <c r="E49" s="98">
        <f>COUNTIFS(明細!$G$5:$G$363,A49,明細!$D$5:$D$363,"基盤")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COUNTIFS(明細!$I$5:$I$363,A49,明細!$D$5:$D$363,"基盤")</f>
        <v/>
      </c>
      <c r="L49" s="98">
        <f>COUNTIFS(明細!$J$5:$J$363,A49,明細!$D$5:$D$363,"基盤")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46047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COUNTIFS(明細!$F$5:$F$363,A50,明細!$D$5:$D$363,"基盤")</f>
        <v/>
      </c>
      <c r="E50" s="98">
        <f>COUNTIFS(明細!$G$5:$G$363,A50,明細!$D$5:$D$363,"基盤")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COUNTIFS(明細!$I$5:$I$363,A50,明細!$D$5:$D$363,"基盤")</f>
        <v/>
      </c>
      <c r="L50" s="98">
        <f>COUNTIFS(明細!$J$5:$J$363,A50,明細!$D$5:$D$363,"基盤")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46048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COUNTIFS(明細!$F$5:$F$363,A51,明細!$D$5:$D$363,"基盤")</f>
        <v/>
      </c>
      <c r="E51" s="98">
        <f>COUNTIFS(明細!$G$5:$G$363,A51,明細!$D$5:$D$363,"基盤")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COUNTIFS(明細!$I$5:$I$363,A51,明細!$D$5:$D$363,"基盤")</f>
        <v/>
      </c>
      <c r="L51" s="98">
        <f>COUNTIFS(明細!$J$5:$J$363,A51,明細!$D$5:$D$363,"基盤")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46049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COUNTIFS(明細!$F$5:$F$363,A52,明細!$D$5:$D$363,"基盤")</f>
        <v/>
      </c>
      <c r="E52" s="98">
        <f>COUNTIFS(明細!$G$5:$G$363,A52,明細!$D$5:$D$363,"基盤")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COUNTIFS(明細!$I$5:$I$363,A52,明細!$D$5:$D$363,"基盤")</f>
        <v/>
      </c>
      <c r="L52" s="98">
        <f>COUNTIFS(明細!$J$5:$J$363,A52,明細!$D$5:$D$363,"基盤")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46050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COUNTIFS(明細!$F$5:$F$363,A53,明細!$D$5:$D$363,"基盤")</f>
        <v/>
      </c>
      <c r="E53" s="98">
        <f>COUNTIFS(明細!$G$5:$G$363,A53,明細!$D$5:$D$363,"基盤")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COUNTIFS(明細!$I$5:$I$363,A53,明細!$D$5:$D$363,"基盤")</f>
        <v/>
      </c>
      <c r="L53" s="98">
        <f>COUNTIFS(明細!$J$5:$J$363,A53,明細!$D$5:$D$363,"基盤")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46051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COUNTIFS(明細!$F$5:$F$363,A54,明細!$D$5:$D$363,"基盤")</f>
        <v/>
      </c>
      <c r="E54" s="98">
        <f>COUNTIFS(明細!$G$5:$G$363,A54,明細!$D$5:$D$363,"基盤")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COUNTIFS(明細!$I$5:$I$363,A54,明細!$D$5:$D$363,"基盤")</f>
        <v/>
      </c>
      <c r="L54" s="98">
        <f>COUNTIFS(明細!$J$5:$J$363,A54,明細!$D$5:$D$363,"基盤")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46052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COUNTIFS(明細!$F$5:$F$363,A55,明細!$D$5:$D$363,"基盤")</f>
        <v/>
      </c>
      <c r="E55" s="98">
        <f>COUNTIFS(明細!$G$5:$G$363,A55,明細!$D$5:$D$363,"基盤")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COUNTIFS(明細!$I$5:$I$363,A55,明細!$D$5:$D$363,"基盤")</f>
        <v/>
      </c>
      <c r="L55" s="98">
        <f>COUNTIFS(明細!$J$5:$J$363,A55,明細!$D$5:$D$363,"基盤")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46053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COUNTIFS(明細!$F$5:$F$363,A56,明細!$D$5:$D$363,"基盤")</f>
        <v/>
      </c>
      <c r="E56" s="98">
        <f>COUNTIFS(明細!$G$5:$G$363,A56,明細!$D$5:$D$363,"基盤")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COUNTIFS(明細!$I$5:$I$363,A56,明細!$D$5:$D$363,"基盤")</f>
        <v/>
      </c>
      <c r="L56" s="98">
        <f>COUNTIFS(明細!$J$5:$J$363,A56,明細!$D$5:$D$363,"基盤")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46054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COUNTIFS(明細!$F$5:$F$363,A57,明細!$D$5:$D$363,"基盤")</f>
        <v/>
      </c>
      <c r="E57" s="98">
        <f>COUNTIFS(明細!$G$5:$G$363,A57,明細!$D$5:$D$363,"基盤")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COUNTIFS(明細!$I$5:$I$363,A57,明細!$D$5:$D$363,"基盤")</f>
        <v/>
      </c>
      <c r="L57" s="98">
        <f>COUNTIFS(明細!$J$5:$J$363,A57,明細!$D$5:$D$363,"基盤")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46055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COUNTIFS(明細!$F$5:$F$363,A58,明細!$D$5:$D$363,"基盤")</f>
        <v/>
      </c>
      <c r="E58" s="98">
        <f>COUNTIFS(明細!$G$5:$G$363,A58,明細!$D$5:$D$363,"基盤")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COUNTIFS(明細!$I$5:$I$363,A58,明細!$D$5:$D$363,"基盤")</f>
        <v/>
      </c>
      <c r="L58" s="98">
        <f>COUNTIFS(明細!$J$5:$J$363,A58,明細!$D$5:$D$363,"基盤")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46056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COUNTIFS(明細!$F$5:$F$363,A59,明細!$D$5:$D$363,"基盤")</f>
        <v/>
      </c>
      <c r="E59" s="98">
        <f>COUNTIFS(明細!$G$5:$G$363,A59,明細!$D$5:$D$363,"基盤")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COUNTIFS(明細!$I$5:$I$363,A59,明細!$D$5:$D$363,"基盤")</f>
        <v/>
      </c>
      <c r="L59" s="98">
        <f>COUNTIFS(明細!$J$5:$J$363,A59,明細!$D$5:$D$363,"基盤")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46057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COUNTIFS(明細!$F$5:$F$363,A60,明細!$D$5:$D$363,"基盤")</f>
        <v/>
      </c>
      <c r="E60" s="98">
        <f>COUNTIFS(明細!$G$5:$G$363,A60,明細!$D$5:$D$363,"基盤")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COUNTIFS(明細!$I$5:$I$363,A60,明細!$D$5:$D$363,"基盤")</f>
        <v/>
      </c>
      <c r="L60" s="98">
        <f>COUNTIFS(明細!$J$5:$J$363,A60,明細!$D$5:$D$363,"基盤")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46058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COUNTIFS(明細!$F$5:$F$363,A61,明細!$D$5:$D$363,"基盤")</f>
        <v/>
      </c>
      <c r="E61" s="98">
        <f>COUNTIFS(明細!$G$5:$G$363,A61,明細!$D$5:$D$363,"基盤")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COUNTIFS(明細!$I$5:$I$363,A61,明細!$D$5:$D$363,"基盤")</f>
        <v/>
      </c>
      <c r="L61" s="98">
        <f>COUNTIFS(明細!$J$5:$J$363,A61,明細!$D$5:$D$363,"基盤")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46059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COUNTIFS(明細!$F$5:$F$363,A62,明細!$D$5:$D$363,"基盤")</f>
        <v/>
      </c>
      <c r="E62" s="98">
        <f>COUNTIFS(明細!$G$5:$G$363,A62,明細!$D$5:$D$363,"基盤")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COUNTIFS(明細!$I$5:$I$363,A62,明細!$D$5:$D$363,"基盤")</f>
        <v/>
      </c>
      <c r="L62" s="98">
        <f>COUNTIFS(明細!$J$5:$J$363,A62,明細!$D$5:$D$363,"基盤")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46060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COUNTIFS(明細!$F$5:$F$363,A63,明細!$D$5:$D$363,"基盤")</f>
        <v/>
      </c>
      <c r="E63" s="98">
        <f>COUNTIFS(明細!$G$5:$G$363,A63,明細!$D$5:$D$363,"基盤")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COUNTIFS(明細!$I$5:$I$363,A63,明細!$D$5:$D$363,"基盤")</f>
        <v/>
      </c>
      <c r="L63" s="98">
        <f>COUNTIFS(明細!$J$5:$J$363,A63,明細!$D$5:$D$363,"基盤")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46061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COUNTIFS(明細!$F$5:$F$363,A64,明細!$D$5:$D$363,"基盤")</f>
        <v/>
      </c>
      <c r="E64" s="98">
        <f>COUNTIFS(明細!$G$5:$G$363,A64,明細!$D$5:$D$363,"基盤")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COUNTIFS(明細!$I$5:$I$363,A64,明細!$D$5:$D$363,"基盤")</f>
        <v/>
      </c>
      <c r="L64" s="98">
        <f>COUNTIFS(明細!$J$5:$J$363,A64,明細!$D$5:$D$363,"基盤")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46062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COUNTIFS(明細!$F$5:$F$363,A65,明細!$D$5:$D$363,"基盤")</f>
        <v/>
      </c>
      <c r="E65" s="98">
        <f>COUNTIFS(明細!$G$5:$G$363,A65,明細!$D$5:$D$363,"基盤")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COUNTIFS(明細!$I$5:$I$363,A65,明細!$D$5:$D$363,"基盤")</f>
        <v/>
      </c>
      <c r="L65" s="98">
        <f>COUNTIFS(明細!$J$5:$J$363,A65,明細!$D$5:$D$363,"基盤")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46063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COUNTIFS(明細!$F$5:$F$363,A66,明細!$D$5:$D$363,"基盤")</f>
        <v/>
      </c>
      <c r="E66" s="98">
        <f>COUNTIFS(明細!$G$5:$G$363,A66,明細!$D$5:$D$363,"基盤")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COUNTIFS(明細!$I$5:$I$363,A66,明細!$D$5:$D$363,"基盤")</f>
        <v/>
      </c>
      <c r="L66" s="98">
        <f>COUNTIFS(明細!$J$5:$J$363,A66,明細!$D$5:$D$363,"基盤")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46064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COUNTIFS(明細!$F$5:$F$363,A67,明細!$D$5:$D$363,"基盤")</f>
        <v/>
      </c>
      <c r="E67" s="98">
        <f>COUNTIFS(明細!$G$5:$G$363,A67,明細!$D$5:$D$363,"基盤")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COUNTIFS(明細!$I$5:$I$363,A67,明細!$D$5:$D$363,"基盤")</f>
        <v/>
      </c>
      <c r="L67" s="98">
        <f>COUNTIFS(明細!$J$5:$J$363,A67,明細!$D$5:$D$363,"基盤")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46065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COUNTIFS(明細!$F$5:$F$363,A68,明細!$D$5:$D$363,"基盤")</f>
        <v/>
      </c>
      <c r="E68" s="98">
        <f>COUNTIFS(明細!$G$5:$G$363,A68,明細!$D$5:$D$363,"基盤")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COUNTIFS(明細!$I$5:$I$363,A68,明細!$D$5:$D$363,"基盤")</f>
        <v/>
      </c>
      <c r="L68" s="98">
        <f>COUNTIFS(明細!$J$5:$J$363,A68,明細!$D$5:$D$363,"基盤")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46066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COUNTIFS(明細!$F$5:$F$363,A69,明細!$D$5:$D$363,"基盤")</f>
        <v/>
      </c>
      <c r="E69" s="98">
        <f>COUNTIFS(明細!$G$5:$G$363,A69,明細!$D$5:$D$363,"基盤")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COUNTIFS(明細!$I$5:$I$363,A69,明細!$D$5:$D$363,"基盤")</f>
        <v/>
      </c>
      <c r="L69" s="98">
        <f>COUNTIFS(明細!$J$5:$J$363,A69,明細!$D$5:$D$363,"基盤")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46067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COUNTIFS(明細!$F$5:$F$363,A70,明細!$D$5:$D$363,"基盤")</f>
        <v/>
      </c>
      <c r="E70" s="98">
        <f>COUNTIFS(明細!$G$5:$G$363,A70,明細!$D$5:$D$363,"基盤")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COUNTIFS(明細!$I$5:$I$363,A70,明細!$D$5:$D$363,"基盤")</f>
        <v/>
      </c>
      <c r="L70" s="98">
        <f>COUNTIFS(明細!$J$5:$J$363,A70,明細!$D$5:$D$363,"基盤")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46068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COUNTIFS(明細!$F$5:$F$363,A71,明細!$D$5:$D$363,"基盤")</f>
        <v/>
      </c>
      <c r="E71" s="98">
        <f>COUNTIFS(明細!$G$5:$G$363,A71,明細!$D$5:$D$363,"基盤")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COUNTIFS(明細!$I$5:$I$363,A71,明細!$D$5:$D$363,"基盤")</f>
        <v/>
      </c>
      <c r="L71" s="98">
        <f>COUNTIFS(明細!$J$5:$J$363,A71,明細!$D$5:$D$363,"基盤")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46069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COUNTIFS(明細!$F$5:$F$363,A72,明細!$D$5:$D$363,"基盤")</f>
        <v/>
      </c>
      <c r="E72" s="98">
        <f>COUNTIFS(明細!$G$5:$G$363,A72,明細!$D$5:$D$363,"基盤")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COUNTIFS(明細!$I$5:$I$363,A72,明細!$D$5:$D$363,"基盤")</f>
        <v/>
      </c>
      <c r="L72" s="98">
        <f>COUNTIFS(明細!$J$5:$J$363,A72,明細!$D$5:$D$363,"基盤")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46070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COUNTIFS(明細!$F$5:$F$363,A73,明細!$D$5:$D$363,"基盤")</f>
        <v/>
      </c>
      <c r="E73" s="98">
        <f>COUNTIFS(明細!$G$5:$G$363,A73,明細!$D$5:$D$363,"基盤")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COUNTIFS(明細!$I$5:$I$363,A73,明細!$D$5:$D$363,"基盤")</f>
        <v/>
      </c>
      <c r="L73" s="98">
        <f>COUNTIFS(明細!$J$5:$J$363,A73,明細!$D$5:$D$363,"基盤")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46071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COUNTIFS(明細!$F$5:$F$363,A74,明細!$D$5:$D$363,"基盤")</f>
        <v/>
      </c>
      <c r="E74" s="98">
        <f>COUNTIFS(明細!$G$5:$G$363,A74,明細!$D$5:$D$363,"基盤")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COUNTIFS(明細!$I$5:$I$363,A74,明細!$D$5:$D$363,"基盤")</f>
        <v/>
      </c>
      <c r="L74" s="98">
        <f>COUNTIFS(明細!$J$5:$J$363,A74,明細!$D$5:$D$363,"基盤")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46072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COUNTIFS(明細!$F$5:$F$363,A75,明細!$D$5:$D$363,"基盤")</f>
        <v/>
      </c>
      <c r="E75" s="98">
        <f>COUNTIFS(明細!$G$5:$G$363,A75,明細!$D$5:$D$363,"基盤")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COUNTIFS(明細!$I$5:$I$363,A75,明細!$D$5:$D$363,"基盤")</f>
        <v/>
      </c>
      <c r="L75" s="98">
        <f>COUNTIFS(明細!$J$5:$J$363,A75,明細!$D$5:$D$363,"基盤")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46073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COUNTIFS(明細!$F$5:$F$363,A76,明細!$D$5:$D$363,"基盤")</f>
        <v/>
      </c>
      <c r="E76" s="98">
        <f>COUNTIFS(明細!$G$5:$G$363,A76,明細!$D$5:$D$363,"基盤")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COUNTIFS(明細!$I$5:$I$363,A76,明細!$D$5:$D$363,"基盤")</f>
        <v/>
      </c>
      <c r="L76" s="98">
        <f>COUNTIFS(明細!$J$5:$J$363,A76,明細!$D$5:$D$363,"基盤")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46074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COUNTIFS(明細!$F$5:$F$363,A77,明細!$D$5:$D$363,"基盤")</f>
        <v/>
      </c>
      <c r="E77" s="98">
        <f>COUNTIFS(明細!$G$5:$G$363,A77,明細!$D$5:$D$363,"基盤")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COUNTIFS(明細!$I$5:$I$363,A77,明細!$D$5:$D$363,"基盤")</f>
        <v/>
      </c>
      <c r="L77" s="98">
        <f>COUNTIFS(明細!$J$5:$J$363,A77,明細!$D$5:$D$363,"基盤")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46075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COUNTIFS(明細!$F$5:$F$363,A78,明細!$D$5:$D$363,"基盤")</f>
        <v/>
      </c>
      <c r="E78" s="98">
        <f>COUNTIFS(明細!$G$5:$G$363,A78,明細!$D$5:$D$363,"基盤")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COUNTIFS(明細!$I$5:$I$363,A78,明細!$D$5:$D$363,"基盤")</f>
        <v/>
      </c>
      <c r="L78" s="98">
        <f>COUNTIFS(明細!$J$5:$J$363,A78,明細!$D$5:$D$363,"基盤")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46076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COUNTIFS(明細!$F$5:$F$363,A79,明細!$D$5:$D$363,"基盤")</f>
        <v/>
      </c>
      <c r="E79" s="98">
        <f>COUNTIFS(明細!$G$5:$G$363,A79,明細!$D$5:$D$363,"基盤")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COUNTIFS(明細!$I$5:$I$363,A79,明細!$D$5:$D$363,"基盤")</f>
        <v/>
      </c>
      <c r="L79" s="98">
        <f>COUNTIFS(明細!$J$5:$J$363,A79,明細!$D$5:$D$363,"基盤")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46077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COUNTIFS(明細!$F$5:$F$363,A80,明細!$D$5:$D$363,"基盤")</f>
        <v/>
      </c>
      <c r="E80" s="98">
        <f>COUNTIFS(明細!$G$5:$G$363,A80,明細!$D$5:$D$363,"基盤")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COUNTIFS(明細!$I$5:$I$363,A80,明細!$D$5:$D$363,"基盤")</f>
        <v/>
      </c>
      <c r="L80" s="98">
        <f>COUNTIFS(明細!$J$5:$J$363,A80,明細!$D$5:$D$363,"基盤")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46078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COUNTIFS(明細!$F$5:$F$363,A81,明細!$D$5:$D$363,"基盤")</f>
        <v/>
      </c>
      <c r="E81" s="98">
        <f>COUNTIFS(明細!$G$5:$G$363,A81,明細!$D$5:$D$363,"基盤")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COUNTIFS(明細!$I$5:$I$363,A81,明細!$D$5:$D$363,"基盤")</f>
        <v/>
      </c>
      <c r="L81" s="98">
        <f>COUNTIFS(明細!$J$5:$J$363,A81,明細!$D$5:$D$363,"基盤")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46079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COUNTIFS(明細!$F$5:$F$363,A82,明細!$D$5:$D$363,"基盤")</f>
        <v/>
      </c>
      <c r="E82" s="98">
        <f>COUNTIFS(明細!$G$5:$G$363,A82,明細!$D$5:$D$363,"基盤")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COUNTIFS(明細!$I$5:$I$363,A82,明細!$D$5:$D$363,"基盤")</f>
        <v/>
      </c>
      <c r="L82" s="98">
        <f>COUNTIFS(明細!$J$5:$J$363,A82,明細!$D$5:$D$363,"基盤")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46080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COUNTIFS(明細!$F$5:$F$363,A83,明細!$D$5:$D$363,"基盤")</f>
        <v/>
      </c>
      <c r="E83" s="98">
        <f>COUNTIFS(明細!$G$5:$G$363,A83,明細!$D$5:$D$363,"基盤")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COUNTIFS(明細!$I$5:$I$363,A83,明細!$D$5:$D$363,"基盤")</f>
        <v/>
      </c>
      <c r="L83" s="98">
        <f>COUNTIFS(明細!$J$5:$J$363,A83,明細!$D$5:$D$363,"基盤")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46081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COUNTIFS(明細!$F$5:$F$363,A84,明細!$D$5:$D$363,"基盤")</f>
        <v/>
      </c>
      <c r="E84" s="98">
        <f>COUNTIFS(明細!$G$5:$G$363,A84,明細!$D$5:$D$363,"基盤")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COUNTIFS(明細!$I$5:$I$363,A84,明細!$D$5:$D$363,"基盤")</f>
        <v/>
      </c>
      <c r="L84" s="98">
        <f>COUNTIFS(明細!$J$5:$J$363,A84,明細!$D$5:$D$363,"基盤")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46082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COUNTIFS(明細!$F$5:$F$363,A85,明細!$D$5:$D$363,"基盤")</f>
        <v/>
      </c>
      <c r="E85" s="98">
        <f>COUNTIFS(明細!$G$5:$G$363,A85,明細!$D$5:$D$363,"基盤")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COUNTIFS(明細!$I$5:$I$363,A85,明細!$D$5:$D$363,"基盤")</f>
        <v/>
      </c>
      <c r="L85" s="98">
        <f>COUNTIFS(明細!$J$5:$J$363,A85,明細!$D$5:$D$363,"基盤")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46083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COUNTIFS(明細!$F$5:$F$363,A86,明細!$D$5:$D$363,"基盤")</f>
        <v/>
      </c>
      <c r="E86" s="98">
        <f>COUNTIFS(明細!$G$5:$G$363,A86,明細!$D$5:$D$363,"基盤")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COUNTIFS(明細!$I$5:$I$363,A86,明細!$D$5:$D$363,"基盤")</f>
        <v/>
      </c>
      <c r="L86" s="98">
        <f>COUNTIFS(明細!$J$5:$J$363,A86,明細!$D$5:$D$363,"基盤")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46084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COUNTIFS(明細!$F$5:$F$363,A87,明細!$D$5:$D$363,"基盤")</f>
        <v/>
      </c>
      <c r="E87" s="98">
        <f>COUNTIFS(明細!$G$5:$G$363,A87,明細!$D$5:$D$363,"基盤")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COUNTIFS(明細!$I$5:$I$363,A87,明細!$D$5:$D$363,"基盤")</f>
        <v/>
      </c>
      <c r="L87" s="98">
        <f>COUNTIFS(明細!$J$5:$J$363,A87,明細!$D$5:$D$363,"基盤")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46085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COUNTIFS(明細!$F$5:$F$363,A88,明細!$D$5:$D$363,"基盤")</f>
        <v/>
      </c>
      <c r="E88" s="98">
        <f>COUNTIFS(明細!$G$5:$G$363,A88,明細!$D$5:$D$363,"基盤")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COUNTIFS(明細!$I$5:$I$363,A88,明細!$D$5:$D$363,"基盤")</f>
        <v/>
      </c>
      <c r="L88" s="98">
        <f>COUNTIFS(明細!$J$5:$J$363,A88,明細!$D$5:$D$363,"基盤")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46086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COUNTIFS(明細!$F$5:$F$363,A89,明細!$D$5:$D$363,"基盤")</f>
        <v/>
      </c>
      <c r="E89" s="98">
        <f>COUNTIFS(明細!$G$5:$G$363,A89,明細!$D$5:$D$363,"基盤")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COUNTIFS(明細!$I$5:$I$363,A89,明細!$D$5:$D$363,"基盤")</f>
        <v/>
      </c>
      <c r="L89" s="98">
        <f>COUNTIFS(明細!$J$5:$J$363,A89,明細!$D$5:$D$363,"基盤")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46087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COUNTIFS(明細!$F$5:$F$363,A90,明細!$D$5:$D$363,"基盤")</f>
        <v/>
      </c>
      <c r="E90" s="98">
        <f>COUNTIFS(明細!$G$5:$G$363,A90,明細!$D$5:$D$363,"基盤")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COUNTIFS(明細!$I$5:$I$363,A90,明細!$D$5:$D$363,"基盤")</f>
        <v/>
      </c>
      <c r="L90" s="98">
        <f>COUNTIFS(明細!$J$5:$J$363,A90,明細!$D$5:$D$363,"基盤")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46088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COUNTIFS(明細!$F$5:$F$363,A91,明細!$D$5:$D$363,"基盤")</f>
        <v/>
      </c>
      <c r="E91" s="98">
        <f>COUNTIFS(明細!$G$5:$G$363,A91,明細!$D$5:$D$363,"基盤")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COUNTIFS(明細!$I$5:$I$363,A91,明細!$D$5:$D$363,"基盤")</f>
        <v/>
      </c>
      <c r="L91" s="98">
        <f>COUNTIFS(明細!$J$5:$J$363,A91,明細!$D$5:$D$363,"基盤")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46089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COUNTIFS(明細!$F$5:$F$363,A92,明細!$D$5:$D$363,"基盤")</f>
        <v/>
      </c>
      <c r="E92" s="98">
        <f>COUNTIFS(明細!$G$5:$G$363,A92,明細!$D$5:$D$363,"基盤")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COUNTIFS(明細!$I$5:$I$363,A92,明細!$D$5:$D$363,"基盤")</f>
        <v/>
      </c>
      <c r="L92" s="98">
        <f>COUNTIFS(明細!$J$5:$J$363,A92,明細!$D$5:$D$363,"基盤")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46090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COUNTIFS(明細!$F$5:$F$363,A93,明細!$D$5:$D$363,"基盤")</f>
        <v/>
      </c>
      <c r="E93" s="98">
        <f>COUNTIFS(明細!$G$5:$G$363,A93,明細!$D$5:$D$363,"基盤")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COUNTIFS(明細!$I$5:$I$363,A93,明細!$D$5:$D$363,"基盤")</f>
        <v/>
      </c>
      <c r="L93" s="98">
        <f>COUNTIFS(明細!$J$5:$J$363,A93,明細!$D$5:$D$363,"基盤")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46091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COUNTIFS(明細!$F$5:$F$363,A94,明細!$D$5:$D$363,"基盤")</f>
        <v/>
      </c>
      <c r="E94" s="98">
        <f>COUNTIFS(明細!$G$5:$G$363,A94,明細!$D$5:$D$363,"基盤")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COUNTIFS(明細!$I$5:$I$363,A94,明細!$D$5:$D$363,"基盤")</f>
        <v/>
      </c>
      <c r="L94" s="98">
        <f>COUNTIFS(明細!$J$5:$J$363,A94,明細!$D$5:$D$363,"基盤")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46092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COUNTIFS(明細!$F$5:$F$363,A95,明細!$D$5:$D$363,"基盤")</f>
        <v/>
      </c>
      <c r="E95" s="98">
        <f>COUNTIFS(明細!$G$5:$G$363,A95,明細!$D$5:$D$363,"基盤")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COUNTIFS(明細!$I$5:$I$363,A95,明細!$D$5:$D$363,"基盤")</f>
        <v/>
      </c>
      <c r="L95" s="98">
        <f>COUNTIFS(明細!$J$5:$J$363,A95,明細!$D$5:$D$363,"基盤")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46093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COUNTIFS(明細!$F$5:$F$363,A96,明細!$D$5:$D$363,"基盤")</f>
        <v/>
      </c>
      <c r="E96" s="98">
        <f>COUNTIFS(明細!$G$5:$G$363,A96,明細!$D$5:$D$363,"基盤")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COUNTIFS(明細!$I$5:$I$363,A96,明細!$D$5:$D$363,"基盤")</f>
        <v/>
      </c>
      <c r="L96" s="98">
        <f>COUNTIFS(明細!$J$5:$J$363,A96,明細!$D$5:$D$363,"基盤")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46094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COUNTIFS(明細!$F$5:$F$363,A97,明細!$D$5:$D$363,"基盤")</f>
        <v/>
      </c>
      <c r="E97" s="98">
        <f>COUNTIFS(明細!$G$5:$G$363,A97,明細!$D$5:$D$363,"基盤")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COUNTIFS(明細!$I$5:$I$363,A97,明細!$D$5:$D$363,"基盤")</f>
        <v/>
      </c>
      <c r="L97" s="98">
        <f>COUNTIFS(明細!$J$5:$J$363,A97,明細!$D$5:$D$363,"基盤")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46095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COUNTIFS(明細!$F$5:$F$363,A98,明細!$D$5:$D$363,"基盤")</f>
        <v/>
      </c>
      <c r="E98" s="98">
        <f>COUNTIFS(明細!$G$5:$G$363,A98,明細!$D$5:$D$363,"基盤")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COUNTIFS(明細!$I$5:$I$363,A98,明細!$D$5:$D$363,"基盤")</f>
        <v/>
      </c>
      <c r="L98" s="98">
        <f>COUNTIFS(明細!$J$5:$J$363,A98,明細!$D$5:$D$363,"基盤")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46096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COUNTIFS(明細!$F$5:$F$363,A99,明細!$D$5:$D$363,"基盤")</f>
        <v/>
      </c>
      <c r="E99" s="98">
        <f>COUNTIFS(明細!$G$5:$G$363,A99,明細!$D$5:$D$363,"基盤")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COUNTIFS(明細!$I$5:$I$363,A99,明細!$D$5:$D$363,"基盤")</f>
        <v/>
      </c>
      <c r="L99" s="98">
        <f>COUNTIFS(明細!$J$5:$J$363,A99,明細!$D$5:$D$363,"基盤")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46097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COUNTIFS(明細!$F$5:$F$363,A100,明細!$D$5:$D$363,"基盤")</f>
        <v/>
      </c>
      <c r="E100" s="98">
        <f>COUNTIFS(明細!$G$5:$G$363,A100,明細!$D$5:$D$363,"基盤")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COUNTIFS(明細!$I$5:$I$363,A100,明細!$D$5:$D$363,"基盤")</f>
        <v/>
      </c>
      <c r="L100" s="98">
        <f>COUNTIFS(明細!$J$5:$J$363,A100,明細!$D$5:$D$363,"基盤")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46098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COUNTIFS(明細!$F$5:$F$363,A101,明細!$D$5:$D$363,"基盤")</f>
        <v/>
      </c>
      <c r="E101" s="98">
        <f>COUNTIFS(明細!$G$5:$G$363,A101,明細!$D$5:$D$363,"基盤")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COUNTIFS(明細!$I$5:$I$363,A101,明細!$D$5:$D$363,"基盤")</f>
        <v/>
      </c>
      <c r="L101" s="98">
        <f>COUNTIFS(明細!$J$5:$J$363,A101,明細!$D$5:$D$363,"基盤")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46099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COUNTIFS(明細!$F$5:$F$363,A102,明細!$D$5:$D$363,"基盤")</f>
        <v/>
      </c>
      <c r="E102" s="98">
        <f>COUNTIFS(明細!$G$5:$G$363,A102,明細!$D$5:$D$363,"基盤")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COUNTIFS(明細!$I$5:$I$363,A102,明細!$D$5:$D$363,"基盤")</f>
        <v/>
      </c>
      <c r="L102" s="98">
        <f>COUNTIFS(明細!$J$5:$J$363,A102,明細!$D$5:$D$363,"基盤")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46100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COUNTIFS(明細!$F$5:$F$363,A103,明細!$D$5:$D$363,"基盤")</f>
        <v/>
      </c>
      <c r="E103" s="98">
        <f>COUNTIFS(明細!$G$5:$G$363,A103,明細!$D$5:$D$363,"基盤")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COUNTIFS(明細!$I$5:$I$363,A103,明細!$D$5:$D$363,"基盤")</f>
        <v/>
      </c>
      <c r="L103" s="98">
        <f>COUNTIFS(明細!$J$5:$J$363,A103,明細!$D$5:$D$363,"基盤")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46101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COUNTIFS(明細!$F$5:$F$363,A104,明細!$D$5:$D$363,"基盤")</f>
        <v/>
      </c>
      <c r="E104" s="98">
        <f>COUNTIFS(明細!$G$5:$G$363,A104,明細!$D$5:$D$363,"基盤")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COUNTIFS(明細!$I$5:$I$363,A104,明細!$D$5:$D$363,"基盤")</f>
        <v/>
      </c>
      <c r="L104" s="98">
        <f>COUNTIFS(明細!$J$5:$J$363,A104,明細!$D$5:$D$363,"基盤")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46102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COUNTIFS(明細!$F$5:$F$363,A105,明細!$D$5:$D$363,"基盤")</f>
        <v/>
      </c>
      <c r="E105" s="98">
        <f>COUNTIFS(明細!$G$5:$G$363,A105,明細!$D$5:$D$363,"基盤")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COUNTIFS(明細!$I$5:$I$363,A105,明細!$D$5:$D$363,"基盤")</f>
        <v/>
      </c>
      <c r="L105" s="98">
        <f>COUNTIFS(明細!$J$5:$J$363,A105,明細!$D$5:$D$363,"基盤")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46103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COUNTIFS(明細!$F$5:$F$363,A106,明細!$D$5:$D$363,"基盤")</f>
        <v/>
      </c>
      <c r="E106" s="98">
        <f>COUNTIFS(明細!$G$5:$G$363,A106,明細!$D$5:$D$363,"基盤")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COUNTIFS(明細!$I$5:$I$363,A106,明細!$D$5:$D$363,"基盤")</f>
        <v/>
      </c>
      <c r="L106" s="98">
        <f>COUNTIFS(明細!$J$5:$J$363,A106,明細!$D$5:$D$363,"基盤")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46104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COUNTIFS(明細!$F$5:$F$363,A107,明細!$D$5:$D$363,"基盤")</f>
        <v/>
      </c>
      <c r="E107" s="98">
        <f>COUNTIFS(明細!$G$5:$G$363,A107,明細!$D$5:$D$363,"基盤")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COUNTIFS(明細!$I$5:$I$363,A107,明細!$D$5:$D$363,"基盤")</f>
        <v/>
      </c>
      <c r="L107" s="98">
        <f>COUNTIFS(明細!$J$5:$J$363,A107,明細!$D$5:$D$363,"基盤")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46105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COUNTIFS(明細!$F$5:$F$363,A108,明細!$D$5:$D$363,"基盤")</f>
        <v/>
      </c>
      <c r="E108" s="98">
        <f>COUNTIFS(明細!$G$5:$G$363,A108,明細!$D$5:$D$363,"基盤")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COUNTIFS(明細!$I$5:$I$363,A108,明細!$D$5:$D$363,"基盤")</f>
        <v/>
      </c>
      <c r="L108" s="98">
        <f>COUNTIFS(明細!$J$5:$J$363,A108,明細!$D$5:$D$363,"基盤")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46106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COUNTIFS(明細!$F$5:$F$363,A109,明細!$D$5:$D$363,"基盤")</f>
        <v/>
      </c>
      <c r="E109" s="98">
        <f>COUNTIFS(明細!$G$5:$G$363,A109,明細!$D$5:$D$363,"基盤")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COUNTIFS(明細!$I$5:$I$363,A109,明細!$D$5:$D$363,"基盤")</f>
        <v/>
      </c>
      <c r="L109" s="98">
        <f>COUNTIFS(明細!$J$5:$J$363,A109,明細!$D$5:$D$363,"基盤")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46107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COUNTIFS(明細!$F$5:$F$363,A110,明細!$D$5:$D$363,"基盤")</f>
        <v/>
      </c>
      <c r="E110" s="98">
        <f>COUNTIFS(明細!$G$5:$G$363,A110,明細!$D$5:$D$363,"基盤")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COUNTIFS(明細!$I$5:$I$363,A110,明細!$D$5:$D$363,"基盤")</f>
        <v/>
      </c>
      <c r="L110" s="98">
        <f>COUNTIFS(明細!$J$5:$J$363,A110,明細!$D$5:$D$363,"基盤")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46108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COUNTIFS(明細!$F$5:$F$363,A111,明細!$D$5:$D$363,"基盤")</f>
        <v/>
      </c>
      <c r="E111" s="98">
        <f>COUNTIFS(明細!$G$5:$G$363,A111,明細!$D$5:$D$363,"基盤")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COUNTIFS(明細!$I$5:$I$363,A111,明細!$D$5:$D$363,"基盤")</f>
        <v/>
      </c>
      <c r="L111" s="98">
        <f>COUNTIFS(明細!$J$5:$J$363,A111,明細!$D$5:$D$363,"基盤")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46109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COUNTIFS(明細!$F$5:$F$363,A112,明細!$D$5:$D$363,"基盤")</f>
        <v/>
      </c>
      <c r="E112" s="98">
        <f>COUNTIFS(明細!$G$5:$G$363,A112,明細!$D$5:$D$363,"基盤")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COUNTIFS(明細!$I$5:$I$363,A112,明細!$D$5:$D$363,"基盤")</f>
        <v/>
      </c>
      <c r="L112" s="98">
        <f>COUNTIFS(明細!$J$5:$J$363,A112,明細!$D$5:$D$363,"基盤")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46110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COUNTIFS(明細!$F$5:$F$363,A113,明細!$D$5:$D$363,"基盤")</f>
        <v/>
      </c>
      <c r="E113" s="98">
        <f>COUNTIFS(明細!$G$5:$G$363,A113,明細!$D$5:$D$363,"基盤")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COUNTIFS(明細!$I$5:$I$363,A113,明細!$D$5:$D$363,"基盤")</f>
        <v/>
      </c>
      <c r="L113" s="98">
        <f>COUNTIFS(明細!$J$5:$J$363,A113,明細!$D$5:$D$363,"基盤")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46111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COUNTIFS(明細!$F$5:$F$363,A114,明細!$D$5:$D$363,"基盤")</f>
        <v/>
      </c>
      <c r="E114" s="98">
        <f>COUNTIFS(明細!$G$5:$G$363,A114,明細!$D$5:$D$363,"基盤")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COUNTIFS(明細!$I$5:$I$363,A114,明細!$D$5:$D$363,"基盤")</f>
        <v/>
      </c>
      <c r="L114" s="98">
        <f>COUNTIFS(明細!$J$5:$J$363,A114,明細!$D$5:$D$363,"基盤")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46112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COUNTIFS(明細!$F$5:$F$363,A115,明細!$D$5:$D$363,"基盤")</f>
        <v/>
      </c>
      <c r="E115" s="98">
        <f>COUNTIFS(明細!$G$5:$G$363,A115,明細!$D$5:$D$363,"基盤")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COUNTIFS(明細!$I$5:$I$363,A115,明細!$D$5:$D$363,"基盤")</f>
        <v/>
      </c>
      <c r="L115" s="98">
        <f>COUNTIFS(明細!$J$5:$J$363,A115,明細!$D$5:$D$363,"基盤")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46113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COUNTIFS(明細!$F$5:$F$363,A116,明細!$D$5:$D$363,"基盤")</f>
        <v/>
      </c>
      <c r="E116" s="98">
        <f>COUNTIFS(明細!$G$5:$G$363,A116,明細!$D$5:$D$363,"基盤")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COUNTIFS(明細!$I$5:$I$363,A116,明細!$D$5:$D$363,"基盤")</f>
        <v/>
      </c>
      <c r="L116" s="98">
        <f>COUNTIFS(明細!$J$5:$J$363,A116,明細!$D$5:$D$363,"基盤")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46114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COUNTIFS(明細!$F$5:$F$363,A117,明細!$D$5:$D$363,"基盤")</f>
        <v/>
      </c>
      <c r="E117" s="98">
        <f>COUNTIFS(明細!$G$5:$G$363,A117,明細!$D$5:$D$363,"基盤")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COUNTIFS(明細!$I$5:$I$363,A117,明細!$D$5:$D$363,"基盤")</f>
        <v/>
      </c>
      <c r="L117" s="98">
        <f>COUNTIFS(明細!$J$5:$J$363,A117,明細!$D$5:$D$363,"基盤")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46115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COUNTIFS(明細!$F$5:$F$363,A118,明細!$D$5:$D$363,"基盤")</f>
        <v/>
      </c>
      <c r="E118" s="98">
        <f>COUNTIFS(明細!$G$5:$G$363,A118,明細!$D$5:$D$363,"基盤")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COUNTIFS(明細!$I$5:$I$363,A118,明細!$D$5:$D$363,"基盤")</f>
        <v/>
      </c>
      <c r="L118" s="98">
        <f>COUNTIFS(明細!$J$5:$J$363,A118,明細!$D$5:$D$363,"基盤")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46116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COUNTIFS(明細!$F$5:$F$363,A119,明細!$D$5:$D$363,"基盤")</f>
        <v/>
      </c>
      <c r="E119" s="98">
        <f>COUNTIFS(明細!$G$5:$G$363,A119,明細!$D$5:$D$363,"基盤")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COUNTIFS(明細!$I$5:$I$363,A119,明細!$D$5:$D$363,"基盤")</f>
        <v/>
      </c>
      <c r="L119" s="98">
        <f>COUNTIFS(明細!$J$5:$J$363,A119,明細!$D$5:$D$363,"基盤")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46117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COUNTIFS(明細!$F$5:$F$363,A120,明細!$D$5:$D$363,"基盤")</f>
        <v/>
      </c>
      <c r="E120" s="98">
        <f>COUNTIFS(明細!$G$5:$G$363,A120,明細!$D$5:$D$363,"基盤")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COUNTIFS(明細!$I$5:$I$363,A120,明細!$D$5:$D$363,"基盤")</f>
        <v/>
      </c>
      <c r="L120" s="98">
        <f>COUNTIFS(明細!$J$5:$J$363,A120,明細!$D$5:$D$363,"基盤")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46118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COUNTIFS(明細!$F$5:$F$363,A121,明細!$D$5:$D$363,"基盤")</f>
        <v/>
      </c>
      <c r="E121" s="98">
        <f>COUNTIFS(明細!$G$5:$G$363,A121,明細!$D$5:$D$363,"基盤")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COUNTIFS(明細!$I$5:$I$363,A121,明細!$D$5:$D$363,"基盤")</f>
        <v/>
      </c>
      <c r="L121" s="98">
        <f>COUNTIFS(明細!$J$5:$J$363,A121,明細!$D$5:$D$363,"基盤")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46119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COUNTIFS(明細!$F$5:$F$363,A122,明細!$D$5:$D$363,"基盤")</f>
        <v/>
      </c>
      <c r="E122" s="98">
        <f>COUNTIFS(明細!$G$5:$G$363,A122,明細!$D$5:$D$363,"基盤")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COUNTIFS(明細!$I$5:$I$363,A122,明細!$D$5:$D$363,"基盤")</f>
        <v/>
      </c>
      <c r="L122" s="98">
        <f>COUNTIFS(明細!$J$5:$J$363,A122,明細!$D$5:$D$363,"基盤")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46120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COUNTIFS(明細!$F$5:$F$363,A123,明細!$D$5:$D$363,"基盤")</f>
        <v/>
      </c>
      <c r="E123" s="98">
        <f>COUNTIFS(明細!$G$5:$G$363,A123,明細!$D$5:$D$363,"基盤")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COUNTIFS(明細!$I$5:$I$363,A123,明細!$D$5:$D$363,"基盤")</f>
        <v/>
      </c>
      <c r="L123" s="98">
        <f>COUNTIFS(明細!$J$5:$J$363,A123,明細!$D$5:$D$363,"基盤")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46121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COUNTIFS(明細!$F$5:$F$363,A124,明細!$D$5:$D$363,"基盤")</f>
        <v/>
      </c>
      <c r="E124" s="98">
        <f>COUNTIFS(明細!$G$5:$G$363,A124,明細!$D$5:$D$363,"基盤")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COUNTIFS(明細!$I$5:$I$363,A124,明細!$D$5:$D$363,"基盤")</f>
        <v/>
      </c>
      <c r="L124" s="98">
        <f>COUNTIFS(明細!$J$5:$J$363,A124,明細!$D$5:$D$363,"基盤")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46122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COUNTIFS(明細!$F$5:$F$363,A125,明細!$D$5:$D$363,"基盤")</f>
        <v/>
      </c>
      <c r="E125" s="98">
        <f>COUNTIFS(明細!$G$5:$G$363,A125,明細!$D$5:$D$363,"基盤")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COUNTIFS(明細!$I$5:$I$363,A125,明細!$D$5:$D$363,"基盤")</f>
        <v/>
      </c>
      <c r="L125" s="98">
        <f>COUNTIFS(明細!$J$5:$J$363,A125,明細!$D$5:$D$363,"基盤")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46123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COUNTIFS(明細!$F$5:$F$363,A126,明細!$D$5:$D$363,"基盤")</f>
        <v/>
      </c>
      <c r="E126" s="98">
        <f>COUNTIFS(明細!$G$5:$G$363,A126,明細!$D$5:$D$363,"基盤")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COUNTIFS(明細!$I$5:$I$363,A126,明細!$D$5:$D$363,"基盤")</f>
        <v/>
      </c>
      <c r="L126" s="98">
        <f>COUNTIFS(明細!$J$5:$J$363,A126,明細!$D$5:$D$363,"基盤")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46124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COUNTIFS(明細!$F$5:$F$363,A127,明細!$D$5:$D$363,"基盤")</f>
        <v/>
      </c>
      <c r="E127" s="98">
        <f>COUNTIFS(明細!$G$5:$G$363,A127,明細!$D$5:$D$363,"基盤")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COUNTIFS(明細!$I$5:$I$363,A127,明細!$D$5:$D$363,"基盤")</f>
        <v/>
      </c>
      <c r="L127" s="98">
        <f>COUNTIFS(明細!$J$5:$J$363,A127,明細!$D$5:$D$363,"基盤")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46125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COUNTIFS(明細!$F$5:$F$363,A128,明細!$D$5:$D$363,"基盤")</f>
        <v/>
      </c>
      <c r="E128" s="98">
        <f>COUNTIFS(明細!$G$5:$G$363,A128,明細!$D$5:$D$363,"基盤")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COUNTIFS(明細!$I$5:$I$363,A128,明細!$D$5:$D$363,"基盤")</f>
        <v/>
      </c>
      <c r="L128" s="98">
        <f>COUNTIFS(明細!$J$5:$J$363,A128,明細!$D$5:$D$363,"基盤")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46126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COUNTIFS(明細!$F$5:$F$363,A129,明細!$D$5:$D$363,"基盤")</f>
        <v/>
      </c>
      <c r="E129" s="98">
        <f>COUNTIFS(明細!$G$5:$G$363,A129,明細!$D$5:$D$363,"基盤")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COUNTIFS(明細!$I$5:$I$363,A129,明細!$D$5:$D$363,"基盤")</f>
        <v/>
      </c>
      <c r="L129" s="98">
        <f>COUNTIFS(明細!$J$5:$J$363,A129,明細!$D$5:$D$363,"基盤")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46127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COUNTIFS(明細!$F$5:$F$363,A130,明細!$D$5:$D$363,"基盤")</f>
        <v/>
      </c>
      <c r="E130" s="98">
        <f>COUNTIFS(明細!$G$5:$G$363,A130,明細!$D$5:$D$363,"基盤")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COUNTIFS(明細!$I$5:$I$363,A130,明細!$D$5:$D$363,"基盤")</f>
        <v/>
      </c>
      <c r="L130" s="98">
        <f>COUNTIFS(明細!$J$5:$J$363,A130,明細!$D$5:$D$363,"基盤")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46128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COUNTIFS(明細!$F$5:$F$363,A131,明細!$D$5:$D$363,"基盤")</f>
        <v/>
      </c>
      <c r="E131" s="98">
        <f>COUNTIFS(明細!$G$5:$G$363,A131,明細!$D$5:$D$363,"基盤")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COUNTIFS(明細!$I$5:$I$363,A131,明細!$D$5:$D$363,"基盤")</f>
        <v/>
      </c>
      <c r="L131" s="98">
        <f>COUNTIFS(明細!$J$5:$J$363,A131,明細!$D$5:$D$363,"基盤")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46129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COUNTIFS(明細!$F$5:$F$363,A132,明細!$D$5:$D$363,"基盤")</f>
        <v/>
      </c>
      <c r="E132" s="98">
        <f>COUNTIFS(明細!$G$5:$G$363,A132,明細!$D$5:$D$363,"基盤")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COUNTIFS(明細!$I$5:$I$363,A132,明細!$D$5:$D$363,"基盤")</f>
        <v/>
      </c>
      <c r="L132" s="98">
        <f>COUNTIFS(明細!$J$5:$J$363,A132,明細!$D$5:$D$363,"基盤")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46130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COUNTIFS(明細!$F$5:$F$363,A133,明細!$D$5:$D$363,"基盤")</f>
        <v/>
      </c>
      <c r="E133" s="98">
        <f>COUNTIFS(明細!$G$5:$G$363,A133,明細!$D$5:$D$363,"基盤")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COUNTIFS(明細!$I$5:$I$363,A133,明細!$D$5:$D$363,"基盤")</f>
        <v/>
      </c>
      <c r="L133" s="98">
        <f>COUNTIFS(明細!$J$5:$J$363,A133,明細!$D$5:$D$363,"基盤")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46131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COUNTIFS(明細!$F$5:$F$363,A134,明細!$D$5:$D$363,"基盤")</f>
        <v/>
      </c>
      <c r="E134" s="98">
        <f>COUNTIFS(明細!$G$5:$G$363,A134,明細!$D$5:$D$363,"基盤")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COUNTIFS(明細!$I$5:$I$363,A134,明細!$D$5:$D$363,"基盤")</f>
        <v/>
      </c>
      <c r="L134" s="98">
        <f>COUNTIFS(明細!$J$5:$J$363,A134,明細!$D$5:$D$363,"基盤")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46132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COUNTIFS(明細!$F$5:$F$363,A135,明細!$D$5:$D$363,"基盤")</f>
        <v/>
      </c>
      <c r="E135" s="98">
        <f>COUNTIFS(明細!$G$5:$G$363,A135,明細!$D$5:$D$363,"基盤")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COUNTIFS(明細!$I$5:$I$363,A135,明細!$D$5:$D$363,"基盤")</f>
        <v/>
      </c>
      <c r="L135" s="98">
        <f>COUNTIFS(明細!$J$5:$J$363,A135,明細!$D$5:$D$363,"基盤")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46133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COUNTIFS(明細!$F$5:$F$363,A136,明細!$D$5:$D$363,"基盤")</f>
        <v/>
      </c>
      <c r="E136" s="98">
        <f>COUNTIFS(明細!$G$5:$G$363,A136,明細!$D$5:$D$363,"基盤")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COUNTIFS(明細!$I$5:$I$363,A136,明細!$D$5:$D$363,"基盤")</f>
        <v/>
      </c>
      <c r="L136" s="98">
        <f>COUNTIFS(明細!$J$5:$J$363,A136,明細!$D$5:$D$363,"基盤")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46134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COUNTIFS(明細!$F$5:$F$363,A137,明細!$D$5:$D$363,"基盤")</f>
        <v/>
      </c>
      <c r="E137" s="98">
        <f>COUNTIFS(明細!$G$5:$G$363,A137,明細!$D$5:$D$363,"基盤")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COUNTIFS(明細!$I$5:$I$363,A137,明細!$D$5:$D$363,"基盤")</f>
        <v/>
      </c>
      <c r="L137" s="98">
        <f>COUNTIFS(明細!$J$5:$J$363,A137,明細!$D$5:$D$363,"基盤")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46135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COUNTIFS(明細!$F$5:$F$363,A138,明細!$D$5:$D$363,"基盤")</f>
        <v/>
      </c>
      <c r="E138" s="98">
        <f>COUNTIFS(明細!$G$5:$G$363,A138,明細!$D$5:$D$363,"基盤")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COUNTIFS(明細!$I$5:$I$363,A138,明細!$D$5:$D$363,"基盤")</f>
        <v/>
      </c>
      <c r="L138" s="98">
        <f>COUNTIFS(明細!$J$5:$J$363,A138,明細!$D$5:$D$363,"基盤")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46136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COUNTIFS(明細!$F$5:$F$363,A139,明細!$D$5:$D$363,"基盤")</f>
        <v/>
      </c>
      <c r="E139" s="98">
        <f>COUNTIFS(明細!$G$5:$G$363,A139,明細!$D$5:$D$363,"基盤")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COUNTIFS(明細!$I$5:$I$363,A139,明細!$D$5:$D$363,"基盤")</f>
        <v/>
      </c>
      <c r="L139" s="98">
        <f>COUNTIFS(明細!$J$5:$J$363,A139,明細!$D$5:$D$363,"基盤")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46137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COUNTIFS(明細!$F$5:$F$363,A140,明細!$D$5:$D$363,"基盤")</f>
        <v/>
      </c>
      <c r="E140" s="98">
        <f>COUNTIFS(明細!$G$5:$G$363,A140,明細!$D$5:$D$363,"基盤")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COUNTIFS(明細!$I$5:$I$363,A140,明細!$D$5:$D$363,"基盤")</f>
        <v/>
      </c>
      <c r="L140" s="98">
        <f>COUNTIFS(明細!$J$5:$J$363,A140,明細!$D$5:$D$363,"基盤")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46138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COUNTIFS(明細!$F$5:$F$363,A141,明細!$D$5:$D$363,"基盤")</f>
        <v/>
      </c>
      <c r="E141" s="98">
        <f>COUNTIFS(明細!$G$5:$G$363,A141,明細!$D$5:$D$363,"基盤")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COUNTIFS(明細!$I$5:$I$363,A141,明細!$D$5:$D$363,"基盤")</f>
        <v/>
      </c>
      <c r="L141" s="98">
        <f>COUNTIFS(明細!$J$5:$J$363,A141,明細!$D$5:$D$363,"基盤")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46139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COUNTIFS(明細!$F$5:$F$363,A142,明細!$D$5:$D$363,"基盤")</f>
        <v/>
      </c>
      <c r="E142" s="98">
        <f>COUNTIFS(明細!$G$5:$G$363,A142,明細!$D$5:$D$363,"基盤")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COUNTIFS(明細!$I$5:$I$363,A142,明細!$D$5:$D$363,"基盤")</f>
        <v/>
      </c>
      <c r="L142" s="98">
        <f>COUNTIFS(明細!$J$5:$J$363,A142,明細!$D$5:$D$363,"基盤")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46140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COUNTIFS(明細!$F$5:$F$363,A143,明細!$D$5:$D$363,"基盤")</f>
        <v/>
      </c>
      <c r="E143" s="98">
        <f>COUNTIFS(明細!$G$5:$G$363,A143,明細!$D$5:$D$363,"基盤")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COUNTIFS(明細!$I$5:$I$363,A143,明細!$D$5:$D$363,"基盤")</f>
        <v/>
      </c>
      <c r="L143" s="98">
        <f>COUNTIFS(明細!$J$5:$J$363,A143,明細!$D$5:$D$363,"基盤")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46141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COUNTIFS(明細!$F$5:$F$363,A144,明細!$D$5:$D$363,"基盤")</f>
        <v/>
      </c>
      <c r="E144" s="98">
        <f>COUNTIFS(明細!$G$5:$G$363,A144,明細!$D$5:$D$363,"基盤")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COUNTIFS(明細!$I$5:$I$363,A144,明細!$D$5:$D$363,"基盤")</f>
        <v/>
      </c>
      <c r="L144" s="98">
        <f>COUNTIFS(明細!$J$5:$J$363,A144,明細!$D$5:$D$363,"基盤")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46142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COUNTIFS(明細!$F$5:$F$363,A145,明細!$D$5:$D$363,"基盤")</f>
        <v/>
      </c>
      <c r="E145" s="98">
        <f>COUNTIFS(明細!$G$5:$G$363,A145,明細!$D$5:$D$363,"基盤")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COUNTIFS(明細!$I$5:$I$363,A145,明細!$D$5:$D$363,"基盤")</f>
        <v/>
      </c>
      <c r="L145" s="98">
        <f>COUNTIFS(明細!$J$5:$J$363,A145,明細!$D$5:$D$363,"基盤")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46143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COUNTIFS(明細!$F$5:$F$363,A146,明細!$D$5:$D$363,"基盤")</f>
        <v/>
      </c>
      <c r="E146" s="98">
        <f>COUNTIFS(明細!$G$5:$G$363,A146,明細!$D$5:$D$363,"基盤")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COUNTIFS(明細!$I$5:$I$363,A146,明細!$D$5:$D$363,"基盤")</f>
        <v/>
      </c>
      <c r="L146" s="98">
        <f>COUNTIFS(明細!$J$5:$J$363,A146,明細!$D$5:$D$363,"基盤")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46144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COUNTIFS(明細!$F$5:$F$363,A147,明細!$D$5:$D$363,"基盤")</f>
        <v/>
      </c>
      <c r="E147" s="98">
        <f>COUNTIFS(明細!$G$5:$G$363,A147,明細!$D$5:$D$363,"基盤")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COUNTIFS(明細!$I$5:$I$363,A147,明細!$D$5:$D$363,"基盤")</f>
        <v/>
      </c>
      <c r="L147" s="98">
        <f>COUNTIFS(明細!$J$5:$J$363,A147,明細!$D$5:$D$363,"基盤")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46145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COUNTIFS(明細!$F$5:$F$363,A148,明細!$D$5:$D$363,"基盤")</f>
        <v/>
      </c>
      <c r="E148" s="98">
        <f>COUNTIFS(明細!$G$5:$G$363,A148,明細!$D$5:$D$363,"基盤")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COUNTIFS(明細!$I$5:$I$363,A148,明細!$D$5:$D$363,"基盤")</f>
        <v/>
      </c>
      <c r="L148" s="98">
        <f>COUNTIFS(明細!$J$5:$J$363,A148,明細!$D$5:$D$363,"基盤")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46146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COUNTIFS(明細!$F$5:$F$363,A149,明細!$D$5:$D$363,"基盤")</f>
        <v/>
      </c>
      <c r="E149" s="98">
        <f>COUNTIFS(明細!$G$5:$G$363,A149,明細!$D$5:$D$363,"基盤")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COUNTIFS(明細!$I$5:$I$363,A149,明細!$D$5:$D$363,"基盤")</f>
        <v/>
      </c>
      <c r="L149" s="98">
        <f>COUNTIFS(明細!$J$5:$J$363,A149,明細!$D$5:$D$363,"基盤")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46147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COUNTIFS(明細!$F$5:$F$363,A150,明細!$D$5:$D$363,"基盤")</f>
        <v/>
      </c>
      <c r="E150" s="98">
        <f>COUNTIFS(明細!$G$5:$G$363,A150,明細!$D$5:$D$363,"基盤")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COUNTIFS(明細!$I$5:$I$363,A150,明細!$D$5:$D$363,"基盤")</f>
        <v/>
      </c>
      <c r="L150" s="98">
        <f>COUNTIFS(明細!$J$5:$J$363,A150,明細!$D$5:$D$363,"基盤")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46148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COUNTIFS(明細!$F$5:$F$363,A151,明細!$D$5:$D$363,"基盤")</f>
        <v/>
      </c>
      <c r="E151" s="98">
        <f>COUNTIFS(明細!$G$5:$G$363,A151,明細!$D$5:$D$363,"基盤")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COUNTIFS(明細!$I$5:$I$363,A151,明細!$D$5:$D$363,"基盤")</f>
        <v/>
      </c>
      <c r="L151" s="98">
        <f>COUNTIFS(明細!$J$5:$J$363,A151,明細!$D$5:$D$363,"基盤")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46149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COUNTIFS(明細!$F$5:$F$363,A152,明細!$D$5:$D$363,"基盤")</f>
        <v/>
      </c>
      <c r="E152" s="98">
        <f>COUNTIFS(明細!$G$5:$G$363,A152,明細!$D$5:$D$363,"基盤")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COUNTIFS(明細!$I$5:$I$363,A152,明細!$D$5:$D$363,"基盤")</f>
        <v/>
      </c>
      <c r="L152" s="98">
        <f>COUNTIFS(明細!$J$5:$J$363,A152,明細!$D$5:$D$363,"基盤")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46150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COUNTIFS(明細!$F$5:$F$363,A153,明細!$D$5:$D$363,"基盤")</f>
        <v/>
      </c>
      <c r="E153" s="98">
        <f>COUNTIFS(明細!$G$5:$G$363,A153,明細!$D$5:$D$363,"基盤")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COUNTIFS(明細!$I$5:$I$363,A153,明細!$D$5:$D$363,"基盤")</f>
        <v/>
      </c>
      <c r="L153" s="98">
        <f>COUNTIFS(明細!$J$5:$J$363,A153,明細!$D$5:$D$363,"基盤")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46151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COUNTIFS(明細!$F$5:$F$363,A154,明細!$D$5:$D$363,"基盤")</f>
        <v/>
      </c>
      <c r="E154" s="98">
        <f>COUNTIFS(明細!$G$5:$G$363,A154,明細!$D$5:$D$363,"基盤")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COUNTIFS(明細!$I$5:$I$363,A154,明細!$D$5:$D$363,"基盤")</f>
        <v/>
      </c>
      <c r="L154" s="98">
        <f>COUNTIFS(明細!$J$5:$J$363,A154,明細!$D$5:$D$363,"基盤")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46152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COUNTIFS(明細!$F$5:$F$363,A155,明細!$D$5:$D$363,"基盤")</f>
        <v/>
      </c>
      <c r="E155" s="98">
        <f>COUNTIFS(明細!$G$5:$G$363,A155,明細!$D$5:$D$363,"基盤")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COUNTIFS(明細!$I$5:$I$363,A155,明細!$D$5:$D$363,"基盤")</f>
        <v/>
      </c>
      <c r="L155" s="98">
        <f>COUNTIFS(明細!$J$5:$J$363,A155,明細!$D$5:$D$363,"基盤")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46153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COUNTIFS(明細!$F$5:$F$363,A156,明細!$D$5:$D$363,"基盤")</f>
        <v/>
      </c>
      <c r="E156" s="98">
        <f>COUNTIFS(明細!$G$5:$G$363,A156,明細!$D$5:$D$363,"基盤")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COUNTIFS(明細!$I$5:$I$363,A156,明細!$D$5:$D$363,"基盤")</f>
        <v/>
      </c>
      <c r="L156" s="98">
        <f>COUNTIFS(明細!$J$5:$J$363,A156,明細!$D$5:$D$363,"基盤")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46154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COUNTIFS(明細!$F$5:$F$363,A157,明細!$D$5:$D$363,"基盤")</f>
        <v/>
      </c>
      <c r="E157" s="98">
        <f>COUNTIFS(明細!$G$5:$G$363,A157,明細!$D$5:$D$363,"基盤")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COUNTIFS(明細!$I$5:$I$363,A157,明細!$D$5:$D$363,"基盤")</f>
        <v/>
      </c>
      <c r="L157" s="98">
        <f>COUNTIFS(明細!$J$5:$J$363,A157,明細!$D$5:$D$363,"基盤")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46155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COUNTIFS(明細!$F$5:$F$363,A158,明細!$D$5:$D$363,"基盤")</f>
        <v/>
      </c>
      <c r="E158" s="98">
        <f>COUNTIFS(明細!$G$5:$G$363,A158,明細!$D$5:$D$363,"基盤")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COUNTIFS(明細!$I$5:$I$363,A158,明細!$D$5:$D$363,"基盤")</f>
        <v/>
      </c>
      <c r="L158" s="98">
        <f>COUNTIFS(明細!$J$5:$J$363,A158,明細!$D$5:$D$363,"基盤")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46156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COUNTIFS(明細!$F$5:$F$363,A159,明細!$D$5:$D$363,"基盤")</f>
        <v/>
      </c>
      <c r="E159" s="98">
        <f>COUNTIFS(明細!$G$5:$G$363,A159,明細!$D$5:$D$363,"基盤")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COUNTIFS(明細!$I$5:$I$363,A159,明細!$D$5:$D$363,"基盤")</f>
        <v/>
      </c>
      <c r="L159" s="98">
        <f>COUNTIFS(明細!$J$5:$J$363,A159,明細!$D$5:$D$363,"基盤")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46157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COUNTIFS(明細!$F$5:$F$363,A160,明細!$D$5:$D$363,"基盤")</f>
        <v/>
      </c>
      <c r="E160" s="98">
        <f>COUNTIFS(明細!$G$5:$G$363,A160,明細!$D$5:$D$363,"基盤")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COUNTIFS(明細!$I$5:$I$363,A160,明細!$D$5:$D$363,"基盤")</f>
        <v/>
      </c>
      <c r="L160" s="98">
        <f>COUNTIFS(明細!$J$5:$J$363,A160,明細!$D$5:$D$363,"基盤")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46158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COUNTIFS(明細!$F$5:$F$363,A161,明細!$D$5:$D$363,"基盤")</f>
        <v/>
      </c>
      <c r="E161" s="98">
        <f>COUNTIFS(明細!$G$5:$G$363,A161,明細!$D$5:$D$363,"基盤")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COUNTIFS(明細!$I$5:$I$363,A161,明細!$D$5:$D$363,"基盤")</f>
        <v/>
      </c>
      <c r="L161" s="98">
        <f>COUNTIFS(明細!$J$5:$J$363,A161,明細!$D$5:$D$363,"基盤")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46159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COUNTIFS(明細!$F$5:$F$363,A162,明細!$D$5:$D$363,"基盤")</f>
        <v/>
      </c>
      <c r="E162" s="98">
        <f>COUNTIFS(明細!$G$5:$G$363,A162,明細!$D$5:$D$363,"基盤")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COUNTIFS(明細!$I$5:$I$363,A162,明細!$D$5:$D$363,"基盤")</f>
        <v/>
      </c>
      <c r="L162" s="98">
        <f>COUNTIFS(明細!$J$5:$J$363,A162,明細!$D$5:$D$363,"基盤")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46160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COUNTIFS(明細!$F$5:$F$363,A163,明細!$D$5:$D$363,"基盤")</f>
        <v/>
      </c>
      <c r="E163" s="98">
        <f>COUNTIFS(明細!$G$5:$G$363,A163,明細!$D$5:$D$363,"基盤")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COUNTIFS(明細!$I$5:$I$363,A163,明細!$D$5:$D$363,"基盤")</f>
        <v/>
      </c>
      <c r="L163" s="98">
        <f>COUNTIFS(明細!$J$5:$J$363,A163,明細!$D$5:$D$363,"基盤")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46161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COUNTIFS(明細!$F$5:$F$363,A164,明細!$D$5:$D$363,"基盤")</f>
        <v/>
      </c>
      <c r="E164" s="98">
        <f>COUNTIFS(明細!$G$5:$G$363,A164,明細!$D$5:$D$363,"基盤")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COUNTIFS(明細!$I$5:$I$363,A164,明細!$D$5:$D$363,"基盤")</f>
        <v/>
      </c>
      <c r="L164" s="98">
        <f>COUNTIFS(明細!$J$5:$J$363,A164,明細!$D$5:$D$363,"基盤")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46162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COUNTIFS(明細!$F$5:$F$363,A165,明細!$D$5:$D$363,"基盤")</f>
        <v/>
      </c>
      <c r="E165" s="98">
        <f>COUNTIFS(明細!$G$5:$G$363,A165,明細!$D$5:$D$363,"基盤")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COUNTIFS(明細!$I$5:$I$363,A165,明細!$D$5:$D$363,"基盤")</f>
        <v/>
      </c>
      <c r="L165" s="98">
        <f>COUNTIFS(明細!$J$5:$J$363,A165,明細!$D$5:$D$363,"基盤")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46163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COUNTIFS(明細!$F$5:$F$363,A166,明細!$D$5:$D$363,"基盤")</f>
        <v/>
      </c>
      <c r="E166" s="98">
        <f>COUNTIFS(明細!$G$5:$G$363,A166,明細!$D$5:$D$363,"基盤")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COUNTIFS(明細!$I$5:$I$363,A166,明細!$D$5:$D$363,"基盤")</f>
        <v/>
      </c>
      <c r="L166" s="98">
        <f>COUNTIFS(明細!$J$5:$J$363,A166,明細!$D$5:$D$363,"基盤")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46164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COUNTIFS(明細!$F$5:$F$363,A167,明細!$D$5:$D$363,"基盤")</f>
        <v/>
      </c>
      <c r="E167" s="98">
        <f>COUNTIFS(明細!$G$5:$G$363,A167,明細!$D$5:$D$363,"基盤")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COUNTIFS(明細!$I$5:$I$363,A167,明細!$D$5:$D$363,"基盤")</f>
        <v/>
      </c>
      <c r="L167" s="98">
        <f>COUNTIFS(明細!$J$5:$J$363,A167,明細!$D$5:$D$363,"基盤")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46165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COUNTIFS(明細!$F$5:$F$363,A168,明細!$D$5:$D$363,"基盤")</f>
        <v/>
      </c>
      <c r="E168" s="98">
        <f>COUNTIFS(明細!$G$5:$G$363,A168,明細!$D$5:$D$363,"基盤")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COUNTIFS(明細!$I$5:$I$363,A168,明細!$D$5:$D$363,"基盤")</f>
        <v/>
      </c>
      <c r="L168" s="98">
        <f>COUNTIFS(明細!$J$5:$J$363,A168,明細!$D$5:$D$363,"基盤")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46166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COUNTIFS(明細!$F$5:$F$363,A169,明細!$D$5:$D$363,"基盤")</f>
        <v/>
      </c>
      <c r="E169" s="98">
        <f>COUNTIFS(明細!$G$5:$G$363,A169,明細!$D$5:$D$363,"基盤")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COUNTIFS(明細!$I$5:$I$363,A169,明細!$D$5:$D$363,"基盤")</f>
        <v/>
      </c>
      <c r="L169" s="98">
        <f>COUNTIFS(明細!$J$5:$J$363,A169,明細!$D$5:$D$363,"基盤")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46167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COUNTIFS(明細!$F$5:$F$363,A170,明細!$D$5:$D$363,"基盤")</f>
        <v/>
      </c>
      <c r="E170" s="98">
        <f>COUNTIFS(明細!$G$5:$G$363,A170,明細!$D$5:$D$363,"基盤")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COUNTIFS(明細!$I$5:$I$363,A170,明細!$D$5:$D$363,"基盤")</f>
        <v/>
      </c>
      <c r="L170" s="98">
        <f>COUNTIFS(明細!$J$5:$J$363,A170,明細!$D$5:$D$363,"基盤")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46168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COUNTIFS(明細!$F$5:$F$363,A171,明細!$D$5:$D$363,"基盤")</f>
        <v/>
      </c>
      <c r="E171" s="98">
        <f>COUNTIFS(明細!$G$5:$G$363,A171,明細!$D$5:$D$363,"基盤")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COUNTIFS(明細!$I$5:$I$363,A171,明細!$D$5:$D$363,"基盤")</f>
        <v/>
      </c>
      <c r="L171" s="98">
        <f>COUNTIFS(明細!$J$5:$J$363,A171,明細!$D$5:$D$363,"基盤")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  <row r="172">
      <c r="A172" s="94" t="n">
        <v>46169</v>
      </c>
      <c r="B172" s="95">
        <f>CHOOSE(WEEKDAY(A172,2),"月","火","水","木","金","土","日")</f>
        <v/>
      </c>
      <c r="C172" s="96">
        <f>IF(OR(WEEKDAY(A172,2)&gt;=6,COUNTIF(祝日マスタ!$A:$A,A172)&gt;0),"非営業日","営業日")</f>
        <v/>
      </c>
      <c r="D172" s="97">
        <f>COUNTIFS(明細!$F$5:$F$363,A172,明細!$D$5:$D$363,"基盤")</f>
        <v/>
      </c>
      <c r="E172" s="98">
        <f>COUNTIFS(明細!$G$5:$G$363,A172,明細!$D$5:$D$363,"基盤")</f>
        <v/>
      </c>
      <c r="F172" s="99">
        <f>IF(D172=0,0,E172/D172)</f>
        <v/>
      </c>
      <c r="G172" s="100">
        <f>SUM($D$6:D172)</f>
        <v/>
      </c>
      <c r="H172" s="98">
        <f>SUM($E$6:E172)</f>
        <v/>
      </c>
      <c r="I172" s="99">
        <f>IF(G172=0,"",H172/G172)</f>
        <v/>
      </c>
      <c r="J172" s="101">
        <f>IF(A172&gt;$S$2,"予定",IF(G172=0,"－",IF(I172&gt;=1,"完了",IF(H172&gt;=G172,"順調","遅延"))))</f>
        <v/>
      </c>
      <c r="K172" s="97">
        <f>COUNTIFS(明細!$I$5:$I$363,A172,明細!$D$5:$D$363,"基盤")</f>
        <v/>
      </c>
      <c r="L172" s="98">
        <f>COUNTIFS(明細!$J$5:$J$363,A172,明細!$D$5:$D$363,"基盤")</f>
        <v/>
      </c>
      <c r="M172" s="99">
        <f>IF(K172=0,0,L172/K172)</f>
        <v/>
      </c>
      <c r="N172" s="100">
        <f>SUM($K$6:K172)</f>
        <v/>
      </c>
      <c r="O172" s="98">
        <f>SUM($L$6:L172)</f>
        <v/>
      </c>
      <c r="P172" s="99">
        <f>IF(N172=0,"",O172/N172)</f>
        <v/>
      </c>
      <c r="Q172" s="101">
        <f>IF(A172&gt;$S$2,"予定",IF(N172=0,"－",IF(P172&gt;=1,"完了",IF(O172&gt;=N172,"順調","遅延"))))</f>
        <v/>
      </c>
      <c r="R172" s="97">
        <f>D172+K172</f>
        <v/>
      </c>
      <c r="S172" s="102">
        <f>E172+L172</f>
        <v/>
      </c>
    </row>
    <row r="173">
      <c r="A173" s="94" t="n">
        <v>46170</v>
      </c>
      <c r="B173" s="95">
        <f>CHOOSE(WEEKDAY(A173,2),"月","火","水","木","金","土","日")</f>
        <v/>
      </c>
      <c r="C173" s="96">
        <f>IF(OR(WEEKDAY(A173,2)&gt;=6,COUNTIF(祝日マスタ!$A:$A,A173)&gt;0),"非営業日","営業日")</f>
        <v/>
      </c>
      <c r="D173" s="97">
        <f>COUNTIFS(明細!$F$5:$F$363,A173,明細!$D$5:$D$363,"基盤")</f>
        <v/>
      </c>
      <c r="E173" s="98">
        <f>COUNTIFS(明細!$G$5:$G$363,A173,明細!$D$5:$D$363,"基盤")</f>
        <v/>
      </c>
      <c r="F173" s="99">
        <f>IF(D173=0,0,E173/D173)</f>
        <v/>
      </c>
      <c r="G173" s="100">
        <f>SUM($D$6:D173)</f>
        <v/>
      </c>
      <c r="H173" s="98">
        <f>SUM($E$6:E173)</f>
        <v/>
      </c>
      <c r="I173" s="99">
        <f>IF(G173=0,"",H173/G173)</f>
        <v/>
      </c>
      <c r="J173" s="101">
        <f>IF(A173&gt;$S$2,"予定",IF(G173=0,"－",IF(I173&gt;=1,"完了",IF(H173&gt;=G173,"順調","遅延"))))</f>
        <v/>
      </c>
      <c r="K173" s="97">
        <f>COUNTIFS(明細!$I$5:$I$363,A173,明細!$D$5:$D$363,"基盤")</f>
        <v/>
      </c>
      <c r="L173" s="98">
        <f>COUNTIFS(明細!$J$5:$J$363,A173,明細!$D$5:$D$363,"基盤")</f>
        <v/>
      </c>
      <c r="M173" s="99">
        <f>IF(K173=0,0,L173/K173)</f>
        <v/>
      </c>
      <c r="N173" s="100">
        <f>SUM($K$6:K173)</f>
        <v/>
      </c>
      <c r="O173" s="98">
        <f>SUM($L$6:L173)</f>
        <v/>
      </c>
      <c r="P173" s="99">
        <f>IF(N173=0,"",O173/N173)</f>
        <v/>
      </c>
      <c r="Q173" s="101">
        <f>IF(A173&gt;$S$2,"予定",IF(N173=0,"－",IF(P173&gt;=1,"完了",IF(O173&gt;=N173,"順調","遅延"))))</f>
        <v/>
      </c>
      <c r="R173" s="97">
        <f>D173+K173</f>
        <v/>
      </c>
      <c r="S173" s="102">
        <f>E173+L173</f>
        <v/>
      </c>
    </row>
    <row r="174">
      <c r="A174" s="94" t="n">
        <v>46171</v>
      </c>
      <c r="B174" s="95">
        <f>CHOOSE(WEEKDAY(A174,2),"月","火","水","木","金","土","日")</f>
        <v/>
      </c>
      <c r="C174" s="96">
        <f>IF(OR(WEEKDAY(A174,2)&gt;=6,COUNTIF(祝日マスタ!$A:$A,A174)&gt;0),"非営業日","営業日")</f>
        <v/>
      </c>
      <c r="D174" s="97">
        <f>COUNTIFS(明細!$F$5:$F$363,A174,明細!$D$5:$D$363,"基盤")</f>
        <v/>
      </c>
      <c r="E174" s="98">
        <f>COUNTIFS(明細!$G$5:$G$363,A174,明細!$D$5:$D$363,"基盤")</f>
        <v/>
      </c>
      <c r="F174" s="99">
        <f>IF(D174=0,0,E174/D174)</f>
        <v/>
      </c>
      <c r="G174" s="100">
        <f>SUM($D$6:D174)</f>
        <v/>
      </c>
      <c r="H174" s="98">
        <f>SUM($E$6:E174)</f>
        <v/>
      </c>
      <c r="I174" s="99">
        <f>IF(G174=0,"",H174/G174)</f>
        <v/>
      </c>
      <c r="J174" s="101">
        <f>IF(A174&gt;$S$2,"予定",IF(G174=0,"－",IF(I174&gt;=1,"完了",IF(H174&gt;=G174,"順調","遅延"))))</f>
        <v/>
      </c>
      <c r="K174" s="97">
        <f>COUNTIFS(明細!$I$5:$I$363,A174,明細!$D$5:$D$363,"基盤")</f>
        <v/>
      </c>
      <c r="L174" s="98">
        <f>COUNTIFS(明細!$J$5:$J$363,A174,明細!$D$5:$D$363,"基盤")</f>
        <v/>
      </c>
      <c r="M174" s="99">
        <f>IF(K174=0,0,L174/K174)</f>
        <v/>
      </c>
      <c r="N174" s="100">
        <f>SUM($K$6:K174)</f>
        <v/>
      </c>
      <c r="O174" s="98">
        <f>SUM($L$6:L174)</f>
        <v/>
      </c>
      <c r="P174" s="99">
        <f>IF(N174=0,"",O174/N174)</f>
        <v/>
      </c>
      <c r="Q174" s="101">
        <f>IF(A174&gt;$S$2,"予定",IF(N174=0,"－",IF(P174&gt;=1,"完了",IF(O174&gt;=N174,"順調","遅延"))))</f>
        <v/>
      </c>
      <c r="R174" s="97">
        <f>D174+K174</f>
        <v/>
      </c>
      <c r="S174" s="102">
        <f>E174+L174</f>
        <v/>
      </c>
    </row>
    <row r="175">
      <c r="A175" s="94" t="n">
        <v>46172</v>
      </c>
      <c r="B175" s="95">
        <f>CHOOSE(WEEKDAY(A175,2),"月","火","水","木","金","土","日")</f>
        <v/>
      </c>
      <c r="C175" s="96">
        <f>IF(OR(WEEKDAY(A175,2)&gt;=6,COUNTIF(祝日マスタ!$A:$A,A175)&gt;0),"非営業日","営業日")</f>
        <v/>
      </c>
      <c r="D175" s="97">
        <f>COUNTIFS(明細!$F$5:$F$363,A175,明細!$D$5:$D$363,"基盤")</f>
        <v/>
      </c>
      <c r="E175" s="98">
        <f>COUNTIFS(明細!$G$5:$G$363,A175,明細!$D$5:$D$363,"基盤")</f>
        <v/>
      </c>
      <c r="F175" s="99">
        <f>IF(D175=0,0,E175/D175)</f>
        <v/>
      </c>
      <c r="G175" s="100">
        <f>SUM($D$6:D175)</f>
        <v/>
      </c>
      <c r="H175" s="98">
        <f>SUM($E$6:E175)</f>
        <v/>
      </c>
      <c r="I175" s="99">
        <f>IF(G175=0,"",H175/G175)</f>
        <v/>
      </c>
      <c r="J175" s="101">
        <f>IF(A175&gt;$S$2,"予定",IF(G175=0,"－",IF(I175&gt;=1,"完了",IF(H175&gt;=G175,"順調","遅延"))))</f>
        <v/>
      </c>
      <c r="K175" s="97">
        <f>COUNTIFS(明細!$I$5:$I$363,A175,明細!$D$5:$D$363,"基盤")</f>
        <v/>
      </c>
      <c r="L175" s="98">
        <f>COUNTIFS(明細!$J$5:$J$363,A175,明細!$D$5:$D$363,"基盤")</f>
        <v/>
      </c>
      <c r="M175" s="99">
        <f>IF(K175=0,0,L175/K175)</f>
        <v/>
      </c>
      <c r="N175" s="100">
        <f>SUM($K$6:K175)</f>
        <v/>
      </c>
      <c r="O175" s="98">
        <f>SUM($L$6:L175)</f>
        <v/>
      </c>
      <c r="P175" s="99">
        <f>IF(N175=0,"",O175/N175)</f>
        <v/>
      </c>
      <c r="Q175" s="101">
        <f>IF(A175&gt;$S$2,"予定",IF(N175=0,"－",IF(P175&gt;=1,"完了",IF(O175&gt;=N175,"順調","遅延"))))</f>
        <v/>
      </c>
      <c r="R175" s="97">
        <f>D175+K175</f>
        <v/>
      </c>
      <c r="S175" s="102">
        <f>E175+L175</f>
        <v/>
      </c>
    </row>
    <row r="176">
      <c r="A176" s="94" t="n">
        <v>46173</v>
      </c>
      <c r="B176" s="95">
        <f>CHOOSE(WEEKDAY(A176,2),"月","火","水","木","金","土","日")</f>
        <v/>
      </c>
      <c r="C176" s="96">
        <f>IF(OR(WEEKDAY(A176,2)&gt;=6,COUNTIF(祝日マスタ!$A:$A,A176)&gt;0),"非営業日","営業日")</f>
        <v/>
      </c>
      <c r="D176" s="97">
        <f>COUNTIFS(明細!$F$5:$F$363,A176,明細!$D$5:$D$363,"基盤")</f>
        <v/>
      </c>
      <c r="E176" s="98">
        <f>COUNTIFS(明細!$G$5:$G$363,A176,明細!$D$5:$D$363,"基盤")</f>
        <v/>
      </c>
      <c r="F176" s="99">
        <f>IF(D176=0,0,E176/D176)</f>
        <v/>
      </c>
      <c r="G176" s="100">
        <f>SUM($D$6:D176)</f>
        <v/>
      </c>
      <c r="H176" s="98">
        <f>SUM($E$6:E176)</f>
        <v/>
      </c>
      <c r="I176" s="99">
        <f>IF(G176=0,"",H176/G176)</f>
        <v/>
      </c>
      <c r="J176" s="101">
        <f>IF(A176&gt;$S$2,"予定",IF(G176=0,"－",IF(I176&gt;=1,"完了",IF(H176&gt;=G176,"順調","遅延"))))</f>
        <v/>
      </c>
      <c r="K176" s="97">
        <f>COUNTIFS(明細!$I$5:$I$363,A176,明細!$D$5:$D$363,"基盤")</f>
        <v/>
      </c>
      <c r="L176" s="98">
        <f>COUNTIFS(明細!$J$5:$J$363,A176,明細!$D$5:$D$363,"基盤")</f>
        <v/>
      </c>
      <c r="M176" s="99">
        <f>IF(K176=0,0,L176/K176)</f>
        <v/>
      </c>
      <c r="N176" s="100">
        <f>SUM($K$6:K176)</f>
        <v/>
      </c>
      <c r="O176" s="98">
        <f>SUM($L$6:L176)</f>
        <v/>
      </c>
      <c r="P176" s="99">
        <f>IF(N176=0,"",O176/N176)</f>
        <v/>
      </c>
      <c r="Q176" s="101">
        <f>IF(A176&gt;$S$2,"予定",IF(N176=0,"－",IF(P176&gt;=1,"完了",IF(O176&gt;=N176,"順調","遅延"))))</f>
        <v/>
      </c>
      <c r="R176" s="97">
        <f>D176+K176</f>
        <v/>
      </c>
      <c r="S176" s="102">
        <f>E176+L176</f>
        <v/>
      </c>
    </row>
    <row r="177">
      <c r="A177" s="94" t="n">
        <v>46174</v>
      </c>
      <c r="B177" s="95">
        <f>CHOOSE(WEEKDAY(A177,2),"月","火","水","木","金","土","日")</f>
        <v/>
      </c>
      <c r="C177" s="96">
        <f>IF(OR(WEEKDAY(A177,2)&gt;=6,COUNTIF(祝日マスタ!$A:$A,A177)&gt;0),"非営業日","営業日")</f>
        <v/>
      </c>
      <c r="D177" s="97">
        <f>COUNTIFS(明細!$F$5:$F$363,A177,明細!$D$5:$D$363,"基盤")</f>
        <v/>
      </c>
      <c r="E177" s="98">
        <f>COUNTIFS(明細!$G$5:$G$363,A177,明細!$D$5:$D$363,"基盤")</f>
        <v/>
      </c>
      <c r="F177" s="99">
        <f>IF(D177=0,0,E177/D177)</f>
        <v/>
      </c>
      <c r="G177" s="100">
        <f>SUM($D$6:D177)</f>
        <v/>
      </c>
      <c r="H177" s="98">
        <f>SUM($E$6:E177)</f>
        <v/>
      </c>
      <c r="I177" s="99">
        <f>IF(G177=0,"",H177/G177)</f>
        <v/>
      </c>
      <c r="J177" s="101">
        <f>IF(A177&gt;$S$2,"予定",IF(G177=0,"－",IF(I177&gt;=1,"完了",IF(H177&gt;=G177,"順調","遅延"))))</f>
        <v/>
      </c>
      <c r="K177" s="97">
        <f>COUNTIFS(明細!$I$5:$I$363,A177,明細!$D$5:$D$363,"基盤")</f>
        <v/>
      </c>
      <c r="L177" s="98">
        <f>COUNTIFS(明細!$J$5:$J$363,A177,明細!$D$5:$D$363,"基盤")</f>
        <v/>
      </c>
      <c r="M177" s="99">
        <f>IF(K177=0,0,L177/K177)</f>
        <v/>
      </c>
      <c r="N177" s="100">
        <f>SUM($K$6:K177)</f>
        <v/>
      </c>
      <c r="O177" s="98">
        <f>SUM($L$6:L177)</f>
        <v/>
      </c>
      <c r="P177" s="99">
        <f>IF(N177=0,"",O177/N177)</f>
        <v/>
      </c>
      <c r="Q177" s="101">
        <f>IF(A177&gt;$S$2,"予定",IF(N177=0,"－",IF(P177&gt;=1,"完了",IF(O177&gt;=N177,"順調","遅延"))))</f>
        <v/>
      </c>
      <c r="R177" s="97">
        <f>D177+K177</f>
        <v/>
      </c>
      <c r="S177" s="102">
        <f>E177+L177</f>
        <v/>
      </c>
    </row>
    <row r="178">
      <c r="A178" s="94" t="n">
        <v>46175</v>
      </c>
      <c r="B178" s="95">
        <f>CHOOSE(WEEKDAY(A178,2),"月","火","水","木","金","土","日")</f>
        <v/>
      </c>
      <c r="C178" s="96">
        <f>IF(OR(WEEKDAY(A178,2)&gt;=6,COUNTIF(祝日マスタ!$A:$A,A178)&gt;0),"非営業日","営業日")</f>
        <v/>
      </c>
      <c r="D178" s="97">
        <f>COUNTIFS(明細!$F$5:$F$363,A178,明細!$D$5:$D$363,"基盤")</f>
        <v/>
      </c>
      <c r="E178" s="98">
        <f>COUNTIFS(明細!$G$5:$G$363,A178,明細!$D$5:$D$363,"基盤")</f>
        <v/>
      </c>
      <c r="F178" s="99">
        <f>IF(D178=0,0,E178/D178)</f>
        <v/>
      </c>
      <c r="G178" s="100">
        <f>SUM($D$6:D178)</f>
        <v/>
      </c>
      <c r="H178" s="98">
        <f>SUM($E$6:E178)</f>
        <v/>
      </c>
      <c r="I178" s="99">
        <f>IF(G178=0,"",H178/G178)</f>
        <v/>
      </c>
      <c r="J178" s="101">
        <f>IF(A178&gt;$S$2,"予定",IF(G178=0,"－",IF(I178&gt;=1,"完了",IF(H178&gt;=G178,"順調","遅延"))))</f>
        <v/>
      </c>
      <c r="K178" s="97">
        <f>COUNTIFS(明細!$I$5:$I$363,A178,明細!$D$5:$D$363,"基盤")</f>
        <v/>
      </c>
      <c r="L178" s="98">
        <f>COUNTIFS(明細!$J$5:$J$363,A178,明細!$D$5:$D$363,"基盤")</f>
        <v/>
      </c>
      <c r="M178" s="99">
        <f>IF(K178=0,0,L178/K178)</f>
        <v/>
      </c>
      <c r="N178" s="100">
        <f>SUM($K$6:K178)</f>
        <v/>
      </c>
      <c r="O178" s="98">
        <f>SUM($L$6:L178)</f>
        <v/>
      </c>
      <c r="P178" s="99">
        <f>IF(N178=0,"",O178/N178)</f>
        <v/>
      </c>
      <c r="Q178" s="101">
        <f>IF(A178&gt;$S$2,"予定",IF(N178=0,"－",IF(P178&gt;=1,"完了",IF(O178&gt;=N178,"順調","遅延"))))</f>
        <v/>
      </c>
      <c r="R178" s="97">
        <f>D178+K178</f>
        <v/>
      </c>
      <c r="S178" s="102">
        <f>E178+L178</f>
        <v/>
      </c>
    </row>
    <row r="179">
      <c r="A179" s="94" t="n">
        <v>46176</v>
      </c>
      <c r="B179" s="95">
        <f>CHOOSE(WEEKDAY(A179,2),"月","火","水","木","金","土","日")</f>
        <v/>
      </c>
      <c r="C179" s="96">
        <f>IF(OR(WEEKDAY(A179,2)&gt;=6,COUNTIF(祝日マスタ!$A:$A,A179)&gt;0),"非営業日","営業日")</f>
        <v/>
      </c>
      <c r="D179" s="97">
        <f>COUNTIFS(明細!$F$5:$F$363,A179,明細!$D$5:$D$363,"基盤")</f>
        <v/>
      </c>
      <c r="E179" s="98">
        <f>COUNTIFS(明細!$G$5:$G$363,A179,明細!$D$5:$D$363,"基盤")</f>
        <v/>
      </c>
      <c r="F179" s="99">
        <f>IF(D179=0,0,E179/D179)</f>
        <v/>
      </c>
      <c r="G179" s="100">
        <f>SUM($D$6:D179)</f>
        <v/>
      </c>
      <c r="H179" s="98">
        <f>SUM($E$6:E179)</f>
        <v/>
      </c>
      <c r="I179" s="99">
        <f>IF(G179=0,"",H179/G179)</f>
        <v/>
      </c>
      <c r="J179" s="101">
        <f>IF(A179&gt;$S$2,"予定",IF(G179=0,"－",IF(I179&gt;=1,"完了",IF(H179&gt;=G179,"順調","遅延"))))</f>
        <v/>
      </c>
      <c r="K179" s="97">
        <f>COUNTIFS(明細!$I$5:$I$363,A179,明細!$D$5:$D$363,"基盤")</f>
        <v/>
      </c>
      <c r="L179" s="98">
        <f>COUNTIFS(明細!$J$5:$J$363,A179,明細!$D$5:$D$363,"基盤")</f>
        <v/>
      </c>
      <c r="M179" s="99">
        <f>IF(K179=0,0,L179/K179)</f>
        <v/>
      </c>
      <c r="N179" s="100">
        <f>SUM($K$6:K179)</f>
        <v/>
      </c>
      <c r="O179" s="98">
        <f>SUM($L$6:L179)</f>
        <v/>
      </c>
      <c r="P179" s="99">
        <f>IF(N179=0,"",O179/N179)</f>
        <v/>
      </c>
      <c r="Q179" s="101">
        <f>IF(A179&gt;$S$2,"予定",IF(N179=0,"－",IF(P179&gt;=1,"完了",IF(O179&gt;=N179,"順調","遅延"))))</f>
        <v/>
      </c>
      <c r="R179" s="97">
        <f>D179+K179</f>
        <v/>
      </c>
      <c r="S179" s="102">
        <f>E179+L179</f>
        <v/>
      </c>
    </row>
    <row r="180">
      <c r="A180" s="94" t="n">
        <v>46177</v>
      </c>
      <c r="B180" s="95">
        <f>CHOOSE(WEEKDAY(A180,2),"月","火","水","木","金","土","日")</f>
        <v/>
      </c>
      <c r="C180" s="96">
        <f>IF(OR(WEEKDAY(A180,2)&gt;=6,COUNTIF(祝日マスタ!$A:$A,A180)&gt;0),"非営業日","営業日")</f>
        <v/>
      </c>
      <c r="D180" s="97">
        <f>COUNTIFS(明細!$F$5:$F$363,A180,明細!$D$5:$D$363,"基盤")</f>
        <v/>
      </c>
      <c r="E180" s="98">
        <f>COUNTIFS(明細!$G$5:$G$363,A180,明細!$D$5:$D$363,"基盤")</f>
        <v/>
      </c>
      <c r="F180" s="99">
        <f>IF(D180=0,0,E180/D180)</f>
        <v/>
      </c>
      <c r="G180" s="100">
        <f>SUM($D$6:D180)</f>
        <v/>
      </c>
      <c r="H180" s="98">
        <f>SUM($E$6:E180)</f>
        <v/>
      </c>
      <c r="I180" s="99">
        <f>IF(G180=0,"",H180/G180)</f>
        <v/>
      </c>
      <c r="J180" s="101">
        <f>IF(A180&gt;$S$2,"予定",IF(G180=0,"－",IF(I180&gt;=1,"完了",IF(H180&gt;=G180,"順調","遅延"))))</f>
        <v/>
      </c>
      <c r="K180" s="97">
        <f>COUNTIFS(明細!$I$5:$I$363,A180,明細!$D$5:$D$363,"基盤")</f>
        <v/>
      </c>
      <c r="L180" s="98">
        <f>COUNTIFS(明細!$J$5:$J$363,A180,明細!$D$5:$D$363,"基盤")</f>
        <v/>
      </c>
      <c r="M180" s="99">
        <f>IF(K180=0,0,L180/K180)</f>
        <v/>
      </c>
      <c r="N180" s="100">
        <f>SUM($K$6:K180)</f>
        <v/>
      </c>
      <c r="O180" s="98">
        <f>SUM($L$6:L180)</f>
        <v/>
      </c>
      <c r="P180" s="99">
        <f>IF(N180=0,"",O180/N180)</f>
        <v/>
      </c>
      <c r="Q180" s="101">
        <f>IF(A180&gt;$S$2,"予定",IF(N180=0,"－",IF(P180&gt;=1,"完了",IF(O180&gt;=N180,"順調","遅延"))))</f>
        <v/>
      </c>
      <c r="R180" s="97">
        <f>D180+K180</f>
        <v/>
      </c>
      <c r="S180" s="102">
        <f>E180+L180</f>
        <v/>
      </c>
    </row>
    <row r="181">
      <c r="A181" s="94" t="n">
        <v>46178</v>
      </c>
      <c r="B181" s="95">
        <f>CHOOSE(WEEKDAY(A181,2),"月","火","水","木","金","土","日")</f>
        <v/>
      </c>
      <c r="C181" s="96">
        <f>IF(OR(WEEKDAY(A181,2)&gt;=6,COUNTIF(祝日マスタ!$A:$A,A181)&gt;0),"非営業日","営業日")</f>
        <v/>
      </c>
      <c r="D181" s="97">
        <f>COUNTIFS(明細!$F$5:$F$363,A181,明細!$D$5:$D$363,"基盤")</f>
        <v/>
      </c>
      <c r="E181" s="98">
        <f>COUNTIFS(明細!$G$5:$G$363,A181,明細!$D$5:$D$363,"基盤")</f>
        <v/>
      </c>
      <c r="F181" s="99">
        <f>IF(D181=0,0,E181/D181)</f>
        <v/>
      </c>
      <c r="G181" s="100">
        <f>SUM($D$6:D181)</f>
        <v/>
      </c>
      <c r="H181" s="98">
        <f>SUM($E$6:E181)</f>
        <v/>
      </c>
      <c r="I181" s="99">
        <f>IF(G181=0,"",H181/G181)</f>
        <v/>
      </c>
      <c r="J181" s="101">
        <f>IF(A181&gt;$S$2,"予定",IF(G181=0,"－",IF(I181&gt;=1,"完了",IF(H181&gt;=G181,"順調","遅延"))))</f>
        <v/>
      </c>
      <c r="K181" s="97">
        <f>COUNTIFS(明細!$I$5:$I$363,A181,明細!$D$5:$D$363,"基盤")</f>
        <v/>
      </c>
      <c r="L181" s="98">
        <f>COUNTIFS(明細!$J$5:$J$363,A181,明細!$D$5:$D$363,"基盤")</f>
        <v/>
      </c>
      <c r="M181" s="99">
        <f>IF(K181=0,0,L181/K181)</f>
        <v/>
      </c>
      <c r="N181" s="100">
        <f>SUM($K$6:K181)</f>
        <v/>
      </c>
      <c r="O181" s="98">
        <f>SUM($L$6:L181)</f>
        <v/>
      </c>
      <c r="P181" s="99">
        <f>IF(N181=0,"",O181/N181)</f>
        <v/>
      </c>
      <c r="Q181" s="101">
        <f>IF(A181&gt;$S$2,"予定",IF(N181=0,"－",IF(P181&gt;=1,"完了",IF(O181&gt;=N181,"順調","遅延"))))</f>
        <v/>
      </c>
      <c r="R181" s="97">
        <f>D181+K181</f>
        <v/>
      </c>
      <c r="S181" s="102">
        <f>E181+L181</f>
        <v/>
      </c>
    </row>
    <row r="182">
      <c r="A182" s="94" t="n">
        <v>46179</v>
      </c>
      <c r="B182" s="95">
        <f>CHOOSE(WEEKDAY(A182,2),"月","火","水","木","金","土","日")</f>
        <v/>
      </c>
      <c r="C182" s="96">
        <f>IF(OR(WEEKDAY(A182,2)&gt;=6,COUNTIF(祝日マスタ!$A:$A,A182)&gt;0),"非営業日","営業日")</f>
        <v/>
      </c>
      <c r="D182" s="97">
        <f>COUNTIFS(明細!$F$5:$F$363,A182,明細!$D$5:$D$363,"基盤")</f>
        <v/>
      </c>
      <c r="E182" s="98">
        <f>COUNTIFS(明細!$G$5:$G$363,A182,明細!$D$5:$D$363,"基盤")</f>
        <v/>
      </c>
      <c r="F182" s="99">
        <f>IF(D182=0,0,E182/D182)</f>
        <v/>
      </c>
      <c r="G182" s="100">
        <f>SUM($D$6:D182)</f>
        <v/>
      </c>
      <c r="H182" s="98">
        <f>SUM($E$6:E182)</f>
        <v/>
      </c>
      <c r="I182" s="99">
        <f>IF(G182=0,"",H182/G182)</f>
        <v/>
      </c>
      <c r="J182" s="101">
        <f>IF(A182&gt;$S$2,"予定",IF(G182=0,"－",IF(I182&gt;=1,"完了",IF(H182&gt;=G182,"順調","遅延"))))</f>
        <v/>
      </c>
      <c r="K182" s="97">
        <f>COUNTIFS(明細!$I$5:$I$363,A182,明細!$D$5:$D$363,"基盤")</f>
        <v/>
      </c>
      <c r="L182" s="98">
        <f>COUNTIFS(明細!$J$5:$J$363,A182,明細!$D$5:$D$363,"基盤")</f>
        <v/>
      </c>
      <c r="M182" s="99">
        <f>IF(K182=0,0,L182/K182)</f>
        <v/>
      </c>
      <c r="N182" s="100">
        <f>SUM($K$6:K182)</f>
        <v/>
      </c>
      <c r="O182" s="98">
        <f>SUM($L$6:L182)</f>
        <v/>
      </c>
      <c r="P182" s="99">
        <f>IF(N182=0,"",O182/N182)</f>
        <v/>
      </c>
      <c r="Q182" s="101">
        <f>IF(A182&gt;$S$2,"予定",IF(N182=0,"－",IF(P182&gt;=1,"完了",IF(O182&gt;=N182,"順調","遅延"))))</f>
        <v/>
      </c>
      <c r="R182" s="97">
        <f>D182+K182</f>
        <v/>
      </c>
      <c r="S182" s="102">
        <f>E182+L182</f>
        <v/>
      </c>
    </row>
    <row r="183">
      <c r="A183" s="94" t="n">
        <v>46180</v>
      </c>
      <c r="B183" s="95">
        <f>CHOOSE(WEEKDAY(A183,2),"月","火","水","木","金","土","日")</f>
        <v/>
      </c>
      <c r="C183" s="96">
        <f>IF(OR(WEEKDAY(A183,2)&gt;=6,COUNTIF(祝日マスタ!$A:$A,A183)&gt;0),"非営業日","営業日")</f>
        <v/>
      </c>
      <c r="D183" s="97">
        <f>COUNTIFS(明細!$F$5:$F$363,A183,明細!$D$5:$D$363,"基盤")</f>
        <v/>
      </c>
      <c r="E183" s="98">
        <f>COUNTIFS(明細!$G$5:$G$363,A183,明細!$D$5:$D$363,"基盤")</f>
        <v/>
      </c>
      <c r="F183" s="99">
        <f>IF(D183=0,0,E183/D183)</f>
        <v/>
      </c>
      <c r="G183" s="100">
        <f>SUM($D$6:D183)</f>
        <v/>
      </c>
      <c r="H183" s="98">
        <f>SUM($E$6:E183)</f>
        <v/>
      </c>
      <c r="I183" s="99">
        <f>IF(G183=0,"",H183/G183)</f>
        <v/>
      </c>
      <c r="J183" s="101">
        <f>IF(A183&gt;$S$2,"予定",IF(G183=0,"－",IF(I183&gt;=1,"完了",IF(H183&gt;=G183,"順調","遅延"))))</f>
        <v/>
      </c>
      <c r="K183" s="97">
        <f>COUNTIFS(明細!$I$5:$I$363,A183,明細!$D$5:$D$363,"基盤")</f>
        <v/>
      </c>
      <c r="L183" s="98">
        <f>COUNTIFS(明細!$J$5:$J$363,A183,明細!$D$5:$D$363,"基盤")</f>
        <v/>
      </c>
      <c r="M183" s="99">
        <f>IF(K183=0,0,L183/K183)</f>
        <v/>
      </c>
      <c r="N183" s="100">
        <f>SUM($K$6:K183)</f>
        <v/>
      </c>
      <c r="O183" s="98">
        <f>SUM($L$6:L183)</f>
        <v/>
      </c>
      <c r="P183" s="99">
        <f>IF(N183=0,"",O183/N183)</f>
        <v/>
      </c>
      <c r="Q183" s="101">
        <f>IF(A183&gt;$S$2,"予定",IF(N183=0,"－",IF(P183&gt;=1,"完了",IF(O183&gt;=N183,"順調","遅延"))))</f>
        <v/>
      </c>
      <c r="R183" s="97">
        <f>D183+K183</f>
        <v/>
      </c>
      <c r="S183" s="102">
        <f>E183+L183</f>
        <v/>
      </c>
    </row>
  </sheetData>
  <mergeCells count="5">
    <mergeCell ref="D3:J3"/>
    <mergeCell ref="K3:Q3"/>
    <mergeCell ref="A1:S1"/>
    <mergeCell ref="A3:C3"/>
    <mergeCell ref="R3:S3"/>
  </mergeCells>
  <conditionalFormatting sqref="J5:J183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83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83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83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83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AADC"/>
    <outlinePr summaryBelow="1" summaryRight="1"/>
    <pageSetUpPr/>
  </sheetPr>
  <dimension ref="A1:S18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67" t="inlineStr">
        <is>
          <t>テスト進捗サマリー（運用）</t>
        </is>
      </c>
    </row>
    <row r="2" ht="22" customHeight="1">
      <c r="A2" s="68" t="inlineStr">
        <is>
          <t>集計期間: 2025/12/14 ～ 2026/06/10 (179日間)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0" t="inlineStr">
        <is>
          <t>基準日:</t>
        </is>
      </c>
      <c r="S2" s="71">
        <f>ダッシュボード!$B$2</f>
        <v/>
      </c>
    </row>
    <row r="3" ht="24" customHeight="1">
      <c r="A3" s="72" t="inlineStr">
        <is>
          <t>共通</t>
        </is>
      </c>
      <c r="D3" s="73" t="inlineStr">
        <is>
          <t>実施</t>
        </is>
      </c>
      <c r="K3" s="74" t="inlineStr">
        <is>
          <t>検証</t>
        </is>
      </c>
      <c r="R3" s="75" t="inlineStr">
        <is>
          <t>合計</t>
        </is>
      </c>
    </row>
    <row r="4" ht="22" customHeight="1">
      <c r="A4" s="76" t="inlineStr">
        <is>
          <t>日付</t>
        </is>
      </c>
      <c r="B4" s="77" t="inlineStr">
        <is>
          <t>曜</t>
        </is>
      </c>
      <c r="C4" s="78" t="inlineStr">
        <is>
          <t>営業日</t>
        </is>
      </c>
      <c r="D4" s="79" t="inlineStr">
        <is>
          <t>予定</t>
        </is>
      </c>
      <c r="E4" s="80" t="inlineStr">
        <is>
          <t>実績</t>
        </is>
      </c>
      <c r="F4" s="80" t="inlineStr">
        <is>
          <t>消化率</t>
        </is>
      </c>
      <c r="G4" s="80" t="inlineStr">
        <is>
          <t>予定累計</t>
        </is>
      </c>
      <c r="H4" s="80" t="inlineStr">
        <is>
          <t>実績累計</t>
        </is>
      </c>
      <c r="I4" s="80" t="inlineStr">
        <is>
          <t>累計消化率</t>
        </is>
      </c>
      <c r="J4" s="81" t="inlineStr">
        <is>
          <t>判定</t>
        </is>
      </c>
      <c r="K4" s="82" t="inlineStr">
        <is>
          <t>予定</t>
        </is>
      </c>
      <c r="L4" s="83" t="inlineStr">
        <is>
          <t>実績</t>
        </is>
      </c>
      <c r="M4" s="83" t="inlineStr">
        <is>
          <t>消化率</t>
        </is>
      </c>
      <c r="N4" s="83" t="inlineStr">
        <is>
          <t>予定累計</t>
        </is>
      </c>
      <c r="O4" s="83" t="inlineStr">
        <is>
          <t>実績累計</t>
        </is>
      </c>
      <c r="P4" s="83" t="inlineStr">
        <is>
          <t>累計消化率</t>
        </is>
      </c>
      <c r="Q4" s="84" t="inlineStr">
        <is>
          <t>判定</t>
        </is>
      </c>
      <c r="R4" s="85" t="inlineStr">
        <is>
          <t>予定</t>
        </is>
      </c>
      <c r="S4" s="86" t="inlineStr">
        <is>
          <t>実績</t>
        </is>
      </c>
    </row>
    <row r="5" ht="24" customHeight="1">
      <c r="A5" s="87" t="inlineStr">
        <is>
          <t>合計</t>
        </is>
      </c>
      <c r="B5" s="88" t="n"/>
      <c r="C5" s="89" t="n"/>
      <c r="D5" s="90">
        <f>SUM(D6:D184)</f>
        <v/>
      </c>
      <c r="E5" s="91">
        <f>SUM(E6:E184)</f>
        <v/>
      </c>
      <c r="F5" s="92">
        <f>IF(D5=0,0,E5/D5)</f>
        <v/>
      </c>
      <c r="G5" s="91">
        <f>D5</f>
        <v/>
      </c>
      <c r="H5" s="91">
        <f>E5</f>
        <v/>
      </c>
      <c r="I5" s="92">
        <f>IF(G5=0,"",H5/G5)</f>
        <v/>
      </c>
      <c r="J5" s="89">
        <f>IF(I5&gt;=1,"完了",IF(H5&gt;=G5,"順調","遅延"))</f>
        <v/>
      </c>
      <c r="K5" s="90">
        <f>SUM(K6:K184)</f>
        <v/>
      </c>
      <c r="L5" s="91">
        <f>SUM(L6:L184)</f>
        <v/>
      </c>
      <c r="M5" s="92">
        <f>IF(K5=0,0,L5/K5)</f>
        <v/>
      </c>
      <c r="N5" s="91">
        <f>K5</f>
        <v/>
      </c>
      <c r="O5" s="91">
        <f>L5</f>
        <v/>
      </c>
      <c r="P5" s="92">
        <f>IF(N5=0,"",O5/N5)</f>
        <v/>
      </c>
      <c r="Q5" s="89">
        <f>IF(P5&gt;=1,"完了",IF(O5&gt;=N5,"順調","遅延"))</f>
        <v/>
      </c>
      <c r="R5" s="90">
        <f>D5+K5</f>
        <v/>
      </c>
      <c r="S5" s="93">
        <f>E5+L5</f>
        <v/>
      </c>
    </row>
    <row r="6">
      <c r="A6" s="94" t="n">
        <v>46005</v>
      </c>
      <c r="B6" s="95">
        <f>CHOOSE(WEEKDAY(A6,2),"月","火","水","木","金","土","日")</f>
        <v/>
      </c>
      <c r="C6" s="96">
        <f>IF(OR(WEEKDAY(A6,2)&gt;=6,COUNTIF(祝日マスタ!$A:$A,A6)&gt;0),"非営業日","営業日")</f>
        <v/>
      </c>
      <c r="D6" s="97">
        <f>COUNTIFS(明細!$F$5:$F$363,A6,明細!$D$5:$D$363,"運用")</f>
        <v/>
      </c>
      <c r="E6" s="98">
        <f>COUNTIFS(明細!$G$5:$G$363,A6,明細!$D$5:$D$363,"運用")</f>
        <v/>
      </c>
      <c r="F6" s="99">
        <f>IF(D6=0,0,E6/D6)</f>
        <v/>
      </c>
      <c r="G6" s="100">
        <f>SUM($D$6:D6)</f>
        <v/>
      </c>
      <c r="H6" s="98">
        <f>SUM($E$6:E6)</f>
        <v/>
      </c>
      <c r="I6" s="99">
        <f>IF(G6=0,"",H6/G6)</f>
        <v/>
      </c>
      <c r="J6" s="101">
        <f>IF(A6&gt;$S$2,"予定",IF(G6=0,"－",IF(I6&gt;=1,"完了",IF(H6&gt;=G6,"順調","遅延"))))</f>
        <v/>
      </c>
      <c r="K6" s="97">
        <f>COUNTIFS(明細!$I$5:$I$363,A6,明細!$D$5:$D$363,"運用")</f>
        <v/>
      </c>
      <c r="L6" s="98">
        <f>COUNTIFS(明細!$J$5:$J$363,A6,明細!$D$5:$D$363,"運用")</f>
        <v/>
      </c>
      <c r="M6" s="99">
        <f>IF(K6=0,0,L6/K6)</f>
        <v/>
      </c>
      <c r="N6" s="100">
        <f>SUM($K$6:K6)</f>
        <v/>
      </c>
      <c r="O6" s="98">
        <f>SUM($L$6:L6)</f>
        <v/>
      </c>
      <c r="P6" s="99">
        <f>IF(N6=0,"",O6/N6)</f>
        <v/>
      </c>
      <c r="Q6" s="101">
        <f>IF(A6&gt;$S$2,"予定",IF(N6=0,"－",IF(P6&gt;=1,"完了",IF(O6&gt;=N6,"順調","遅延"))))</f>
        <v/>
      </c>
      <c r="R6" s="97">
        <f>D6+K6</f>
        <v/>
      </c>
      <c r="S6" s="102">
        <f>E6+L6</f>
        <v/>
      </c>
    </row>
    <row r="7">
      <c r="A7" s="94" t="n">
        <v>46006</v>
      </c>
      <c r="B7" s="95">
        <f>CHOOSE(WEEKDAY(A7,2),"月","火","水","木","金","土","日")</f>
        <v/>
      </c>
      <c r="C7" s="96">
        <f>IF(OR(WEEKDAY(A7,2)&gt;=6,COUNTIF(祝日マスタ!$A:$A,A7)&gt;0),"非営業日","営業日")</f>
        <v/>
      </c>
      <c r="D7" s="97">
        <f>COUNTIFS(明細!$F$5:$F$363,A7,明細!$D$5:$D$363,"運用")</f>
        <v/>
      </c>
      <c r="E7" s="98">
        <f>COUNTIFS(明細!$G$5:$G$363,A7,明細!$D$5:$D$363,"運用")</f>
        <v/>
      </c>
      <c r="F7" s="99">
        <f>IF(D7=0,0,E7/D7)</f>
        <v/>
      </c>
      <c r="G7" s="100">
        <f>SUM($D$6:D7)</f>
        <v/>
      </c>
      <c r="H7" s="98">
        <f>SUM($E$6:E7)</f>
        <v/>
      </c>
      <c r="I7" s="99">
        <f>IF(G7=0,"",H7/G7)</f>
        <v/>
      </c>
      <c r="J7" s="101">
        <f>IF(A7&gt;$S$2,"予定",IF(G7=0,"－",IF(I7&gt;=1,"完了",IF(H7&gt;=G7,"順調","遅延"))))</f>
        <v/>
      </c>
      <c r="K7" s="97">
        <f>COUNTIFS(明細!$I$5:$I$363,A7,明細!$D$5:$D$363,"運用")</f>
        <v/>
      </c>
      <c r="L7" s="98">
        <f>COUNTIFS(明細!$J$5:$J$363,A7,明細!$D$5:$D$363,"運用")</f>
        <v/>
      </c>
      <c r="M7" s="99">
        <f>IF(K7=0,0,L7/K7)</f>
        <v/>
      </c>
      <c r="N7" s="100">
        <f>SUM($K$6:K7)</f>
        <v/>
      </c>
      <c r="O7" s="98">
        <f>SUM($L$6:L7)</f>
        <v/>
      </c>
      <c r="P7" s="99">
        <f>IF(N7=0,"",O7/N7)</f>
        <v/>
      </c>
      <c r="Q7" s="101">
        <f>IF(A7&gt;$S$2,"予定",IF(N7=0,"－",IF(P7&gt;=1,"完了",IF(O7&gt;=N7,"順調","遅延"))))</f>
        <v/>
      </c>
      <c r="R7" s="97">
        <f>D7+K7</f>
        <v/>
      </c>
      <c r="S7" s="102">
        <f>E7+L7</f>
        <v/>
      </c>
    </row>
    <row r="8">
      <c r="A8" s="94" t="n">
        <v>46007</v>
      </c>
      <c r="B8" s="95">
        <f>CHOOSE(WEEKDAY(A8,2),"月","火","水","木","金","土","日")</f>
        <v/>
      </c>
      <c r="C8" s="96">
        <f>IF(OR(WEEKDAY(A8,2)&gt;=6,COUNTIF(祝日マスタ!$A:$A,A8)&gt;0),"非営業日","営業日")</f>
        <v/>
      </c>
      <c r="D8" s="97">
        <f>COUNTIFS(明細!$F$5:$F$363,A8,明細!$D$5:$D$363,"運用")</f>
        <v/>
      </c>
      <c r="E8" s="98">
        <f>COUNTIFS(明細!$G$5:$G$363,A8,明細!$D$5:$D$363,"運用")</f>
        <v/>
      </c>
      <c r="F8" s="99">
        <f>IF(D8=0,0,E8/D8)</f>
        <v/>
      </c>
      <c r="G8" s="100">
        <f>SUM($D$6:D8)</f>
        <v/>
      </c>
      <c r="H8" s="98">
        <f>SUM($E$6:E8)</f>
        <v/>
      </c>
      <c r="I8" s="99">
        <f>IF(G8=0,"",H8/G8)</f>
        <v/>
      </c>
      <c r="J8" s="101">
        <f>IF(A8&gt;$S$2,"予定",IF(G8=0,"－",IF(I8&gt;=1,"完了",IF(H8&gt;=G8,"順調","遅延"))))</f>
        <v/>
      </c>
      <c r="K8" s="97">
        <f>COUNTIFS(明細!$I$5:$I$363,A8,明細!$D$5:$D$363,"運用")</f>
        <v/>
      </c>
      <c r="L8" s="98">
        <f>COUNTIFS(明細!$J$5:$J$363,A8,明細!$D$5:$D$363,"運用")</f>
        <v/>
      </c>
      <c r="M8" s="99">
        <f>IF(K8=0,0,L8/K8)</f>
        <v/>
      </c>
      <c r="N8" s="100">
        <f>SUM($K$6:K8)</f>
        <v/>
      </c>
      <c r="O8" s="98">
        <f>SUM($L$6:L8)</f>
        <v/>
      </c>
      <c r="P8" s="99">
        <f>IF(N8=0,"",O8/N8)</f>
        <v/>
      </c>
      <c r="Q8" s="101">
        <f>IF(A8&gt;$S$2,"予定",IF(N8=0,"－",IF(P8&gt;=1,"完了",IF(O8&gt;=N8,"順調","遅延"))))</f>
        <v/>
      </c>
      <c r="R8" s="97">
        <f>D8+K8</f>
        <v/>
      </c>
      <c r="S8" s="102">
        <f>E8+L8</f>
        <v/>
      </c>
    </row>
    <row r="9">
      <c r="A9" s="94" t="n">
        <v>46008</v>
      </c>
      <c r="B9" s="95">
        <f>CHOOSE(WEEKDAY(A9,2),"月","火","水","木","金","土","日")</f>
        <v/>
      </c>
      <c r="C9" s="96">
        <f>IF(OR(WEEKDAY(A9,2)&gt;=6,COUNTIF(祝日マスタ!$A:$A,A9)&gt;0),"非営業日","営業日")</f>
        <v/>
      </c>
      <c r="D9" s="97">
        <f>COUNTIFS(明細!$F$5:$F$363,A9,明細!$D$5:$D$363,"運用")</f>
        <v/>
      </c>
      <c r="E9" s="98">
        <f>COUNTIFS(明細!$G$5:$G$363,A9,明細!$D$5:$D$363,"運用")</f>
        <v/>
      </c>
      <c r="F9" s="99">
        <f>IF(D9=0,0,E9/D9)</f>
        <v/>
      </c>
      <c r="G9" s="100">
        <f>SUM($D$6:D9)</f>
        <v/>
      </c>
      <c r="H9" s="98">
        <f>SUM($E$6:E9)</f>
        <v/>
      </c>
      <c r="I9" s="99">
        <f>IF(G9=0,"",H9/G9)</f>
        <v/>
      </c>
      <c r="J9" s="101">
        <f>IF(A9&gt;$S$2,"予定",IF(G9=0,"－",IF(I9&gt;=1,"完了",IF(H9&gt;=G9,"順調","遅延"))))</f>
        <v/>
      </c>
      <c r="K9" s="97">
        <f>COUNTIFS(明細!$I$5:$I$363,A9,明細!$D$5:$D$363,"運用")</f>
        <v/>
      </c>
      <c r="L9" s="98">
        <f>COUNTIFS(明細!$J$5:$J$363,A9,明細!$D$5:$D$363,"運用")</f>
        <v/>
      </c>
      <c r="M9" s="99">
        <f>IF(K9=0,0,L9/K9)</f>
        <v/>
      </c>
      <c r="N9" s="100">
        <f>SUM($K$6:K9)</f>
        <v/>
      </c>
      <c r="O9" s="98">
        <f>SUM($L$6:L9)</f>
        <v/>
      </c>
      <c r="P9" s="99">
        <f>IF(N9=0,"",O9/N9)</f>
        <v/>
      </c>
      <c r="Q9" s="101">
        <f>IF(A9&gt;$S$2,"予定",IF(N9=0,"－",IF(P9&gt;=1,"完了",IF(O9&gt;=N9,"順調","遅延"))))</f>
        <v/>
      </c>
      <c r="R9" s="97">
        <f>D9+K9</f>
        <v/>
      </c>
      <c r="S9" s="102">
        <f>E9+L9</f>
        <v/>
      </c>
    </row>
    <row r="10">
      <c r="A10" s="94" t="n">
        <v>46009</v>
      </c>
      <c r="B10" s="95">
        <f>CHOOSE(WEEKDAY(A10,2),"月","火","水","木","金","土","日")</f>
        <v/>
      </c>
      <c r="C10" s="96">
        <f>IF(OR(WEEKDAY(A10,2)&gt;=6,COUNTIF(祝日マスタ!$A:$A,A10)&gt;0),"非営業日","営業日")</f>
        <v/>
      </c>
      <c r="D10" s="97">
        <f>COUNTIFS(明細!$F$5:$F$363,A10,明細!$D$5:$D$363,"運用")</f>
        <v/>
      </c>
      <c r="E10" s="98">
        <f>COUNTIFS(明細!$G$5:$G$363,A10,明細!$D$5:$D$363,"運用")</f>
        <v/>
      </c>
      <c r="F10" s="99">
        <f>IF(D10=0,0,E10/D10)</f>
        <v/>
      </c>
      <c r="G10" s="100">
        <f>SUM($D$6:D10)</f>
        <v/>
      </c>
      <c r="H10" s="98">
        <f>SUM($E$6:E10)</f>
        <v/>
      </c>
      <c r="I10" s="99">
        <f>IF(G10=0,"",H10/G10)</f>
        <v/>
      </c>
      <c r="J10" s="101">
        <f>IF(A10&gt;$S$2,"予定",IF(G10=0,"－",IF(I10&gt;=1,"完了",IF(H10&gt;=G10,"順調","遅延"))))</f>
        <v/>
      </c>
      <c r="K10" s="97">
        <f>COUNTIFS(明細!$I$5:$I$363,A10,明細!$D$5:$D$363,"運用")</f>
        <v/>
      </c>
      <c r="L10" s="98">
        <f>COUNTIFS(明細!$J$5:$J$363,A10,明細!$D$5:$D$363,"運用")</f>
        <v/>
      </c>
      <c r="M10" s="99">
        <f>IF(K10=0,0,L10/K10)</f>
        <v/>
      </c>
      <c r="N10" s="100">
        <f>SUM($K$6:K10)</f>
        <v/>
      </c>
      <c r="O10" s="98">
        <f>SUM($L$6:L10)</f>
        <v/>
      </c>
      <c r="P10" s="99">
        <f>IF(N10=0,"",O10/N10)</f>
        <v/>
      </c>
      <c r="Q10" s="101">
        <f>IF(A10&gt;$S$2,"予定",IF(N10=0,"－",IF(P10&gt;=1,"完了",IF(O10&gt;=N10,"順調","遅延"))))</f>
        <v/>
      </c>
      <c r="R10" s="97">
        <f>D10+K10</f>
        <v/>
      </c>
      <c r="S10" s="102">
        <f>E10+L10</f>
        <v/>
      </c>
    </row>
    <row r="11">
      <c r="A11" s="94" t="n">
        <v>46010</v>
      </c>
      <c r="B11" s="95">
        <f>CHOOSE(WEEKDAY(A11,2),"月","火","水","木","金","土","日")</f>
        <v/>
      </c>
      <c r="C11" s="96">
        <f>IF(OR(WEEKDAY(A11,2)&gt;=6,COUNTIF(祝日マスタ!$A:$A,A11)&gt;0),"非営業日","営業日")</f>
        <v/>
      </c>
      <c r="D11" s="97">
        <f>COUNTIFS(明細!$F$5:$F$363,A11,明細!$D$5:$D$363,"運用")</f>
        <v/>
      </c>
      <c r="E11" s="98">
        <f>COUNTIFS(明細!$G$5:$G$363,A11,明細!$D$5:$D$363,"運用")</f>
        <v/>
      </c>
      <c r="F11" s="99">
        <f>IF(D11=0,0,E11/D11)</f>
        <v/>
      </c>
      <c r="G11" s="100">
        <f>SUM($D$6:D11)</f>
        <v/>
      </c>
      <c r="H11" s="98">
        <f>SUM($E$6:E11)</f>
        <v/>
      </c>
      <c r="I11" s="99">
        <f>IF(G11=0,"",H11/G11)</f>
        <v/>
      </c>
      <c r="J11" s="101">
        <f>IF(A11&gt;$S$2,"予定",IF(G11=0,"－",IF(I11&gt;=1,"完了",IF(H11&gt;=G11,"順調","遅延"))))</f>
        <v/>
      </c>
      <c r="K11" s="97">
        <f>COUNTIFS(明細!$I$5:$I$363,A11,明細!$D$5:$D$363,"運用")</f>
        <v/>
      </c>
      <c r="L11" s="98">
        <f>COUNTIFS(明細!$J$5:$J$363,A11,明細!$D$5:$D$363,"運用")</f>
        <v/>
      </c>
      <c r="M11" s="99">
        <f>IF(K11=0,0,L11/K11)</f>
        <v/>
      </c>
      <c r="N11" s="100">
        <f>SUM($K$6:K11)</f>
        <v/>
      </c>
      <c r="O11" s="98">
        <f>SUM($L$6:L11)</f>
        <v/>
      </c>
      <c r="P11" s="99">
        <f>IF(N11=0,"",O11/N11)</f>
        <v/>
      </c>
      <c r="Q11" s="101">
        <f>IF(A11&gt;$S$2,"予定",IF(N11=0,"－",IF(P11&gt;=1,"完了",IF(O11&gt;=N11,"順調","遅延"))))</f>
        <v/>
      </c>
      <c r="R11" s="97">
        <f>D11+K11</f>
        <v/>
      </c>
      <c r="S11" s="102">
        <f>E11+L11</f>
        <v/>
      </c>
    </row>
    <row r="12">
      <c r="A12" s="94" t="n">
        <v>46011</v>
      </c>
      <c r="B12" s="95">
        <f>CHOOSE(WEEKDAY(A12,2),"月","火","水","木","金","土","日")</f>
        <v/>
      </c>
      <c r="C12" s="96">
        <f>IF(OR(WEEKDAY(A12,2)&gt;=6,COUNTIF(祝日マスタ!$A:$A,A12)&gt;0),"非営業日","営業日")</f>
        <v/>
      </c>
      <c r="D12" s="97">
        <f>COUNTIFS(明細!$F$5:$F$363,A12,明細!$D$5:$D$363,"運用")</f>
        <v/>
      </c>
      <c r="E12" s="98">
        <f>COUNTIFS(明細!$G$5:$G$363,A12,明細!$D$5:$D$363,"運用")</f>
        <v/>
      </c>
      <c r="F12" s="99">
        <f>IF(D12=0,0,E12/D12)</f>
        <v/>
      </c>
      <c r="G12" s="100">
        <f>SUM($D$6:D12)</f>
        <v/>
      </c>
      <c r="H12" s="98">
        <f>SUM($E$6:E12)</f>
        <v/>
      </c>
      <c r="I12" s="99">
        <f>IF(G12=0,"",H12/G12)</f>
        <v/>
      </c>
      <c r="J12" s="101">
        <f>IF(A12&gt;$S$2,"予定",IF(G12=0,"－",IF(I12&gt;=1,"完了",IF(H12&gt;=G12,"順調","遅延"))))</f>
        <v/>
      </c>
      <c r="K12" s="97">
        <f>COUNTIFS(明細!$I$5:$I$363,A12,明細!$D$5:$D$363,"運用")</f>
        <v/>
      </c>
      <c r="L12" s="98">
        <f>COUNTIFS(明細!$J$5:$J$363,A12,明細!$D$5:$D$363,"運用")</f>
        <v/>
      </c>
      <c r="M12" s="99">
        <f>IF(K12=0,0,L12/K12)</f>
        <v/>
      </c>
      <c r="N12" s="100">
        <f>SUM($K$6:K12)</f>
        <v/>
      </c>
      <c r="O12" s="98">
        <f>SUM($L$6:L12)</f>
        <v/>
      </c>
      <c r="P12" s="99">
        <f>IF(N12=0,"",O12/N12)</f>
        <v/>
      </c>
      <c r="Q12" s="101">
        <f>IF(A12&gt;$S$2,"予定",IF(N12=0,"－",IF(P12&gt;=1,"完了",IF(O12&gt;=N12,"順調","遅延"))))</f>
        <v/>
      </c>
      <c r="R12" s="97">
        <f>D12+K12</f>
        <v/>
      </c>
      <c r="S12" s="102">
        <f>E12+L12</f>
        <v/>
      </c>
    </row>
    <row r="13">
      <c r="A13" s="94" t="n">
        <v>46012</v>
      </c>
      <c r="B13" s="95">
        <f>CHOOSE(WEEKDAY(A13,2),"月","火","水","木","金","土","日")</f>
        <v/>
      </c>
      <c r="C13" s="96">
        <f>IF(OR(WEEKDAY(A13,2)&gt;=6,COUNTIF(祝日マスタ!$A:$A,A13)&gt;0),"非営業日","営業日")</f>
        <v/>
      </c>
      <c r="D13" s="97">
        <f>COUNTIFS(明細!$F$5:$F$363,A13,明細!$D$5:$D$363,"運用")</f>
        <v/>
      </c>
      <c r="E13" s="98">
        <f>COUNTIFS(明細!$G$5:$G$363,A13,明細!$D$5:$D$363,"運用")</f>
        <v/>
      </c>
      <c r="F13" s="99">
        <f>IF(D13=0,0,E13/D13)</f>
        <v/>
      </c>
      <c r="G13" s="100">
        <f>SUM($D$6:D13)</f>
        <v/>
      </c>
      <c r="H13" s="98">
        <f>SUM($E$6:E13)</f>
        <v/>
      </c>
      <c r="I13" s="99">
        <f>IF(G13=0,"",H13/G13)</f>
        <v/>
      </c>
      <c r="J13" s="101">
        <f>IF(A13&gt;$S$2,"予定",IF(G13=0,"－",IF(I13&gt;=1,"完了",IF(H13&gt;=G13,"順調","遅延"))))</f>
        <v/>
      </c>
      <c r="K13" s="97">
        <f>COUNTIFS(明細!$I$5:$I$363,A13,明細!$D$5:$D$363,"運用")</f>
        <v/>
      </c>
      <c r="L13" s="98">
        <f>COUNTIFS(明細!$J$5:$J$363,A13,明細!$D$5:$D$363,"運用")</f>
        <v/>
      </c>
      <c r="M13" s="99">
        <f>IF(K13=0,0,L13/K13)</f>
        <v/>
      </c>
      <c r="N13" s="100">
        <f>SUM($K$6:K13)</f>
        <v/>
      </c>
      <c r="O13" s="98">
        <f>SUM($L$6:L13)</f>
        <v/>
      </c>
      <c r="P13" s="99">
        <f>IF(N13=0,"",O13/N13)</f>
        <v/>
      </c>
      <c r="Q13" s="101">
        <f>IF(A13&gt;$S$2,"予定",IF(N13=0,"－",IF(P13&gt;=1,"完了",IF(O13&gt;=N13,"順調","遅延"))))</f>
        <v/>
      </c>
      <c r="R13" s="97">
        <f>D13+K13</f>
        <v/>
      </c>
      <c r="S13" s="102">
        <f>E13+L13</f>
        <v/>
      </c>
    </row>
    <row r="14">
      <c r="A14" s="94" t="n">
        <v>46013</v>
      </c>
      <c r="B14" s="95">
        <f>CHOOSE(WEEKDAY(A14,2),"月","火","水","木","金","土","日")</f>
        <v/>
      </c>
      <c r="C14" s="96">
        <f>IF(OR(WEEKDAY(A14,2)&gt;=6,COUNTIF(祝日マスタ!$A:$A,A14)&gt;0),"非営業日","営業日")</f>
        <v/>
      </c>
      <c r="D14" s="97">
        <f>COUNTIFS(明細!$F$5:$F$363,A14,明細!$D$5:$D$363,"運用")</f>
        <v/>
      </c>
      <c r="E14" s="98">
        <f>COUNTIFS(明細!$G$5:$G$363,A14,明細!$D$5:$D$363,"運用")</f>
        <v/>
      </c>
      <c r="F14" s="99">
        <f>IF(D14=0,0,E14/D14)</f>
        <v/>
      </c>
      <c r="G14" s="100">
        <f>SUM($D$6:D14)</f>
        <v/>
      </c>
      <c r="H14" s="98">
        <f>SUM($E$6:E14)</f>
        <v/>
      </c>
      <c r="I14" s="99">
        <f>IF(G14=0,"",H14/G14)</f>
        <v/>
      </c>
      <c r="J14" s="101">
        <f>IF(A14&gt;$S$2,"予定",IF(G14=0,"－",IF(I14&gt;=1,"完了",IF(H14&gt;=G14,"順調","遅延"))))</f>
        <v/>
      </c>
      <c r="K14" s="97">
        <f>COUNTIFS(明細!$I$5:$I$363,A14,明細!$D$5:$D$363,"運用")</f>
        <v/>
      </c>
      <c r="L14" s="98">
        <f>COUNTIFS(明細!$J$5:$J$363,A14,明細!$D$5:$D$363,"運用")</f>
        <v/>
      </c>
      <c r="M14" s="99">
        <f>IF(K14=0,0,L14/K14)</f>
        <v/>
      </c>
      <c r="N14" s="100">
        <f>SUM($K$6:K14)</f>
        <v/>
      </c>
      <c r="O14" s="98">
        <f>SUM($L$6:L14)</f>
        <v/>
      </c>
      <c r="P14" s="99">
        <f>IF(N14=0,"",O14/N14)</f>
        <v/>
      </c>
      <c r="Q14" s="101">
        <f>IF(A14&gt;$S$2,"予定",IF(N14=0,"－",IF(P14&gt;=1,"完了",IF(O14&gt;=N14,"順調","遅延"))))</f>
        <v/>
      </c>
      <c r="R14" s="97">
        <f>D14+K14</f>
        <v/>
      </c>
      <c r="S14" s="102">
        <f>E14+L14</f>
        <v/>
      </c>
    </row>
    <row r="15">
      <c r="A15" s="94" t="n">
        <v>46014</v>
      </c>
      <c r="B15" s="95">
        <f>CHOOSE(WEEKDAY(A15,2),"月","火","水","木","金","土","日")</f>
        <v/>
      </c>
      <c r="C15" s="96">
        <f>IF(OR(WEEKDAY(A15,2)&gt;=6,COUNTIF(祝日マスタ!$A:$A,A15)&gt;0),"非営業日","営業日")</f>
        <v/>
      </c>
      <c r="D15" s="97">
        <f>COUNTIFS(明細!$F$5:$F$363,A15,明細!$D$5:$D$363,"運用")</f>
        <v/>
      </c>
      <c r="E15" s="98">
        <f>COUNTIFS(明細!$G$5:$G$363,A15,明細!$D$5:$D$363,"運用")</f>
        <v/>
      </c>
      <c r="F15" s="99">
        <f>IF(D15=0,0,E15/D15)</f>
        <v/>
      </c>
      <c r="G15" s="100">
        <f>SUM($D$6:D15)</f>
        <v/>
      </c>
      <c r="H15" s="98">
        <f>SUM($E$6:E15)</f>
        <v/>
      </c>
      <c r="I15" s="99">
        <f>IF(G15=0,"",H15/G15)</f>
        <v/>
      </c>
      <c r="J15" s="101">
        <f>IF(A15&gt;$S$2,"予定",IF(G15=0,"－",IF(I15&gt;=1,"完了",IF(H15&gt;=G15,"順調","遅延"))))</f>
        <v/>
      </c>
      <c r="K15" s="97">
        <f>COUNTIFS(明細!$I$5:$I$363,A15,明細!$D$5:$D$363,"運用")</f>
        <v/>
      </c>
      <c r="L15" s="98">
        <f>COUNTIFS(明細!$J$5:$J$363,A15,明細!$D$5:$D$363,"運用")</f>
        <v/>
      </c>
      <c r="M15" s="99">
        <f>IF(K15=0,0,L15/K15)</f>
        <v/>
      </c>
      <c r="N15" s="100">
        <f>SUM($K$6:K15)</f>
        <v/>
      </c>
      <c r="O15" s="98">
        <f>SUM($L$6:L15)</f>
        <v/>
      </c>
      <c r="P15" s="99">
        <f>IF(N15=0,"",O15/N15)</f>
        <v/>
      </c>
      <c r="Q15" s="101">
        <f>IF(A15&gt;$S$2,"予定",IF(N15=0,"－",IF(P15&gt;=1,"完了",IF(O15&gt;=N15,"順調","遅延"))))</f>
        <v/>
      </c>
      <c r="R15" s="97">
        <f>D15+K15</f>
        <v/>
      </c>
      <c r="S15" s="102">
        <f>E15+L15</f>
        <v/>
      </c>
    </row>
    <row r="16">
      <c r="A16" s="94" t="n">
        <v>46015</v>
      </c>
      <c r="B16" s="95">
        <f>CHOOSE(WEEKDAY(A16,2),"月","火","水","木","金","土","日")</f>
        <v/>
      </c>
      <c r="C16" s="96">
        <f>IF(OR(WEEKDAY(A16,2)&gt;=6,COUNTIF(祝日マスタ!$A:$A,A16)&gt;0),"非営業日","営業日")</f>
        <v/>
      </c>
      <c r="D16" s="97">
        <f>COUNTIFS(明細!$F$5:$F$363,A16,明細!$D$5:$D$363,"運用")</f>
        <v/>
      </c>
      <c r="E16" s="98">
        <f>COUNTIFS(明細!$G$5:$G$363,A16,明細!$D$5:$D$363,"運用")</f>
        <v/>
      </c>
      <c r="F16" s="99">
        <f>IF(D16=0,0,E16/D16)</f>
        <v/>
      </c>
      <c r="G16" s="100">
        <f>SUM($D$6:D16)</f>
        <v/>
      </c>
      <c r="H16" s="98">
        <f>SUM($E$6:E16)</f>
        <v/>
      </c>
      <c r="I16" s="99">
        <f>IF(G16=0,"",H16/G16)</f>
        <v/>
      </c>
      <c r="J16" s="101">
        <f>IF(A16&gt;$S$2,"予定",IF(G16=0,"－",IF(I16&gt;=1,"完了",IF(H16&gt;=G16,"順調","遅延"))))</f>
        <v/>
      </c>
      <c r="K16" s="97">
        <f>COUNTIFS(明細!$I$5:$I$363,A16,明細!$D$5:$D$363,"運用")</f>
        <v/>
      </c>
      <c r="L16" s="98">
        <f>COUNTIFS(明細!$J$5:$J$363,A16,明細!$D$5:$D$363,"運用")</f>
        <v/>
      </c>
      <c r="M16" s="99">
        <f>IF(K16=0,0,L16/K16)</f>
        <v/>
      </c>
      <c r="N16" s="100">
        <f>SUM($K$6:K16)</f>
        <v/>
      </c>
      <c r="O16" s="98">
        <f>SUM($L$6:L16)</f>
        <v/>
      </c>
      <c r="P16" s="99">
        <f>IF(N16=0,"",O16/N16)</f>
        <v/>
      </c>
      <c r="Q16" s="101">
        <f>IF(A16&gt;$S$2,"予定",IF(N16=0,"－",IF(P16&gt;=1,"完了",IF(O16&gt;=N16,"順調","遅延"))))</f>
        <v/>
      </c>
      <c r="R16" s="97">
        <f>D16+K16</f>
        <v/>
      </c>
      <c r="S16" s="102">
        <f>E16+L16</f>
        <v/>
      </c>
    </row>
    <row r="17">
      <c r="A17" s="94" t="n">
        <v>46016</v>
      </c>
      <c r="B17" s="95">
        <f>CHOOSE(WEEKDAY(A17,2),"月","火","水","木","金","土","日")</f>
        <v/>
      </c>
      <c r="C17" s="96">
        <f>IF(OR(WEEKDAY(A17,2)&gt;=6,COUNTIF(祝日マスタ!$A:$A,A17)&gt;0),"非営業日","営業日")</f>
        <v/>
      </c>
      <c r="D17" s="97">
        <f>COUNTIFS(明細!$F$5:$F$363,A17,明細!$D$5:$D$363,"運用")</f>
        <v/>
      </c>
      <c r="E17" s="98">
        <f>COUNTIFS(明細!$G$5:$G$363,A17,明細!$D$5:$D$363,"運用")</f>
        <v/>
      </c>
      <c r="F17" s="99">
        <f>IF(D17=0,0,E17/D17)</f>
        <v/>
      </c>
      <c r="G17" s="100">
        <f>SUM($D$6:D17)</f>
        <v/>
      </c>
      <c r="H17" s="98">
        <f>SUM($E$6:E17)</f>
        <v/>
      </c>
      <c r="I17" s="99">
        <f>IF(G17=0,"",H17/G17)</f>
        <v/>
      </c>
      <c r="J17" s="101">
        <f>IF(A17&gt;$S$2,"予定",IF(G17=0,"－",IF(I17&gt;=1,"完了",IF(H17&gt;=G17,"順調","遅延"))))</f>
        <v/>
      </c>
      <c r="K17" s="97">
        <f>COUNTIFS(明細!$I$5:$I$363,A17,明細!$D$5:$D$363,"運用")</f>
        <v/>
      </c>
      <c r="L17" s="98">
        <f>COUNTIFS(明細!$J$5:$J$363,A17,明細!$D$5:$D$363,"運用")</f>
        <v/>
      </c>
      <c r="M17" s="99">
        <f>IF(K17=0,0,L17/K17)</f>
        <v/>
      </c>
      <c r="N17" s="100">
        <f>SUM($K$6:K17)</f>
        <v/>
      </c>
      <c r="O17" s="98">
        <f>SUM($L$6:L17)</f>
        <v/>
      </c>
      <c r="P17" s="99">
        <f>IF(N17=0,"",O17/N17)</f>
        <v/>
      </c>
      <c r="Q17" s="101">
        <f>IF(A17&gt;$S$2,"予定",IF(N17=0,"－",IF(P17&gt;=1,"完了",IF(O17&gt;=N17,"順調","遅延"))))</f>
        <v/>
      </c>
      <c r="R17" s="97">
        <f>D17+K17</f>
        <v/>
      </c>
      <c r="S17" s="102">
        <f>E17+L17</f>
        <v/>
      </c>
    </row>
    <row r="18">
      <c r="A18" s="94" t="n">
        <v>46017</v>
      </c>
      <c r="B18" s="95">
        <f>CHOOSE(WEEKDAY(A18,2),"月","火","水","木","金","土","日")</f>
        <v/>
      </c>
      <c r="C18" s="96">
        <f>IF(OR(WEEKDAY(A18,2)&gt;=6,COUNTIF(祝日マスタ!$A:$A,A18)&gt;0),"非営業日","営業日")</f>
        <v/>
      </c>
      <c r="D18" s="97">
        <f>COUNTIFS(明細!$F$5:$F$363,A18,明細!$D$5:$D$363,"運用")</f>
        <v/>
      </c>
      <c r="E18" s="98">
        <f>COUNTIFS(明細!$G$5:$G$363,A18,明細!$D$5:$D$363,"運用")</f>
        <v/>
      </c>
      <c r="F18" s="99">
        <f>IF(D18=0,0,E18/D18)</f>
        <v/>
      </c>
      <c r="G18" s="100">
        <f>SUM($D$6:D18)</f>
        <v/>
      </c>
      <c r="H18" s="98">
        <f>SUM($E$6:E18)</f>
        <v/>
      </c>
      <c r="I18" s="99">
        <f>IF(G18=0,"",H18/G18)</f>
        <v/>
      </c>
      <c r="J18" s="101">
        <f>IF(A18&gt;$S$2,"予定",IF(G18=0,"－",IF(I18&gt;=1,"完了",IF(H18&gt;=G18,"順調","遅延"))))</f>
        <v/>
      </c>
      <c r="K18" s="97">
        <f>COUNTIFS(明細!$I$5:$I$363,A18,明細!$D$5:$D$363,"運用")</f>
        <v/>
      </c>
      <c r="L18" s="98">
        <f>COUNTIFS(明細!$J$5:$J$363,A18,明細!$D$5:$D$363,"運用")</f>
        <v/>
      </c>
      <c r="M18" s="99">
        <f>IF(K18=0,0,L18/K18)</f>
        <v/>
      </c>
      <c r="N18" s="100">
        <f>SUM($K$6:K18)</f>
        <v/>
      </c>
      <c r="O18" s="98">
        <f>SUM($L$6:L18)</f>
        <v/>
      </c>
      <c r="P18" s="99">
        <f>IF(N18=0,"",O18/N18)</f>
        <v/>
      </c>
      <c r="Q18" s="101">
        <f>IF(A18&gt;$S$2,"予定",IF(N18=0,"－",IF(P18&gt;=1,"完了",IF(O18&gt;=N18,"順調","遅延"))))</f>
        <v/>
      </c>
      <c r="R18" s="97">
        <f>D18+K18</f>
        <v/>
      </c>
      <c r="S18" s="102">
        <f>E18+L18</f>
        <v/>
      </c>
    </row>
    <row r="19">
      <c r="A19" s="94" t="n">
        <v>46018</v>
      </c>
      <c r="B19" s="95">
        <f>CHOOSE(WEEKDAY(A19,2),"月","火","水","木","金","土","日")</f>
        <v/>
      </c>
      <c r="C19" s="96">
        <f>IF(OR(WEEKDAY(A19,2)&gt;=6,COUNTIF(祝日マスタ!$A:$A,A19)&gt;0),"非営業日","営業日")</f>
        <v/>
      </c>
      <c r="D19" s="97">
        <f>COUNTIFS(明細!$F$5:$F$363,A19,明細!$D$5:$D$363,"運用")</f>
        <v/>
      </c>
      <c r="E19" s="98">
        <f>COUNTIFS(明細!$G$5:$G$363,A19,明細!$D$5:$D$363,"運用")</f>
        <v/>
      </c>
      <c r="F19" s="99">
        <f>IF(D19=0,0,E19/D19)</f>
        <v/>
      </c>
      <c r="G19" s="100">
        <f>SUM($D$6:D19)</f>
        <v/>
      </c>
      <c r="H19" s="98">
        <f>SUM($E$6:E19)</f>
        <v/>
      </c>
      <c r="I19" s="99">
        <f>IF(G19=0,"",H19/G19)</f>
        <v/>
      </c>
      <c r="J19" s="101">
        <f>IF(A19&gt;$S$2,"予定",IF(G19=0,"－",IF(I19&gt;=1,"完了",IF(H19&gt;=G19,"順調","遅延"))))</f>
        <v/>
      </c>
      <c r="K19" s="97">
        <f>COUNTIFS(明細!$I$5:$I$363,A19,明細!$D$5:$D$363,"運用")</f>
        <v/>
      </c>
      <c r="L19" s="98">
        <f>COUNTIFS(明細!$J$5:$J$363,A19,明細!$D$5:$D$363,"運用")</f>
        <v/>
      </c>
      <c r="M19" s="99">
        <f>IF(K19=0,0,L19/K19)</f>
        <v/>
      </c>
      <c r="N19" s="100">
        <f>SUM($K$6:K19)</f>
        <v/>
      </c>
      <c r="O19" s="98">
        <f>SUM($L$6:L19)</f>
        <v/>
      </c>
      <c r="P19" s="99">
        <f>IF(N19=0,"",O19/N19)</f>
        <v/>
      </c>
      <c r="Q19" s="101">
        <f>IF(A19&gt;$S$2,"予定",IF(N19=0,"－",IF(P19&gt;=1,"完了",IF(O19&gt;=N19,"順調","遅延"))))</f>
        <v/>
      </c>
      <c r="R19" s="97">
        <f>D19+K19</f>
        <v/>
      </c>
      <c r="S19" s="102">
        <f>E19+L19</f>
        <v/>
      </c>
    </row>
    <row r="20">
      <c r="A20" s="94" t="n">
        <v>46019</v>
      </c>
      <c r="B20" s="95">
        <f>CHOOSE(WEEKDAY(A20,2),"月","火","水","木","金","土","日")</f>
        <v/>
      </c>
      <c r="C20" s="96">
        <f>IF(OR(WEEKDAY(A20,2)&gt;=6,COUNTIF(祝日マスタ!$A:$A,A20)&gt;0),"非営業日","営業日")</f>
        <v/>
      </c>
      <c r="D20" s="97">
        <f>COUNTIFS(明細!$F$5:$F$363,A20,明細!$D$5:$D$363,"運用")</f>
        <v/>
      </c>
      <c r="E20" s="98">
        <f>COUNTIFS(明細!$G$5:$G$363,A20,明細!$D$5:$D$363,"運用")</f>
        <v/>
      </c>
      <c r="F20" s="99">
        <f>IF(D20=0,0,E20/D20)</f>
        <v/>
      </c>
      <c r="G20" s="100">
        <f>SUM($D$6:D20)</f>
        <v/>
      </c>
      <c r="H20" s="98">
        <f>SUM($E$6:E20)</f>
        <v/>
      </c>
      <c r="I20" s="99">
        <f>IF(G20=0,"",H20/G20)</f>
        <v/>
      </c>
      <c r="J20" s="101">
        <f>IF(A20&gt;$S$2,"予定",IF(G20=0,"－",IF(I20&gt;=1,"完了",IF(H20&gt;=G20,"順調","遅延"))))</f>
        <v/>
      </c>
      <c r="K20" s="97">
        <f>COUNTIFS(明細!$I$5:$I$363,A20,明細!$D$5:$D$363,"運用")</f>
        <v/>
      </c>
      <c r="L20" s="98">
        <f>COUNTIFS(明細!$J$5:$J$363,A20,明細!$D$5:$D$363,"運用")</f>
        <v/>
      </c>
      <c r="M20" s="99">
        <f>IF(K20=0,0,L20/K20)</f>
        <v/>
      </c>
      <c r="N20" s="100">
        <f>SUM($K$6:K20)</f>
        <v/>
      </c>
      <c r="O20" s="98">
        <f>SUM($L$6:L20)</f>
        <v/>
      </c>
      <c r="P20" s="99">
        <f>IF(N20=0,"",O20/N20)</f>
        <v/>
      </c>
      <c r="Q20" s="101">
        <f>IF(A20&gt;$S$2,"予定",IF(N20=0,"－",IF(P20&gt;=1,"完了",IF(O20&gt;=N20,"順調","遅延"))))</f>
        <v/>
      </c>
      <c r="R20" s="97">
        <f>D20+K20</f>
        <v/>
      </c>
      <c r="S20" s="102">
        <f>E20+L20</f>
        <v/>
      </c>
    </row>
    <row r="21">
      <c r="A21" s="94" t="n">
        <v>46020</v>
      </c>
      <c r="B21" s="95">
        <f>CHOOSE(WEEKDAY(A21,2),"月","火","水","木","金","土","日")</f>
        <v/>
      </c>
      <c r="C21" s="96">
        <f>IF(OR(WEEKDAY(A21,2)&gt;=6,COUNTIF(祝日マスタ!$A:$A,A21)&gt;0),"非営業日","営業日")</f>
        <v/>
      </c>
      <c r="D21" s="97">
        <f>COUNTIFS(明細!$F$5:$F$363,A21,明細!$D$5:$D$363,"運用")</f>
        <v/>
      </c>
      <c r="E21" s="98">
        <f>COUNTIFS(明細!$G$5:$G$363,A21,明細!$D$5:$D$363,"運用")</f>
        <v/>
      </c>
      <c r="F21" s="99">
        <f>IF(D21=0,0,E21/D21)</f>
        <v/>
      </c>
      <c r="G21" s="100">
        <f>SUM($D$6:D21)</f>
        <v/>
      </c>
      <c r="H21" s="98">
        <f>SUM($E$6:E21)</f>
        <v/>
      </c>
      <c r="I21" s="99">
        <f>IF(G21=0,"",H21/G21)</f>
        <v/>
      </c>
      <c r="J21" s="101">
        <f>IF(A21&gt;$S$2,"予定",IF(G21=0,"－",IF(I21&gt;=1,"完了",IF(H21&gt;=G21,"順調","遅延"))))</f>
        <v/>
      </c>
      <c r="K21" s="97">
        <f>COUNTIFS(明細!$I$5:$I$363,A21,明細!$D$5:$D$363,"運用")</f>
        <v/>
      </c>
      <c r="L21" s="98">
        <f>COUNTIFS(明細!$J$5:$J$363,A21,明細!$D$5:$D$363,"運用")</f>
        <v/>
      </c>
      <c r="M21" s="99">
        <f>IF(K21=0,0,L21/K21)</f>
        <v/>
      </c>
      <c r="N21" s="100">
        <f>SUM($K$6:K21)</f>
        <v/>
      </c>
      <c r="O21" s="98">
        <f>SUM($L$6:L21)</f>
        <v/>
      </c>
      <c r="P21" s="99">
        <f>IF(N21=0,"",O21/N21)</f>
        <v/>
      </c>
      <c r="Q21" s="101">
        <f>IF(A21&gt;$S$2,"予定",IF(N21=0,"－",IF(P21&gt;=1,"完了",IF(O21&gt;=N21,"順調","遅延"))))</f>
        <v/>
      </c>
      <c r="R21" s="97">
        <f>D21+K21</f>
        <v/>
      </c>
      <c r="S21" s="102">
        <f>E21+L21</f>
        <v/>
      </c>
    </row>
    <row r="22">
      <c r="A22" s="94" t="n">
        <v>46021</v>
      </c>
      <c r="B22" s="95">
        <f>CHOOSE(WEEKDAY(A22,2),"月","火","水","木","金","土","日")</f>
        <v/>
      </c>
      <c r="C22" s="96">
        <f>IF(OR(WEEKDAY(A22,2)&gt;=6,COUNTIF(祝日マスタ!$A:$A,A22)&gt;0),"非営業日","営業日")</f>
        <v/>
      </c>
      <c r="D22" s="97">
        <f>COUNTIFS(明細!$F$5:$F$363,A22,明細!$D$5:$D$363,"運用")</f>
        <v/>
      </c>
      <c r="E22" s="98">
        <f>COUNTIFS(明細!$G$5:$G$363,A22,明細!$D$5:$D$363,"運用")</f>
        <v/>
      </c>
      <c r="F22" s="99">
        <f>IF(D22=0,0,E22/D22)</f>
        <v/>
      </c>
      <c r="G22" s="100">
        <f>SUM($D$6:D22)</f>
        <v/>
      </c>
      <c r="H22" s="98">
        <f>SUM($E$6:E22)</f>
        <v/>
      </c>
      <c r="I22" s="99">
        <f>IF(G22=0,"",H22/G22)</f>
        <v/>
      </c>
      <c r="J22" s="101">
        <f>IF(A22&gt;$S$2,"予定",IF(G22=0,"－",IF(I22&gt;=1,"完了",IF(H22&gt;=G22,"順調","遅延"))))</f>
        <v/>
      </c>
      <c r="K22" s="97">
        <f>COUNTIFS(明細!$I$5:$I$363,A22,明細!$D$5:$D$363,"運用")</f>
        <v/>
      </c>
      <c r="L22" s="98">
        <f>COUNTIFS(明細!$J$5:$J$363,A22,明細!$D$5:$D$363,"運用")</f>
        <v/>
      </c>
      <c r="M22" s="99">
        <f>IF(K22=0,0,L22/K22)</f>
        <v/>
      </c>
      <c r="N22" s="100">
        <f>SUM($K$6:K22)</f>
        <v/>
      </c>
      <c r="O22" s="98">
        <f>SUM($L$6:L22)</f>
        <v/>
      </c>
      <c r="P22" s="99">
        <f>IF(N22=0,"",O22/N22)</f>
        <v/>
      </c>
      <c r="Q22" s="101">
        <f>IF(A22&gt;$S$2,"予定",IF(N22=0,"－",IF(P22&gt;=1,"完了",IF(O22&gt;=N22,"順調","遅延"))))</f>
        <v/>
      </c>
      <c r="R22" s="97">
        <f>D22+K22</f>
        <v/>
      </c>
      <c r="S22" s="102">
        <f>E22+L22</f>
        <v/>
      </c>
    </row>
    <row r="23">
      <c r="A23" s="94" t="n">
        <v>46022</v>
      </c>
      <c r="B23" s="95">
        <f>CHOOSE(WEEKDAY(A23,2),"月","火","水","木","金","土","日")</f>
        <v/>
      </c>
      <c r="C23" s="96">
        <f>IF(OR(WEEKDAY(A23,2)&gt;=6,COUNTIF(祝日マスタ!$A:$A,A23)&gt;0),"非営業日","営業日")</f>
        <v/>
      </c>
      <c r="D23" s="97">
        <f>COUNTIFS(明細!$F$5:$F$363,A23,明細!$D$5:$D$363,"運用")</f>
        <v/>
      </c>
      <c r="E23" s="98">
        <f>COUNTIFS(明細!$G$5:$G$363,A23,明細!$D$5:$D$363,"運用")</f>
        <v/>
      </c>
      <c r="F23" s="99">
        <f>IF(D23=0,0,E23/D23)</f>
        <v/>
      </c>
      <c r="G23" s="100">
        <f>SUM($D$6:D23)</f>
        <v/>
      </c>
      <c r="H23" s="98">
        <f>SUM($E$6:E23)</f>
        <v/>
      </c>
      <c r="I23" s="99">
        <f>IF(G23=0,"",H23/G23)</f>
        <v/>
      </c>
      <c r="J23" s="101">
        <f>IF(A23&gt;$S$2,"予定",IF(G23=0,"－",IF(I23&gt;=1,"完了",IF(H23&gt;=G23,"順調","遅延"))))</f>
        <v/>
      </c>
      <c r="K23" s="97">
        <f>COUNTIFS(明細!$I$5:$I$363,A23,明細!$D$5:$D$363,"運用")</f>
        <v/>
      </c>
      <c r="L23" s="98">
        <f>COUNTIFS(明細!$J$5:$J$363,A23,明細!$D$5:$D$363,"運用")</f>
        <v/>
      </c>
      <c r="M23" s="99">
        <f>IF(K23=0,0,L23/K23)</f>
        <v/>
      </c>
      <c r="N23" s="100">
        <f>SUM($K$6:K23)</f>
        <v/>
      </c>
      <c r="O23" s="98">
        <f>SUM($L$6:L23)</f>
        <v/>
      </c>
      <c r="P23" s="99">
        <f>IF(N23=0,"",O23/N23)</f>
        <v/>
      </c>
      <c r="Q23" s="101">
        <f>IF(A23&gt;$S$2,"予定",IF(N23=0,"－",IF(P23&gt;=1,"完了",IF(O23&gt;=N23,"順調","遅延"))))</f>
        <v/>
      </c>
      <c r="R23" s="97">
        <f>D23+K23</f>
        <v/>
      </c>
      <c r="S23" s="102">
        <f>E23+L23</f>
        <v/>
      </c>
    </row>
    <row r="24">
      <c r="A24" s="94" t="n">
        <v>46023</v>
      </c>
      <c r="B24" s="95">
        <f>CHOOSE(WEEKDAY(A24,2),"月","火","水","木","金","土","日")</f>
        <v/>
      </c>
      <c r="C24" s="96">
        <f>IF(OR(WEEKDAY(A24,2)&gt;=6,COUNTIF(祝日マスタ!$A:$A,A24)&gt;0),"非営業日","営業日")</f>
        <v/>
      </c>
      <c r="D24" s="97">
        <f>COUNTIFS(明細!$F$5:$F$363,A24,明細!$D$5:$D$363,"運用")</f>
        <v/>
      </c>
      <c r="E24" s="98">
        <f>COUNTIFS(明細!$G$5:$G$363,A24,明細!$D$5:$D$363,"運用")</f>
        <v/>
      </c>
      <c r="F24" s="99">
        <f>IF(D24=0,0,E24/D24)</f>
        <v/>
      </c>
      <c r="G24" s="100">
        <f>SUM($D$6:D24)</f>
        <v/>
      </c>
      <c r="H24" s="98">
        <f>SUM($E$6:E24)</f>
        <v/>
      </c>
      <c r="I24" s="99">
        <f>IF(G24=0,"",H24/G24)</f>
        <v/>
      </c>
      <c r="J24" s="101">
        <f>IF(A24&gt;$S$2,"予定",IF(G24=0,"－",IF(I24&gt;=1,"完了",IF(H24&gt;=G24,"順調","遅延"))))</f>
        <v/>
      </c>
      <c r="K24" s="97">
        <f>COUNTIFS(明細!$I$5:$I$363,A24,明細!$D$5:$D$363,"運用")</f>
        <v/>
      </c>
      <c r="L24" s="98">
        <f>COUNTIFS(明細!$J$5:$J$363,A24,明細!$D$5:$D$363,"運用")</f>
        <v/>
      </c>
      <c r="M24" s="99">
        <f>IF(K24=0,0,L24/K24)</f>
        <v/>
      </c>
      <c r="N24" s="100">
        <f>SUM($K$6:K24)</f>
        <v/>
      </c>
      <c r="O24" s="98">
        <f>SUM($L$6:L24)</f>
        <v/>
      </c>
      <c r="P24" s="99">
        <f>IF(N24=0,"",O24/N24)</f>
        <v/>
      </c>
      <c r="Q24" s="101">
        <f>IF(A24&gt;$S$2,"予定",IF(N24=0,"－",IF(P24&gt;=1,"完了",IF(O24&gt;=N24,"順調","遅延"))))</f>
        <v/>
      </c>
      <c r="R24" s="97">
        <f>D24+K24</f>
        <v/>
      </c>
      <c r="S24" s="102">
        <f>E24+L24</f>
        <v/>
      </c>
    </row>
    <row r="25">
      <c r="A25" s="94" t="n">
        <v>46024</v>
      </c>
      <c r="B25" s="95">
        <f>CHOOSE(WEEKDAY(A25,2),"月","火","水","木","金","土","日")</f>
        <v/>
      </c>
      <c r="C25" s="96">
        <f>IF(OR(WEEKDAY(A25,2)&gt;=6,COUNTIF(祝日マスタ!$A:$A,A25)&gt;0),"非営業日","営業日")</f>
        <v/>
      </c>
      <c r="D25" s="97">
        <f>COUNTIFS(明細!$F$5:$F$363,A25,明細!$D$5:$D$363,"運用")</f>
        <v/>
      </c>
      <c r="E25" s="98">
        <f>COUNTIFS(明細!$G$5:$G$363,A25,明細!$D$5:$D$363,"運用")</f>
        <v/>
      </c>
      <c r="F25" s="99">
        <f>IF(D25=0,0,E25/D25)</f>
        <v/>
      </c>
      <c r="G25" s="100">
        <f>SUM($D$6:D25)</f>
        <v/>
      </c>
      <c r="H25" s="98">
        <f>SUM($E$6:E25)</f>
        <v/>
      </c>
      <c r="I25" s="99">
        <f>IF(G25=0,"",H25/G25)</f>
        <v/>
      </c>
      <c r="J25" s="101">
        <f>IF(A25&gt;$S$2,"予定",IF(G25=0,"－",IF(I25&gt;=1,"完了",IF(H25&gt;=G25,"順調","遅延"))))</f>
        <v/>
      </c>
      <c r="K25" s="97">
        <f>COUNTIFS(明細!$I$5:$I$363,A25,明細!$D$5:$D$363,"運用")</f>
        <v/>
      </c>
      <c r="L25" s="98">
        <f>COUNTIFS(明細!$J$5:$J$363,A25,明細!$D$5:$D$363,"運用")</f>
        <v/>
      </c>
      <c r="M25" s="99">
        <f>IF(K25=0,0,L25/K25)</f>
        <v/>
      </c>
      <c r="N25" s="100">
        <f>SUM($K$6:K25)</f>
        <v/>
      </c>
      <c r="O25" s="98">
        <f>SUM($L$6:L25)</f>
        <v/>
      </c>
      <c r="P25" s="99">
        <f>IF(N25=0,"",O25/N25)</f>
        <v/>
      </c>
      <c r="Q25" s="101">
        <f>IF(A25&gt;$S$2,"予定",IF(N25=0,"－",IF(P25&gt;=1,"完了",IF(O25&gt;=N25,"順調","遅延"))))</f>
        <v/>
      </c>
      <c r="R25" s="97">
        <f>D25+K25</f>
        <v/>
      </c>
      <c r="S25" s="102">
        <f>E25+L25</f>
        <v/>
      </c>
    </row>
    <row r="26">
      <c r="A26" s="94" t="n">
        <v>46025</v>
      </c>
      <c r="B26" s="95">
        <f>CHOOSE(WEEKDAY(A26,2),"月","火","水","木","金","土","日")</f>
        <v/>
      </c>
      <c r="C26" s="96">
        <f>IF(OR(WEEKDAY(A26,2)&gt;=6,COUNTIF(祝日マスタ!$A:$A,A26)&gt;0),"非営業日","営業日")</f>
        <v/>
      </c>
      <c r="D26" s="97">
        <f>COUNTIFS(明細!$F$5:$F$363,A26,明細!$D$5:$D$363,"運用")</f>
        <v/>
      </c>
      <c r="E26" s="98">
        <f>COUNTIFS(明細!$G$5:$G$363,A26,明細!$D$5:$D$363,"運用")</f>
        <v/>
      </c>
      <c r="F26" s="99">
        <f>IF(D26=0,0,E26/D26)</f>
        <v/>
      </c>
      <c r="G26" s="100">
        <f>SUM($D$6:D26)</f>
        <v/>
      </c>
      <c r="H26" s="98">
        <f>SUM($E$6:E26)</f>
        <v/>
      </c>
      <c r="I26" s="99">
        <f>IF(G26=0,"",H26/G26)</f>
        <v/>
      </c>
      <c r="J26" s="101">
        <f>IF(A26&gt;$S$2,"予定",IF(G26=0,"－",IF(I26&gt;=1,"完了",IF(H26&gt;=G26,"順調","遅延"))))</f>
        <v/>
      </c>
      <c r="K26" s="97">
        <f>COUNTIFS(明細!$I$5:$I$363,A26,明細!$D$5:$D$363,"運用")</f>
        <v/>
      </c>
      <c r="L26" s="98">
        <f>COUNTIFS(明細!$J$5:$J$363,A26,明細!$D$5:$D$363,"運用")</f>
        <v/>
      </c>
      <c r="M26" s="99">
        <f>IF(K26=0,0,L26/K26)</f>
        <v/>
      </c>
      <c r="N26" s="100">
        <f>SUM($K$6:K26)</f>
        <v/>
      </c>
      <c r="O26" s="98">
        <f>SUM($L$6:L26)</f>
        <v/>
      </c>
      <c r="P26" s="99">
        <f>IF(N26=0,"",O26/N26)</f>
        <v/>
      </c>
      <c r="Q26" s="101">
        <f>IF(A26&gt;$S$2,"予定",IF(N26=0,"－",IF(P26&gt;=1,"完了",IF(O26&gt;=N26,"順調","遅延"))))</f>
        <v/>
      </c>
      <c r="R26" s="97">
        <f>D26+K26</f>
        <v/>
      </c>
      <c r="S26" s="102">
        <f>E26+L26</f>
        <v/>
      </c>
    </row>
    <row r="27">
      <c r="A27" s="94" t="n">
        <v>46026</v>
      </c>
      <c r="B27" s="95">
        <f>CHOOSE(WEEKDAY(A27,2),"月","火","水","木","金","土","日")</f>
        <v/>
      </c>
      <c r="C27" s="96">
        <f>IF(OR(WEEKDAY(A27,2)&gt;=6,COUNTIF(祝日マスタ!$A:$A,A27)&gt;0),"非営業日","営業日")</f>
        <v/>
      </c>
      <c r="D27" s="97">
        <f>COUNTIFS(明細!$F$5:$F$363,A27,明細!$D$5:$D$363,"運用")</f>
        <v/>
      </c>
      <c r="E27" s="98">
        <f>COUNTIFS(明細!$G$5:$G$363,A27,明細!$D$5:$D$363,"運用")</f>
        <v/>
      </c>
      <c r="F27" s="99">
        <f>IF(D27=0,0,E27/D27)</f>
        <v/>
      </c>
      <c r="G27" s="100">
        <f>SUM($D$6:D27)</f>
        <v/>
      </c>
      <c r="H27" s="98">
        <f>SUM($E$6:E27)</f>
        <v/>
      </c>
      <c r="I27" s="99">
        <f>IF(G27=0,"",H27/G27)</f>
        <v/>
      </c>
      <c r="J27" s="101">
        <f>IF(A27&gt;$S$2,"予定",IF(G27=0,"－",IF(I27&gt;=1,"完了",IF(H27&gt;=G27,"順調","遅延"))))</f>
        <v/>
      </c>
      <c r="K27" s="97">
        <f>COUNTIFS(明細!$I$5:$I$363,A27,明細!$D$5:$D$363,"運用")</f>
        <v/>
      </c>
      <c r="L27" s="98">
        <f>COUNTIFS(明細!$J$5:$J$363,A27,明細!$D$5:$D$363,"運用")</f>
        <v/>
      </c>
      <c r="M27" s="99">
        <f>IF(K27=0,0,L27/K27)</f>
        <v/>
      </c>
      <c r="N27" s="100">
        <f>SUM($K$6:K27)</f>
        <v/>
      </c>
      <c r="O27" s="98">
        <f>SUM($L$6:L27)</f>
        <v/>
      </c>
      <c r="P27" s="99">
        <f>IF(N27=0,"",O27/N27)</f>
        <v/>
      </c>
      <c r="Q27" s="101">
        <f>IF(A27&gt;$S$2,"予定",IF(N27=0,"－",IF(P27&gt;=1,"完了",IF(O27&gt;=N27,"順調","遅延"))))</f>
        <v/>
      </c>
      <c r="R27" s="97">
        <f>D27+K27</f>
        <v/>
      </c>
      <c r="S27" s="102">
        <f>E27+L27</f>
        <v/>
      </c>
    </row>
    <row r="28">
      <c r="A28" s="94" t="n">
        <v>46027</v>
      </c>
      <c r="B28" s="95">
        <f>CHOOSE(WEEKDAY(A28,2),"月","火","水","木","金","土","日")</f>
        <v/>
      </c>
      <c r="C28" s="96">
        <f>IF(OR(WEEKDAY(A28,2)&gt;=6,COUNTIF(祝日マスタ!$A:$A,A28)&gt;0),"非営業日","営業日")</f>
        <v/>
      </c>
      <c r="D28" s="97">
        <f>COUNTIFS(明細!$F$5:$F$363,A28,明細!$D$5:$D$363,"運用")</f>
        <v/>
      </c>
      <c r="E28" s="98">
        <f>COUNTIFS(明細!$G$5:$G$363,A28,明細!$D$5:$D$363,"運用")</f>
        <v/>
      </c>
      <c r="F28" s="99">
        <f>IF(D28=0,0,E28/D28)</f>
        <v/>
      </c>
      <c r="G28" s="100">
        <f>SUM($D$6:D28)</f>
        <v/>
      </c>
      <c r="H28" s="98">
        <f>SUM($E$6:E28)</f>
        <v/>
      </c>
      <c r="I28" s="99">
        <f>IF(G28=0,"",H28/G28)</f>
        <v/>
      </c>
      <c r="J28" s="101">
        <f>IF(A28&gt;$S$2,"予定",IF(G28=0,"－",IF(I28&gt;=1,"完了",IF(H28&gt;=G28,"順調","遅延"))))</f>
        <v/>
      </c>
      <c r="K28" s="97">
        <f>COUNTIFS(明細!$I$5:$I$363,A28,明細!$D$5:$D$363,"運用")</f>
        <v/>
      </c>
      <c r="L28" s="98">
        <f>COUNTIFS(明細!$J$5:$J$363,A28,明細!$D$5:$D$363,"運用")</f>
        <v/>
      </c>
      <c r="M28" s="99">
        <f>IF(K28=0,0,L28/K28)</f>
        <v/>
      </c>
      <c r="N28" s="100">
        <f>SUM($K$6:K28)</f>
        <v/>
      </c>
      <c r="O28" s="98">
        <f>SUM($L$6:L28)</f>
        <v/>
      </c>
      <c r="P28" s="99">
        <f>IF(N28=0,"",O28/N28)</f>
        <v/>
      </c>
      <c r="Q28" s="101">
        <f>IF(A28&gt;$S$2,"予定",IF(N28=0,"－",IF(P28&gt;=1,"完了",IF(O28&gt;=N28,"順調","遅延"))))</f>
        <v/>
      </c>
      <c r="R28" s="97">
        <f>D28+K28</f>
        <v/>
      </c>
      <c r="S28" s="102">
        <f>E28+L28</f>
        <v/>
      </c>
    </row>
    <row r="29">
      <c r="A29" s="94" t="n">
        <v>46028</v>
      </c>
      <c r="B29" s="95">
        <f>CHOOSE(WEEKDAY(A29,2),"月","火","水","木","金","土","日")</f>
        <v/>
      </c>
      <c r="C29" s="96">
        <f>IF(OR(WEEKDAY(A29,2)&gt;=6,COUNTIF(祝日マスタ!$A:$A,A29)&gt;0),"非営業日","営業日")</f>
        <v/>
      </c>
      <c r="D29" s="97">
        <f>COUNTIFS(明細!$F$5:$F$363,A29,明細!$D$5:$D$363,"運用")</f>
        <v/>
      </c>
      <c r="E29" s="98">
        <f>COUNTIFS(明細!$G$5:$G$363,A29,明細!$D$5:$D$363,"運用")</f>
        <v/>
      </c>
      <c r="F29" s="99">
        <f>IF(D29=0,0,E29/D29)</f>
        <v/>
      </c>
      <c r="G29" s="100">
        <f>SUM($D$6:D29)</f>
        <v/>
      </c>
      <c r="H29" s="98">
        <f>SUM($E$6:E29)</f>
        <v/>
      </c>
      <c r="I29" s="99">
        <f>IF(G29=0,"",H29/G29)</f>
        <v/>
      </c>
      <c r="J29" s="101">
        <f>IF(A29&gt;$S$2,"予定",IF(G29=0,"－",IF(I29&gt;=1,"完了",IF(H29&gt;=G29,"順調","遅延"))))</f>
        <v/>
      </c>
      <c r="K29" s="97">
        <f>COUNTIFS(明細!$I$5:$I$363,A29,明細!$D$5:$D$363,"運用")</f>
        <v/>
      </c>
      <c r="L29" s="98">
        <f>COUNTIFS(明細!$J$5:$J$363,A29,明細!$D$5:$D$363,"運用")</f>
        <v/>
      </c>
      <c r="M29" s="99">
        <f>IF(K29=0,0,L29/K29)</f>
        <v/>
      </c>
      <c r="N29" s="100">
        <f>SUM($K$6:K29)</f>
        <v/>
      </c>
      <c r="O29" s="98">
        <f>SUM($L$6:L29)</f>
        <v/>
      </c>
      <c r="P29" s="99">
        <f>IF(N29=0,"",O29/N29)</f>
        <v/>
      </c>
      <c r="Q29" s="101">
        <f>IF(A29&gt;$S$2,"予定",IF(N29=0,"－",IF(P29&gt;=1,"完了",IF(O29&gt;=N29,"順調","遅延"))))</f>
        <v/>
      </c>
      <c r="R29" s="97">
        <f>D29+K29</f>
        <v/>
      </c>
      <c r="S29" s="102">
        <f>E29+L29</f>
        <v/>
      </c>
    </row>
    <row r="30">
      <c r="A30" s="94" t="n">
        <v>46029</v>
      </c>
      <c r="B30" s="95">
        <f>CHOOSE(WEEKDAY(A30,2),"月","火","水","木","金","土","日")</f>
        <v/>
      </c>
      <c r="C30" s="96">
        <f>IF(OR(WEEKDAY(A30,2)&gt;=6,COUNTIF(祝日マスタ!$A:$A,A30)&gt;0),"非営業日","営業日")</f>
        <v/>
      </c>
      <c r="D30" s="97">
        <f>COUNTIFS(明細!$F$5:$F$363,A30,明細!$D$5:$D$363,"運用")</f>
        <v/>
      </c>
      <c r="E30" s="98">
        <f>COUNTIFS(明細!$G$5:$G$363,A30,明細!$D$5:$D$363,"運用")</f>
        <v/>
      </c>
      <c r="F30" s="99">
        <f>IF(D30=0,0,E30/D30)</f>
        <v/>
      </c>
      <c r="G30" s="100">
        <f>SUM($D$6:D30)</f>
        <v/>
      </c>
      <c r="H30" s="98">
        <f>SUM($E$6:E30)</f>
        <v/>
      </c>
      <c r="I30" s="99">
        <f>IF(G30=0,"",H30/G30)</f>
        <v/>
      </c>
      <c r="J30" s="101">
        <f>IF(A30&gt;$S$2,"予定",IF(G30=0,"－",IF(I30&gt;=1,"完了",IF(H30&gt;=G30,"順調","遅延"))))</f>
        <v/>
      </c>
      <c r="K30" s="97">
        <f>COUNTIFS(明細!$I$5:$I$363,A30,明細!$D$5:$D$363,"運用")</f>
        <v/>
      </c>
      <c r="L30" s="98">
        <f>COUNTIFS(明細!$J$5:$J$363,A30,明細!$D$5:$D$363,"運用")</f>
        <v/>
      </c>
      <c r="M30" s="99">
        <f>IF(K30=0,0,L30/K30)</f>
        <v/>
      </c>
      <c r="N30" s="100">
        <f>SUM($K$6:K30)</f>
        <v/>
      </c>
      <c r="O30" s="98">
        <f>SUM($L$6:L30)</f>
        <v/>
      </c>
      <c r="P30" s="99">
        <f>IF(N30=0,"",O30/N30)</f>
        <v/>
      </c>
      <c r="Q30" s="101">
        <f>IF(A30&gt;$S$2,"予定",IF(N30=0,"－",IF(P30&gt;=1,"完了",IF(O30&gt;=N30,"順調","遅延"))))</f>
        <v/>
      </c>
      <c r="R30" s="97">
        <f>D30+K30</f>
        <v/>
      </c>
      <c r="S30" s="102">
        <f>E30+L30</f>
        <v/>
      </c>
    </row>
    <row r="31">
      <c r="A31" s="94" t="n">
        <v>46030</v>
      </c>
      <c r="B31" s="95">
        <f>CHOOSE(WEEKDAY(A31,2),"月","火","水","木","金","土","日")</f>
        <v/>
      </c>
      <c r="C31" s="96">
        <f>IF(OR(WEEKDAY(A31,2)&gt;=6,COUNTIF(祝日マスタ!$A:$A,A31)&gt;0),"非営業日","営業日")</f>
        <v/>
      </c>
      <c r="D31" s="97">
        <f>COUNTIFS(明細!$F$5:$F$363,A31,明細!$D$5:$D$363,"運用")</f>
        <v/>
      </c>
      <c r="E31" s="98">
        <f>COUNTIFS(明細!$G$5:$G$363,A31,明細!$D$5:$D$363,"運用")</f>
        <v/>
      </c>
      <c r="F31" s="99">
        <f>IF(D31=0,0,E31/D31)</f>
        <v/>
      </c>
      <c r="G31" s="100">
        <f>SUM($D$6:D31)</f>
        <v/>
      </c>
      <c r="H31" s="98">
        <f>SUM($E$6:E31)</f>
        <v/>
      </c>
      <c r="I31" s="99">
        <f>IF(G31=0,"",H31/G31)</f>
        <v/>
      </c>
      <c r="J31" s="101">
        <f>IF(A31&gt;$S$2,"予定",IF(G31=0,"－",IF(I31&gt;=1,"完了",IF(H31&gt;=G31,"順調","遅延"))))</f>
        <v/>
      </c>
      <c r="K31" s="97">
        <f>COUNTIFS(明細!$I$5:$I$363,A31,明細!$D$5:$D$363,"運用")</f>
        <v/>
      </c>
      <c r="L31" s="98">
        <f>COUNTIFS(明細!$J$5:$J$363,A31,明細!$D$5:$D$363,"運用")</f>
        <v/>
      </c>
      <c r="M31" s="99">
        <f>IF(K31=0,0,L31/K31)</f>
        <v/>
      </c>
      <c r="N31" s="100">
        <f>SUM($K$6:K31)</f>
        <v/>
      </c>
      <c r="O31" s="98">
        <f>SUM($L$6:L31)</f>
        <v/>
      </c>
      <c r="P31" s="99">
        <f>IF(N31=0,"",O31/N31)</f>
        <v/>
      </c>
      <c r="Q31" s="101">
        <f>IF(A31&gt;$S$2,"予定",IF(N31=0,"－",IF(P31&gt;=1,"完了",IF(O31&gt;=N31,"順調","遅延"))))</f>
        <v/>
      </c>
      <c r="R31" s="97">
        <f>D31+K31</f>
        <v/>
      </c>
      <c r="S31" s="102">
        <f>E31+L31</f>
        <v/>
      </c>
    </row>
    <row r="32">
      <c r="A32" s="94" t="n">
        <v>46031</v>
      </c>
      <c r="B32" s="95">
        <f>CHOOSE(WEEKDAY(A32,2),"月","火","水","木","金","土","日")</f>
        <v/>
      </c>
      <c r="C32" s="96">
        <f>IF(OR(WEEKDAY(A32,2)&gt;=6,COUNTIF(祝日マスタ!$A:$A,A32)&gt;0),"非営業日","営業日")</f>
        <v/>
      </c>
      <c r="D32" s="97">
        <f>COUNTIFS(明細!$F$5:$F$363,A32,明細!$D$5:$D$363,"運用")</f>
        <v/>
      </c>
      <c r="E32" s="98">
        <f>COUNTIFS(明細!$G$5:$G$363,A32,明細!$D$5:$D$363,"運用")</f>
        <v/>
      </c>
      <c r="F32" s="99">
        <f>IF(D32=0,0,E32/D32)</f>
        <v/>
      </c>
      <c r="G32" s="100">
        <f>SUM($D$6:D32)</f>
        <v/>
      </c>
      <c r="H32" s="98">
        <f>SUM($E$6:E32)</f>
        <v/>
      </c>
      <c r="I32" s="99">
        <f>IF(G32=0,"",H32/G32)</f>
        <v/>
      </c>
      <c r="J32" s="101">
        <f>IF(A32&gt;$S$2,"予定",IF(G32=0,"－",IF(I32&gt;=1,"完了",IF(H32&gt;=G32,"順調","遅延"))))</f>
        <v/>
      </c>
      <c r="K32" s="97">
        <f>COUNTIFS(明細!$I$5:$I$363,A32,明細!$D$5:$D$363,"運用")</f>
        <v/>
      </c>
      <c r="L32" s="98">
        <f>COUNTIFS(明細!$J$5:$J$363,A32,明細!$D$5:$D$363,"運用")</f>
        <v/>
      </c>
      <c r="M32" s="99">
        <f>IF(K32=0,0,L32/K32)</f>
        <v/>
      </c>
      <c r="N32" s="100">
        <f>SUM($K$6:K32)</f>
        <v/>
      </c>
      <c r="O32" s="98">
        <f>SUM($L$6:L32)</f>
        <v/>
      </c>
      <c r="P32" s="99">
        <f>IF(N32=0,"",O32/N32)</f>
        <v/>
      </c>
      <c r="Q32" s="101">
        <f>IF(A32&gt;$S$2,"予定",IF(N32=0,"－",IF(P32&gt;=1,"完了",IF(O32&gt;=N32,"順調","遅延"))))</f>
        <v/>
      </c>
      <c r="R32" s="97">
        <f>D32+K32</f>
        <v/>
      </c>
      <c r="S32" s="102">
        <f>E32+L32</f>
        <v/>
      </c>
    </row>
    <row r="33">
      <c r="A33" s="94" t="n">
        <v>46032</v>
      </c>
      <c r="B33" s="95">
        <f>CHOOSE(WEEKDAY(A33,2),"月","火","水","木","金","土","日")</f>
        <v/>
      </c>
      <c r="C33" s="96">
        <f>IF(OR(WEEKDAY(A33,2)&gt;=6,COUNTIF(祝日マスタ!$A:$A,A33)&gt;0),"非営業日","営業日")</f>
        <v/>
      </c>
      <c r="D33" s="97">
        <f>COUNTIFS(明細!$F$5:$F$363,A33,明細!$D$5:$D$363,"運用")</f>
        <v/>
      </c>
      <c r="E33" s="98">
        <f>COUNTIFS(明細!$G$5:$G$363,A33,明細!$D$5:$D$363,"運用")</f>
        <v/>
      </c>
      <c r="F33" s="99">
        <f>IF(D33=0,0,E33/D33)</f>
        <v/>
      </c>
      <c r="G33" s="100">
        <f>SUM($D$6:D33)</f>
        <v/>
      </c>
      <c r="H33" s="98">
        <f>SUM($E$6:E33)</f>
        <v/>
      </c>
      <c r="I33" s="99">
        <f>IF(G33=0,"",H33/G33)</f>
        <v/>
      </c>
      <c r="J33" s="101">
        <f>IF(A33&gt;$S$2,"予定",IF(G33=0,"－",IF(I33&gt;=1,"完了",IF(H33&gt;=G33,"順調","遅延"))))</f>
        <v/>
      </c>
      <c r="K33" s="97">
        <f>COUNTIFS(明細!$I$5:$I$363,A33,明細!$D$5:$D$363,"運用")</f>
        <v/>
      </c>
      <c r="L33" s="98">
        <f>COUNTIFS(明細!$J$5:$J$363,A33,明細!$D$5:$D$363,"運用")</f>
        <v/>
      </c>
      <c r="M33" s="99">
        <f>IF(K33=0,0,L33/K33)</f>
        <v/>
      </c>
      <c r="N33" s="100">
        <f>SUM($K$6:K33)</f>
        <v/>
      </c>
      <c r="O33" s="98">
        <f>SUM($L$6:L33)</f>
        <v/>
      </c>
      <c r="P33" s="99">
        <f>IF(N33=0,"",O33/N33)</f>
        <v/>
      </c>
      <c r="Q33" s="101">
        <f>IF(A33&gt;$S$2,"予定",IF(N33=0,"－",IF(P33&gt;=1,"完了",IF(O33&gt;=N33,"順調","遅延"))))</f>
        <v/>
      </c>
      <c r="R33" s="97">
        <f>D33+K33</f>
        <v/>
      </c>
      <c r="S33" s="102">
        <f>E33+L33</f>
        <v/>
      </c>
    </row>
    <row r="34">
      <c r="A34" s="94" t="n">
        <v>46033</v>
      </c>
      <c r="B34" s="95">
        <f>CHOOSE(WEEKDAY(A34,2),"月","火","水","木","金","土","日")</f>
        <v/>
      </c>
      <c r="C34" s="96">
        <f>IF(OR(WEEKDAY(A34,2)&gt;=6,COUNTIF(祝日マスタ!$A:$A,A34)&gt;0),"非営業日","営業日")</f>
        <v/>
      </c>
      <c r="D34" s="97">
        <f>COUNTIFS(明細!$F$5:$F$363,A34,明細!$D$5:$D$363,"運用")</f>
        <v/>
      </c>
      <c r="E34" s="98">
        <f>COUNTIFS(明細!$G$5:$G$363,A34,明細!$D$5:$D$363,"運用")</f>
        <v/>
      </c>
      <c r="F34" s="99">
        <f>IF(D34=0,0,E34/D34)</f>
        <v/>
      </c>
      <c r="G34" s="100">
        <f>SUM($D$6:D34)</f>
        <v/>
      </c>
      <c r="H34" s="98">
        <f>SUM($E$6:E34)</f>
        <v/>
      </c>
      <c r="I34" s="99">
        <f>IF(G34=0,"",H34/G34)</f>
        <v/>
      </c>
      <c r="J34" s="101">
        <f>IF(A34&gt;$S$2,"予定",IF(G34=0,"－",IF(I34&gt;=1,"完了",IF(H34&gt;=G34,"順調","遅延"))))</f>
        <v/>
      </c>
      <c r="K34" s="97">
        <f>COUNTIFS(明細!$I$5:$I$363,A34,明細!$D$5:$D$363,"運用")</f>
        <v/>
      </c>
      <c r="L34" s="98">
        <f>COUNTIFS(明細!$J$5:$J$363,A34,明細!$D$5:$D$363,"運用")</f>
        <v/>
      </c>
      <c r="M34" s="99">
        <f>IF(K34=0,0,L34/K34)</f>
        <v/>
      </c>
      <c r="N34" s="100">
        <f>SUM($K$6:K34)</f>
        <v/>
      </c>
      <c r="O34" s="98">
        <f>SUM($L$6:L34)</f>
        <v/>
      </c>
      <c r="P34" s="99">
        <f>IF(N34=0,"",O34/N34)</f>
        <v/>
      </c>
      <c r="Q34" s="101">
        <f>IF(A34&gt;$S$2,"予定",IF(N34=0,"－",IF(P34&gt;=1,"完了",IF(O34&gt;=N34,"順調","遅延"))))</f>
        <v/>
      </c>
      <c r="R34" s="97">
        <f>D34+K34</f>
        <v/>
      </c>
      <c r="S34" s="102">
        <f>E34+L34</f>
        <v/>
      </c>
    </row>
    <row r="35">
      <c r="A35" s="94" t="n">
        <v>46034</v>
      </c>
      <c r="B35" s="95">
        <f>CHOOSE(WEEKDAY(A35,2),"月","火","水","木","金","土","日")</f>
        <v/>
      </c>
      <c r="C35" s="96">
        <f>IF(OR(WEEKDAY(A35,2)&gt;=6,COUNTIF(祝日マスタ!$A:$A,A35)&gt;0),"非営業日","営業日")</f>
        <v/>
      </c>
      <c r="D35" s="97">
        <f>COUNTIFS(明細!$F$5:$F$363,A35,明細!$D$5:$D$363,"運用")</f>
        <v/>
      </c>
      <c r="E35" s="98">
        <f>COUNTIFS(明細!$G$5:$G$363,A35,明細!$D$5:$D$363,"運用")</f>
        <v/>
      </c>
      <c r="F35" s="99">
        <f>IF(D35=0,0,E35/D35)</f>
        <v/>
      </c>
      <c r="G35" s="100">
        <f>SUM($D$6:D35)</f>
        <v/>
      </c>
      <c r="H35" s="98">
        <f>SUM($E$6:E35)</f>
        <v/>
      </c>
      <c r="I35" s="99">
        <f>IF(G35=0,"",H35/G35)</f>
        <v/>
      </c>
      <c r="J35" s="101">
        <f>IF(A35&gt;$S$2,"予定",IF(G35=0,"－",IF(I35&gt;=1,"完了",IF(H35&gt;=G35,"順調","遅延"))))</f>
        <v/>
      </c>
      <c r="K35" s="97">
        <f>COUNTIFS(明細!$I$5:$I$363,A35,明細!$D$5:$D$363,"運用")</f>
        <v/>
      </c>
      <c r="L35" s="98">
        <f>COUNTIFS(明細!$J$5:$J$363,A35,明細!$D$5:$D$363,"運用")</f>
        <v/>
      </c>
      <c r="M35" s="99">
        <f>IF(K35=0,0,L35/K35)</f>
        <v/>
      </c>
      <c r="N35" s="100">
        <f>SUM($K$6:K35)</f>
        <v/>
      </c>
      <c r="O35" s="98">
        <f>SUM($L$6:L35)</f>
        <v/>
      </c>
      <c r="P35" s="99">
        <f>IF(N35=0,"",O35/N35)</f>
        <v/>
      </c>
      <c r="Q35" s="101">
        <f>IF(A35&gt;$S$2,"予定",IF(N35=0,"－",IF(P35&gt;=1,"完了",IF(O35&gt;=N35,"順調","遅延"))))</f>
        <v/>
      </c>
      <c r="R35" s="97">
        <f>D35+K35</f>
        <v/>
      </c>
      <c r="S35" s="102">
        <f>E35+L35</f>
        <v/>
      </c>
    </row>
    <row r="36">
      <c r="A36" s="94" t="n">
        <v>46035</v>
      </c>
      <c r="B36" s="95">
        <f>CHOOSE(WEEKDAY(A36,2),"月","火","水","木","金","土","日")</f>
        <v/>
      </c>
      <c r="C36" s="96">
        <f>IF(OR(WEEKDAY(A36,2)&gt;=6,COUNTIF(祝日マスタ!$A:$A,A36)&gt;0),"非営業日","営業日")</f>
        <v/>
      </c>
      <c r="D36" s="97">
        <f>COUNTIFS(明細!$F$5:$F$363,A36,明細!$D$5:$D$363,"運用")</f>
        <v/>
      </c>
      <c r="E36" s="98">
        <f>COUNTIFS(明細!$G$5:$G$363,A36,明細!$D$5:$D$363,"運用")</f>
        <v/>
      </c>
      <c r="F36" s="99">
        <f>IF(D36=0,0,E36/D36)</f>
        <v/>
      </c>
      <c r="G36" s="100">
        <f>SUM($D$6:D36)</f>
        <v/>
      </c>
      <c r="H36" s="98">
        <f>SUM($E$6:E36)</f>
        <v/>
      </c>
      <c r="I36" s="99">
        <f>IF(G36=0,"",H36/G36)</f>
        <v/>
      </c>
      <c r="J36" s="101">
        <f>IF(A36&gt;$S$2,"予定",IF(G36=0,"－",IF(I36&gt;=1,"完了",IF(H36&gt;=G36,"順調","遅延"))))</f>
        <v/>
      </c>
      <c r="K36" s="97">
        <f>COUNTIFS(明細!$I$5:$I$363,A36,明細!$D$5:$D$363,"運用")</f>
        <v/>
      </c>
      <c r="L36" s="98">
        <f>COUNTIFS(明細!$J$5:$J$363,A36,明細!$D$5:$D$363,"運用")</f>
        <v/>
      </c>
      <c r="M36" s="99">
        <f>IF(K36=0,0,L36/K36)</f>
        <v/>
      </c>
      <c r="N36" s="100">
        <f>SUM($K$6:K36)</f>
        <v/>
      </c>
      <c r="O36" s="98">
        <f>SUM($L$6:L36)</f>
        <v/>
      </c>
      <c r="P36" s="99">
        <f>IF(N36=0,"",O36/N36)</f>
        <v/>
      </c>
      <c r="Q36" s="101">
        <f>IF(A36&gt;$S$2,"予定",IF(N36=0,"－",IF(P36&gt;=1,"完了",IF(O36&gt;=N36,"順調","遅延"))))</f>
        <v/>
      </c>
      <c r="R36" s="97">
        <f>D36+K36</f>
        <v/>
      </c>
      <c r="S36" s="102">
        <f>E36+L36</f>
        <v/>
      </c>
    </row>
    <row r="37">
      <c r="A37" s="94" t="n">
        <v>46036</v>
      </c>
      <c r="B37" s="95">
        <f>CHOOSE(WEEKDAY(A37,2),"月","火","水","木","金","土","日")</f>
        <v/>
      </c>
      <c r="C37" s="96">
        <f>IF(OR(WEEKDAY(A37,2)&gt;=6,COUNTIF(祝日マスタ!$A:$A,A37)&gt;0),"非営業日","営業日")</f>
        <v/>
      </c>
      <c r="D37" s="97">
        <f>COUNTIFS(明細!$F$5:$F$363,A37,明細!$D$5:$D$363,"運用")</f>
        <v/>
      </c>
      <c r="E37" s="98">
        <f>COUNTIFS(明細!$G$5:$G$363,A37,明細!$D$5:$D$363,"運用")</f>
        <v/>
      </c>
      <c r="F37" s="99">
        <f>IF(D37=0,0,E37/D37)</f>
        <v/>
      </c>
      <c r="G37" s="100">
        <f>SUM($D$6:D37)</f>
        <v/>
      </c>
      <c r="H37" s="98">
        <f>SUM($E$6:E37)</f>
        <v/>
      </c>
      <c r="I37" s="99">
        <f>IF(G37=0,"",H37/G37)</f>
        <v/>
      </c>
      <c r="J37" s="101">
        <f>IF(A37&gt;$S$2,"予定",IF(G37=0,"－",IF(I37&gt;=1,"完了",IF(H37&gt;=G37,"順調","遅延"))))</f>
        <v/>
      </c>
      <c r="K37" s="97">
        <f>COUNTIFS(明細!$I$5:$I$363,A37,明細!$D$5:$D$363,"運用")</f>
        <v/>
      </c>
      <c r="L37" s="98">
        <f>COUNTIFS(明細!$J$5:$J$363,A37,明細!$D$5:$D$363,"運用")</f>
        <v/>
      </c>
      <c r="M37" s="99">
        <f>IF(K37=0,0,L37/K37)</f>
        <v/>
      </c>
      <c r="N37" s="100">
        <f>SUM($K$6:K37)</f>
        <v/>
      </c>
      <c r="O37" s="98">
        <f>SUM($L$6:L37)</f>
        <v/>
      </c>
      <c r="P37" s="99">
        <f>IF(N37=0,"",O37/N37)</f>
        <v/>
      </c>
      <c r="Q37" s="101">
        <f>IF(A37&gt;$S$2,"予定",IF(N37=0,"－",IF(P37&gt;=1,"完了",IF(O37&gt;=N37,"順調","遅延"))))</f>
        <v/>
      </c>
      <c r="R37" s="97">
        <f>D37+K37</f>
        <v/>
      </c>
      <c r="S37" s="102">
        <f>E37+L37</f>
        <v/>
      </c>
    </row>
    <row r="38">
      <c r="A38" s="94" t="n">
        <v>46037</v>
      </c>
      <c r="B38" s="95">
        <f>CHOOSE(WEEKDAY(A38,2),"月","火","水","木","金","土","日")</f>
        <v/>
      </c>
      <c r="C38" s="96">
        <f>IF(OR(WEEKDAY(A38,2)&gt;=6,COUNTIF(祝日マスタ!$A:$A,A38)&gt;0),"非営業日","営業日")</f>
        <v/>
      </c>
      <c r="D38" s="97">
        <f>COUNTIFS(明細!$F$5:$F$363,A38,明細!$D$5:$D$363,"運用")</f>
        <v/>
      </c>
      <c r="E38" s="98">
        <f>COUNTIFS(明細!$G$5:$G$363,A38,明細!$D$5:$D$363,"運用")</f>
        <v/>
      </c>
      <c r="F38" s="99">
        <f>IF(D38=0,0,E38/D38)</f>
        <v/>
      </c>
      <c r="G38" s="100">
        <f>SUM($D$6:D38)</f>
        <v/>
      </c>
      <c r="H38" s="98">
        <f>SUM($E$6:E38)</f>
        <v/>
      </c>
      <c r="I38" s="99">
        <f>IF(G38=0,"",H38/G38)</f>
        <v/>
      </c>
      <c r="J38" s="101">
        <f>IF(A38&gt;$S$2,"予定",IF(G38=0,"－",IF(I38&gt;=1,"完了",IF(H38&gt;=G38,"順調","遅延"))))</f>
        <v/>
      </c>
      <c r="K38" s="97">
        <f>COUNTIFS(明細!$I$5:$I$363,A38,明細!$D$5:$D$363,"運用")</f>
        <v/>
      </c>
      <c r="L38" s="98">
        <f>COUNTIFS(明細!$J$5:$J$363,A38,明細!$D$5:$D$363,"運用")</f>
        <v/>
      </c>
      <c r="M38" s="99">
        <f>IF(K38=0,0,L38/K38)</f>
        <v/>
      </c>
      <c r="N38" s="100">
        <f>SUM($K$6:K38)</f>
        <v/>
      </c>
      <c r="O38" s="98">
        <f>SUM($L$6:L38)</f>
        <v/>
      </c>
      <c r="P38" s="99">
        <f>IF(N38=0,"",O38/N38)</f>
        <v/>
      </c>
      <c r="Q38" s="101">
        <f>IF(A38&gt;$S$2,"予定",IF(N38=0,"－",IF(P38&gt;=1,"完了",IF(O38&gt;=N38,"順調","遅延"))))</f>
        <v/>
      </c>
      <c r="R38" s="97">
        <f>D38+K38</f>
        <v/>
      </c>
      <c r="S38" s="102">
        <f>E38+L38</f>
        <v/>
      </c>
    </row>
    <row r="39">
      <c r="A39" s="94" t="n">
        <v>46038</v>
      </c>
      <c r="B39" s="95">
        <f>CHOOSE(WEEKDAY(A39,2),"月","火","水","木","金","土","日")</f>
        <v/>
      </c>
      <c r="C39" s="96">
        <f>IF(OR(WEEKDAY(A39,2)&gt;=6,COUNTIF(祝日マスタ!$A:$A,A39)&gt;0),"非営業日","営業日")</f>
        <v/>
      </c>
      <c r="D39" s="97">
        <f>COUNTIFS(明細!$F$5:$F$363,A39,明細!$D$5:$D$363,"運用")</f>
        <v/>
      </c>
      <c r="E39" s="98">
        <f>COUNTIFS(明細!$G$5:$G$363,A39,明細!$D$5:$D$363,"運用")</f>
        <v/>
      </c>
      <c r="F39" s="99">
        <f>IF(D39=0,0,E39/D39)</f>
        <v/>
      </c>
      <c r="G39" s="100">
        <f>SUM($D$6:D39)</f>
        <v/>
      </c>
      <c r="H39" s="98">
        <f>SUM($E$6:E39)</f>
        <v/>
      </c>
      <c r="I39" s="99">
        <f>IF(G39=0,"",H39/G39)</f>
        <v/>
      </c>
      <c r="J39" s="101">
        <f>IF(A39&gt;$S$2,"予定",IF(G39=0,"－",IF(I39&gt;=1,"完了",IF(H39&gt;=G39,"順調","遅延"))))</f>
        <v/>
      </c>
      <c r="K39" s="97">
        <f>COUNTIFS(明細!$I$5:$I$363,A39,明細!$D$5:$D$363,"運用")</f>
        <v/>
      </c>
      <c r="L39" s="98">
        <f>COUNTIFS(明細!$J$5:$J$363,A39,明細!$D$5:$D$363,"運用")</f>
        <v/>
      </c>
      <c r="M39" s="99">
        <f>IF(K39=0,0,L39/K39)</f>
        <v/>
      </c>
      <c r="N39" s="100">
        <f>SUM($K$6:K39)</f>
        <v/>
      </c>
      <c r="O39" s="98">
        <f>SUM($L$6:L39)</f>
        <v/>
      </c>
      <c r="P39" s="99">
        <f>IF(N39=0,"",O39/N39)</f>
        <v/>
      </c>
      <c r="Q39" s="101">
        <f>IF(A39&gt;$S$2,"予定",IF(N39=0,"－",IF(P39&gt;=1,"完了",IF(O39&gt;=N39,"順調","遅延"))))</f>
        <v/>
      </c>
      <c r="R39" s="97">
        <f>D39+K39</f>
        <v/>
      </c>
      <c r="S39" s="102">
        <f>E39+L39</f>
        <v/>
      </c>
    </row>
    <row r="40">
      <c r="A40" s="94" t="n">
        <v>46039</v>
      </c>
      <c r="B40" s="95">
        <f>CHOOSE(WEEKDAY(A40,2),"月","火","水","木","金","土","日")</f>
        <v/>
      </c>
      <c r="C40" s="96">
        <f>IF(OR(WEEKDAY(A40,2)&gt;=6,COUNTIF(祝日マスタ!$A:$A,A40)&gt;0),"非営業日","営業日")</f>
        <v/>
      </c>
      <c r="D40" s="97">
        <f>COUNTIFS(明細!$F$5:$F$363,A40,明細!$D$5:$D$363,"運用")</f>
        <v/>
      </c>
      <c r="E40" s="98">
        <f>COUNTIFS(明細!$G$5:$G$363,A40,明細!$D$5:$D$363,"運用")</f>
        <v/>
      </c>
      <c r="F40" s="99">
        <f>IF(D40=0,0,E40/D40)</f>
        <v/>
      </c>
      <c r="G40" s="100">
        <f>SUM($D$6:D40)</f>
        <v/>
      </c>
      <c r="H40" s="98">
        <f>SUM($E$6:E40)</f>
        <v/>
      </c>
      <c r="I40" s="99">
        <f>IF(G40=0,"",H40/G40)</f>
        <v/>
      </c>
      <c r="J40" s="101">
        <f>IF(A40&gt;$S$2,"予定",IF(G40=0,"－",IF(I40&gt;=1,"完了",IF(H40&gt;=G40,"順調","遅延"))))</f>
        <v/>
      </c>
      <c r="K40" s="97">
        <f>COUNTIFS(明細!$I$5:$I$363,A40,明細!$D$5:$D$363,"運用")</f>
        <v/>
      </c>
      <c r="L40" s="98">
        <f>COUNTIFS(明細!$J$5:$J$363,A40,明細!$D$5:$D$363,"運用")</f>
        <v/>
      </c>
      <c r="M40" s="99">
        <f>IF(K40=0,0,L40/K40)</f>
        <v/>
      </c>
      <c r="N40" s="100">
        <f>SUM($K$6:K40)</f>
        <v/>
      </c>
      <c r="O40" s="98">
        <f>SUM($L$6:L40)</f>
        <v/>
      </c>
      <c r="P40" s="99">
        <f>IF(N40=0,"",O40/N40)</f>
        <v/>
      </c>
      <c r="Q40" s="101">
        <f>IF(A40&gt;$S$2,"予定",IF(N40=0,"－",IF(P40&gt;=1,"完了",IF(O40&gt;=N40,"順調","遅延"))))</f>
        <v/>
      </c>
      <c r="R40" s="97">
        <f>D40+K40</f>
        <v/>
      </c>
      <c r="S40" s="102">
        <f>E40+L40</f>
        <v/>
      </c>
    </row>
    <row r="41">
      <c r="A41" s="94" t="n">
        <v>46040</v>
      </c>
      <c r="B41" s="95">
        <f>CHOOSE(WEEKDAY(A41,2),"月","火","水","木","金","土","日")</f>
        <v/>
      </c>
      <c r="C41" s="96">
        <f>IF(OR(WEEKDAY(A41,2)&gt;=6,COUNTIF(祝日マスタ!$A:$A,A41)&gt;0),"非営業日","営業日")</f>
        <v/>
      </c>
      <c r="D41" s="97">
        <f>COUNTIFS(明細!$F$5:$F$363,A41,明細!$D$5:$D$363,"運用")</f>
        <v/>
      </c>
      <c r="E41" s="98">
        <f>COUNTIFS(明細!$G$5:$G$363,A41,明細!$D$5:$D$363,"運用")</f>
        <v/>
      </c>
      <c r="F41" s="99">
        <f>IF(D41=0,0,E41/D41)</f>
        <v/>
      </c>
      <c r="G41" s="100">
        <f>SUM($D$6:D41)</f>
        <v/>
      </c>
      <c r="H41" s="98">
        <f>SUM($E$6:E41)</f>
        <v/>
      </c>
      <c r="I41" s="99">
        <f>IF(G41=0,"",H41/G41)</f>
        <v/>
      </c>
      <c r="J41" s="101">
        <f>IF(A41&gt;$S$2,"予定",IF(G41=0,"－",IF(I41&gt;=1,"完了",IF(H41&gt;=G41,"順調","遅延"))))</f>
        <v/>
      </c>
      <c r="K41" s="97">
        <f>COUNTIFS(明細!$I$5:$I$363,A41,明細!$D$5:$D$363,"運用")</f>
        <v/>
      </c>
      <c r="L41" s="98">
        <f>COUNTIFS(明細!$J$5:$J$363,A41,明細!$D$5:$D$363,"運用")</f>
        <v/>
      </c>
      <c r="M41" s="99">
        <f>IF(K41=0,0,L41/K41)</f>
        <v/>
      </c>
      <c r="N41" s="100">
        <f>SUM($K$6:K41)</f>
        <v/>
      </c>
      <c r="O41" s="98">
        <f>SUM($L$6:L41)</f>
        <v/>
      </c>
      <c r="P41" s="99">
        <f>IF(N41=0,"",O41/N41)</f>
        <v/>
      </c>
      <c r="Q41" s="101">
        <f>IF(A41&gt;$S$2,"予定",IF(N41=0,"－",IF(P41&gt;=1,"完了",IF(O41&gt;=N41,"順調","遅延"))))</f>
        <v/>
      </c>
      <c r="R41" s="97">
        <f>D41+K41</f>
        <v/>
      </c>
      <c r="S41" s="102">
        <f>E41+L41</f>
        <v/>
      </c>
    </row>
    <row r="42">
      <c r="A42" s="94" t="n">
        <v>46041</v>
      </c>
      <c r="B42" s="95">
        <f>CHOOSE(WEEKDAY(A42,2),"月","火","水","木","金","土","日")</f>
        <v/>
      </c>
      <c r="C42" s="96">
        <f>IF(OR(WEEKDAY(A42,2)&gt;=6,COUNTIF(祝日マスタ!$A:$A,A42)&gt;0),"非営業日","営業日")</f>
        <v/>
      </c>
      <c r="D42" s="97">
        <f>COUNTIFS(明細!$F$5:$F$363,A42,明細!$D$5:$D$363,"運用")</f>
        <v/>
      </c>
      <c r="E42" s="98">
        <f>COUNTIFS(明細!$G$5:$G$363,A42,明細!$D$5:$D$363,"運用")</f>
        <v/>
      </c>
      <c r="F42" s="99">
        <f>IF(D42=0,0,E42/D42)</f>
        <v/>
      </c>
      <c r="G42" s="100">
        <f>SUM($D$6:D42)</f>
        <v/>
      </c>
      <c r="H42" s="98">
        <f>SUM($E$6:E42)</f>
        <v/>
      </c>
      <c r="I42" s="99">
        <f>IF(G42=0,"",H42/G42)</f>
        <v/>
      </c>
      <c r="J42" s="101">
        <f>IF(A42&gt;$S$2,"予定",IF(G42=0,"－",IF(I42&gt;=1,"完了",IF(H42&gt;=G42,"順調","遅延"))))</f>
        <v/>
      </c>
      <c r="K42" s="97">
        <f>COUNTIFS(明細!$I$5:$I$363,A42,明細!$D$5:$D$363,"運用")</f>
        <v/>
      </c>
      <c r="L42" s="98">
        <f>COUNTIFS(明細!$J$5:$J$363,A42,明細!$D$5:$D$363,"運用")</f>
        <v/>
      </c>
      <c r="M42" s="99">
        <f>IF(K42=0,0,L42/K42)</f>
        <v/>
      </c>
      <c r="N42" s="100">
        <f>SUM($K$6:K42)</f>
        <v/>
      </c>
      <c r="O42" s="98">
        <f>SUM($L$6:L42)</f>
        <v/>
      </c>
      <c r="P42" s="99">
        <f>IF(N42=0,"",O42/N42)</f>
        <v/>
      </c>
      <c r="Q42" s="101">
        <f>IF(A42&gt;$S$2,"予定",IF(N42=0,"－",IF(P42&gt;=1,"完了",IF(O42&gt;=N42,"順調","遅延"))))</f>
        <v/>
      </c>
      <c r="R42" s="97">
        <f>D42+K42</f>
        <v/>
      </c>
      <c r="S42" s="102">
        <f>E42+L42</f>
        <v/>
      </c>
    </row>
    <row r="43">
      <c r="A43" s="94" t="n">
        <v>46042</v>
      </c>
      <c r="B43" s="95">
        <f>CHOOSE(WEEKDAY(A43,2),"月","火","水","木","金","土","日")</f>
        <v/>
      </c>
      <c r="C43" s="96">
        <f>IF(OR(WEEKDAY(A43,2)&gt;=6,COUNTIF(祝日マスタ!$A:$A,A43)&gt;0),"非営業日","営業日")</f>
        <v/>
      </c>
      <c r="D43" s="97">
        <f>COUNTIFS(明細!$F$5:$F$363,A43,明細!$D$5:$D$363,"運用")</f>
        <v/>
      </c>
      <c r="E43" s="98">
        <f>COUNTIFS(明細!$G$5:$G$363,A43,明細!$D$5:$D$363,"運用")</f>
        <v/>
      </c>
      <c r="F43" s="99">
        <f>IF(D43=0,0,E43/D43)</f>
        <v/>
      </c>
      <c r="G43" s="100">
        <f>SUM($D$6:D43)</f>
        <v/>
      </c>
      <c r="H43" s="98">
        <f>SUM($E$6:E43)</f>
        <v/>
      </c>
      <c r="I43" s="99">
        <f>IF(G43=0,"",H43/G43)</f>
        <v/>
      </c>
      <c r="J43" s="101">
        <f>IF(A43&gt;$S$2,"予定",IF(G43=0,"－",IF(I43&gt;=1,"完了",IF(H43&gt;=G43,"順調","遅延"))))</f>
        <v/>
      </c>
      <c r="K43" s="97">
        <f>COUNTIFS(明細!$I$5:$I$363,A43,明細!$D$5:$D$363,"運用")</f>
        <v/>
      </c>
      <c r="L43" s="98">
        <f>COUNTIFS(明細!$J$5:$J$363,A43,明細!$D$5:$D$363,"運用")</f>
        <v/>
      </c>
      <c r="M43" s="99">
        <f>IF(K43=0,0,L43/K43)</f>
        <v/>
      </c>
      <c r="N43" s="100">
        <f>SUM($K$6:K43)</f>
        <v/>
      </c>
      <c r="O43" s="98">
        <f>SUM($L$6:L43)</f>
        <v/>
      </c>
      <c r="P43" s="99">
        <f>IF(N43=0,"",O43/N43)</f>
        <v/>
      </c>
      <c r="Q43" s="101">
        <f>IF(A43&gt;$S$2,"予定",IF(N43=0,"－",IF(P43&gt;=1,"完了",IF(O43&gt;=N43,"順調","遅延"))))</f>
        <v/>
      </c>
      <c r="R43" s="97">
        <f>D43+K43</f>
        <v/>
      </c>
      <c r="S43" s="102">
        <f>E43+L43</f>
        <v/>
      </c>
    </row>
    <row r="44">
      <c r="A44" s="94" t="n">
        <v>46043</v>
      </c>
      <c r="B44" s="95">
        <f>CHOOSE(WEEKDAY(A44,2),"月","火","水","木","金","土","日")</f>
        <v/>
      </c>
      <c r="C44" s="96">
        <f>IF(OR(WEEKDAY(A44,2)&gt;=6,COUNTIF(祝日マスタ!$A:$A,A44)&gt;0),"非営業日","営業日")</f>
        <v/>
      </c>
      <c r="D44" s="97">
        <f>COUNTIFS(明細!$F$5:$F$363,A44,明細!$D$5:$D$363,"運用")</f>
        <v/>
      </c>
      <c r="E44" s="98">
        <f>COUNTIFS(明細!$G$5:$G$363,A44,明細!$D$5:$D$363,"運用")</f>
        <v/>
      </c>
      <c r="F44" s="99">
        <f>IF(D44=0,0,E44/D44)</f>
        <v/>
      </c>
      <c r="G44" s="100">
        <f>SUM($D$6:D44)</f>
        <v/>
      </c>
      <c r="H44" s="98">
        <f>SUM($E$6:E44)</f>
        <v/>
      </c>
      <c r="I44" s="99">
        <f>IF(G44=0,"",H44/G44)</f>
        <v/>
      </c>
      <c r="J44" s="101">
        <f>IF(A44&gt;$S$2,"予定",IF(G44=0,"－",IF(I44&gt;=1,"完了",IF(H44&gt;=G44,"順調","遅延"))))</f>
        <v/>
      </c>
      <c r="K44" s="97">
        <f>COUNTIFS(明細!$I$5:$I$363,A44,明細!$D$5:$D$363,"運用")</f>
        <v/>
      </c>
      <c r="L44" s="98">
        <f>COUNTIFS(明細!$J$5:$J$363,A44,明細!$D$5:$D$363,"運用")</f>
        <v/>
      </c>
      <c r="M44" s="99">
        <f>IF(K44=0,0,L44/K44)</f>
        <v/>
      </c>
      <c r="N44" s="100">
        <f>SUM($K$6:K44)</f>
        <v/>
      </c>
      <c r="O44" s="98">
        <f>SUM($L$6:L44)</f>
        <v/>
      </c>
      <c r="P44" s="99">
        <f>IF(N44=0,"",O44/N44)</f>
        <v/>
      </c>
      <c r="Q44" s="101">
        <f>IF(A44&gt;$S$2,"予定",IF(N44=0,"－",IF(P44&gt;=1,"完了",IF(O44&gt;=N44,"順調","遅延"))))</f>
        <v/>
      </c>
      <c r="R44" s="97">
        <f>D44+K44</f>
        <v/>
      </c>
      <c r="S44" s="102">
        <f>E44+L44</f>
        <v/>
      </c>
    </row>
    <row r="45">
      <c r="A45" s="94" t="n">
        <v>46044</v>
      </c>
      <c r="B45" s="95">
        <f>CHOOSE(WEEKDAY(A45,2),"月","火","水","木","金","土","日")</f>
        <v/>
      </c>
      <c r="C45" s="96">
        <f>IF(OR(WEEKDAY(A45,2)&gt;=6,COUNTIF(祝日マスタ!$A:$A,A45)&gt;0),"非営業日","営業日")</f>
        <v/>
      </c>
      <c r="D45" s="97">
        <f>COUNTIFS(明細!$F$5:$F$363,A45,明細!$D$5:$D$363,"運用")</f>
        <v/>
      </c>
      <c r="E45" s="98">
        <f>COUNTIFS(明細!$G$5:$G$363,A45,明細!$D$5:$D$363,"運用")</f>
        <v/>
      </c>
      <c r="F45" s="99">
        <f>IF(D45=0,0,E45/D45)</f>
        <v/>
      </c>
      <c r="G45" s="100">
        <f>SUM($D$6:D45)</f>
        <v/>
      </c>
      <c r="H45" s="98">
        <f>SUM($E$6:E45)</f>
        <v/>
      </c>
      <c r="I45" s="99">
        <f>IF(G45=0,"",H45/G45)</f>
        <v/>
      </c>
      <c r="J45" s="101">
        <f>IF(A45&gt;$S$2,"予定",IF(G45=0,"－",IF(I45&gt;=1,"完了",IF(H45&gt;=G45,"順調","遅延"))))</f>
        <v/>
      </c>
      <c r="K45" s="97">
        <f>COUNTIFS(明細!$I$5:$I$363,A45,明細!$D$5:$D$363,"運用")</f>
        <v/>
      </c>
      <c r="L45" s="98">
        <f>COUNTIFS(明細!$J$5:$J$363,A45,明細!$D$5:$D$363,"運用")</f>
        <v/>
      </c>
      <c r="M45" s="99">
        <f>IF(K45=0,0,L45/K45)</f>
        <v/>
      </c>
      <c r="N45" s="100">
        <f>SUM($K$6:K45)</f>
        <v/>
      </c>
      <c r="O45" s="98">
        <f>SUM($L$6:L45)</f>
        <v/>
      </c>
      <c r="P45" s="99">
        <f>IF(N45=0,"",O45/N45)</f>
        <v/>
      </c>
      <c r="Q45" s="101">
        <f>IF(A45&gt;$S$2,"予定",IF(N45=0,"－",IF(P45&gt;=1,"完了",IF(O45&gt;=N45,"順調","遅延"))))</f>
        <v/>
      </c>
      <c r="R45" s="97">
        <f>D45+K45</f>
        <v/>
      </c>
      <c r="S45" s="102">
        <f>E45+L45</f>
        <v/>
      </c>
    </row>
    <row r="46">
      <c r="A46" s="94" t="n">
        <v>46045</v>
      </c>
      <c r="B46" s="95">
        <f>CHOOSE(WEEKDAY(A46,2),"月","火","水","木","金","土","日")</f>
        <v/>
      </c>
      <c r="C46" s="96">
        <f>IF(OR(WEEKDAY(A46,2)&gt;=6,COUNTIF(祝日マスタ!$A:$A,A46)&gt;0),"非営業日","営業日")</f>
        <v/>
      </c>
      <c r="D46" s="97">
        <f>COUNTIFS(明細!$F$5:$F$363,A46,明細!$D$5:$D$363,"運用")</f>
        <v/>
      </c>
      <c r="E46" s="98">
        <f>COUNTIFS(明細!$G$5:$G$363,A46,明細!$D$5:$D$363,"運用")</f>
        <v/>
      </c>
      <c r="F46" s="99">
        <f>IF(D46=0,0,E46/D46)</f>
        <v/>
      </c>
      <c r="G46" s="100">
        <f>SUM($D$6:D46)</f>
        <v/>
      </c>
      <c r="H46" s="98">
        <f>SUM($E$6:E46)</f>
        <v/>
      </c>
      <c r="I46" s="99">
        <f>IF(G46=0,"",H46/G46)</f>
        <v/>
      </c>
      <c r="J46" s="101">
        <f>IF(A46&gt;$S$2,"予定",IF(G46=0,"－",IF(I46&gt;=1,"完了",IF(H46&gt;=G46,"順調","遅延"))))</f>
        <v/>
      </c>
      <c r="K46" s="97">
        <f>COUNTIFS(明細!$I$5:$I$363,A46,明細!$D$5:$D$363,"運用")</f>
        <v/>
      </c>
      <c r="L46" s="98">
        <f>COUNTIFS(明細!$J$5:$J$363,A46,明細!$D$5:$D$363,"運用")</f>
        <v/>
      </c>
      <c r="M46" s="99">
        <f>IF(K46=0,0,L46/K46)</f>
        <v/>
      </c>
      <c r="N46" s="100">
        <f>SUM($K$6:K46)</f>
        <v/>
      </c>
      <c r="O46" s="98">
        <f>SUM($L$6:L46)</f>
        <v/>
      </c>
      <c r="P46" s="99">
        <f>IF(N46=0,"",O46/N46)</f>
        <v/>
      </c>
      <c r="Q46" s="101">
        <f>IF(A46&gt;$S$2,"予定",IF(N46=0,"－",IF(P46&gt;=1,"完了",IF(O46&gt;=N46,"順調","遅延"))))</f>
        <v/>
      </c>
      <c r="R46" s="97">
        <f>D46+K46</f>
        <v/>
      </c>
      <c r="S46" s="102">
        <f>E46+L46</f>
        <v/>
      </c>
    </row>
    <row r="47">
      <c r="A47" s="94" t="n">
        <v>46046</v>
      </c>
      <c r="B47" s="95">
        <f>CHOOSE(WEEKDAY(A47,2),"月","火","水","木","金","土","日")</f>
        <v/>
      </c>
      <c r="C47" s="96">
        <f>IF(OR(WEEKDAY(A47,2)&gt;=6,COUNTIF(祝日マスタ!$A:$A,A47)&gt;0),"非営業日","営業日")</f>
        <v/>
      </c>
      <c r="D47" s="97">
        <f>COUNTIFS(明細!$F$5:$F$363,A47,明細!$D$5:$D$363,"運用")</f>
        <v/>
      </c>
      <c r="E47" s="98">
        <f>COUNTIFS(明細!$G$5:$G$363,A47,明細!$D$5:$D$363,"運用")</f>
        <v/>
      </c>
      <c r="F47" s="99">
        <f>IF(D47=0,0,E47/D47)</f>
        <v/>
      </c>
      <c r="G47" s="100">
        <f>SUM($D$6:D47)</f>
        <v/>
      </c>
      <c r="H47" s="98">
        <f>SUM($E$6:E47)</f>
        <v/>
      </c>
      <c r="I47" s="99">
        <f>IF(G47=0,"",H47/G47)</f>
        <v/>
      </c>
      <c r="J47" s="101">
        <f>IF(A47&gt;$S$2,"予定",IF(G47=0,"－",IF(I47&gt;=1,"完了",IF(H47&gt;=G47,"順調","遅延"))))</f>
        <v/>
      </c>
      <c r="K47" s="97">
        <f>COUNTIFS(明細!$I$5:$I$363,A47,明細!$D$5:$D$363,"運用")</f>
        <v/>
      </c>
      <c r="L47" s="98">
        <f>COUNTIFS(明細!$J$5:$J$363,A47,明細!$D$5:$D$363,"運用")</f>
        <v/>
      </c>
      <c r="M47" s="99">
        <f>IF(K47=0,0,L47/K47)</f>
        <v/>
      </c>
      <c r="N47" s="100">
        <f>SUM($K$6:K47)</f>
        <v/>
      </c>
      <c r="O47" s="98">
        <f>SUM($L$6:L47)</f>
        <v/>
      </c>
      <c r="P47" s="99">
        <f>IF(N47=0,"",O47/N47)</f>
        <v/>
      </c>
      <c r="Q47" s="101">
        <f>IF(A47&gt;$S$2,"予定",IF(N47=0,"－",IF(P47&gt;=1,"完了",IF(O47&gt;=N47,"順調","遅延"))))</f>
        <v/>
      </c>
      <c r="R47" s="97">
        <f>D47+K47</f>
        <v/>
      </c>
      <c r="S47" s="102">
        <f>E47+L47</f>
        <v/>
      </c>
    </row>
    <row r="48">
      <c r="A48" s="94" t="n">
        <v>46047</v>
      </c>
      <c r="B48" s="95">
        <f>CHOOSE(WEEKDAY(A48,2),"月","火","水","木","金","土","日")</f>
        <v/>
      </c>
      <c r="C48" s="96">
        <f>IF(OR(WEEKDAY(A48,2)&gt;=6,COUNTIF(祝日マスタ!$A:$A,A48)&gt;0),"非営業日","営業日")</f>
        <v/>
      </c>
      <c r="D48" s="97">
        <f>COUNTIFS(明細!$F$5:$F$363,A48,明細!$D$5:$D$363,"運用")</f>
        <v/>
      </c>
      <c r="E48" s="98">
        <f>COUNTIFS(明細!$G$5:$G$363,A48,明細!$D$5:$D$363,"運用")</f>
        <v/>
      </c>
      <c r="F48" s="99">
        <f>IF(D48=0,0,E48/D48)</f>
        <v/>
      </c>
      <c r="G48" s="100">
        <f>SUM($D$6:D48)</f>
        <v/>
      </c>
      <c r="H48" s="98">
        <f>SUM($E$6:E48)</f>
        <v/>
      </c>
      <c r="I48" s="99">
        <f>IF(G48=0,"",H48/G48)</f>
        <v/>
      </c>
      <c r="J48" s="101">
        <f>IF(A48&gt;$S$2,"予定",IF(G48=0,"－",IF(I48&gt;=1,"完了",IF(H48&gt;=G48,"順調","遅延"))))</f>
        <v/>
      </c>
      <c r="K48" s="97">
        <f>COUNTIFS(明細!$I$5:$I$363,A48,明細!$D$5:$D$363,"運用")</f>
        <v/>
      </c>
      <c r="L48" s="98">
        <f>COUNTIFS(明細!$J$5:$J$363,A48,明細!$D$5:$D$363,"運用")</f>
        <v/>
      </c>
      <c r="M48" s="99">
        <f>IF(K48=0,0,L48/K48)</f>
        <v/>
      </c>
      <c r="N48" s="100">
        <f>SUM($K$6:K48)</f>
        <v/>
      </c>
      <c r="O48" s="98">
        <f>SUM($L$6:L48)</f>
        <v/>
      </c>
      <c r="P48" s="99">
        <f>IF(N48=0,"",O48/N48)</f>
        <v/>
      </c>
      <c r="Q48" s="101">
        <f>IF(A48&gt;$S$2,"予定",IF(N48=0,"－",IF(P48&gt;=1,"完了",IF(O48&gt;=N48,"順調","遅延"))))</f>
        <v/>
      </c>
      <c r="R48" s="97">
        <f>D48+K48</f>
        <v/>
      </c>
      <c r="S48" s="102">
        <f>E48+L48</f>
        <v/>
      </c>
    </row>
    <row r="49">
      <c r="A49" s="94" t="n">
        <v>46048</v>
      </c>
      <c r="B49" s="95">
        <f>CHOOSE(WEEKDAY(A49,2),"月","火","水","木","金","土","日")</f>
        <v/>
      </c>
      <c r="C49" s="96">
        <f>IF(OR(WEEKDAY(A49,2)&gt;=6,COUNTIF(祝日マスタ!$A:$A,A49)&gt;0),"非営業日","営業日")</f>
        <v/>
      </c>
      <c r="D49" s="97">
        <f>COUNTIFS(明細!$F$5:$F$363,A49,明細!$D$5:$D$363,"運用")</f>
        <v/>
      </c>
      <c r="E49" s="98">
        <f>COUNTIFS(明細!$G$5:$G$363,A49,明細!$D$5:$D$363,"運用")</f>
        <v/>
      </c>
      <c r="F49" s="99">
        <f>IF(D49=0,0,E49/D49)</f>
        <v/>
      </c>
      <c r="G49" s="100">
        <f>SUM($D$6:D49)</f>
        <v/>
      </c>
      <c r="H49" s="98">
        <f>SUM($E$6:E49)</f>
        <v/>
      </c>
      <c r="I49" s="99">
        <f>IF(G49=0,"",H49/G49)</f>
        <v/>
      </c>
      <c r="J49" s="101">
        <f>IF(A49&gt;$S$2,"予定",IF(G49=0,"－",IF(I49&gt;=1,"完了",IF(H49&gt;=G49,"順調","遅延"))))</f>
        <v/>
      </c>
      <c r="K49" s="97">
        <f>COUNTIFS(明細!$I$5:$I$363,A49,明細!$D$5:$D$363,"運用")</f>
        <v/>
      </c>
      <c r="L49" s="98">
        <f>COUNTIFS(明細!$J$5:$J$363,A49,明細!$D$5:$D$363,"運用")</f>
        <v/>
      </c>
      <c r="M49" s="99">
        <f>IF(K49=0,0,L49/K49)</f>
        <v/>
      </c>
      <c r="N49" s="100">
        <f>SUM($K$6:K49)</f>
        <v/>
      </c>
      <c r="O49" s="98">
        <f>SUM($L$6:L49)</f>
        <v/>
      </c>
      <c r="P49" s="99">
        <f>IF(N49=0,"",O49/N49)</f>
        <v/>
      </c>
      <c r="Q49" s="101">
        <f>IF(A49&gt;$S$2,"予定",IF(N49=0,"－",IF(P49&gt;=1,"完了",IF(O49&gt;=N49,"順調","遅延"))))</f>
        <v/>
      </c>
      <c r="R49" s="97">
        <f>D49+K49</f>
        <v/>
      </c>
      <c r="S49" s="102">
        <f>E49+L49</f>
        <v/>
      </c>
    </row>
    <row r="50">
      <c r="A50" s="94" t="n">
        <v>46049</v>
      </c>
      <c r="B50" s="95">
        <f>CHOOSE(WEEKDAY(A50,2),"月","火","水","木","金","土","日")</f>
        <v/>
      </c>
      <c r="C50" s="96">
        <f>IF(OR(WEEKDAY(A50,2)&gt;=6,COUNTIF(祝日マスタ!$A:$A,A50)&gt;0),"非営業日","営業日")</f>
        <v/>
      </c>
      <c r="D50" s="97">
        <f>COUNTIFS(明細!$F$5:$F$363,A50,明細!$D$5:$D$363,"運用")</f>
        <v/>
      </c>
      <c r="E50" s="98">
        <f>COUNTIFS(明細!$G$5:$G$363,A50,明細!$D$5:$D$363,"運用")</f>
        <v/>
      </c>
      <c r="F50" s="99">
        <f>IF(D50=0,0,E50/D50)</f>
        <v/>
      </c>
      <c r="G50" s="100">
        <f>SUM($D$6:D50)</f>
        <v/>
      </c>
      <c r="H50" s="98">
        <f>SUM($E$6:E50)</f>
        <v/>
      </c>
      <c r="I50" s="99">
        <f>IF(G50=0,"",H50/G50)</f>
        <v/>
      </c>
      <c r="J50" s="101">
        <f>IF(A50&gt;$S$2,"予定",IF(G50=0,"－",IF(I50&gt;=1,"完了",IF(H50&gt;=G50,"順調","遅延"))))</f>
        <v/>
      </c>
      <c r="K50" s="97">
        <f>COUNTIFS(明細!$I$5:$I$363,A50,明細!$D$5:$D$363,"運用")</f>
        <v/>
      </c>
      <c r="L50" s="98">
        <f>COUNTIFS(明細!$J$5:$J$363,A50,明細!$D$5:$D$363,"運用")</f>
        <v/>
      </c>
      <c r="M50" s="99">
        <f>IF(K50=0,0,L50/K50)</f>
        <v/>
      </c>
      <c r="N50" s="100">
        <f>SUM($K$6:K50)</f>
        <v/>
      </c>
      <c r="O50" s="98">
        <f>SUM($L$6:L50)</f>
        <v/>
      </c>
      <c r="P50" s="99">
        <f>IF(N50=0,"",O50/N50)</f>
        <v/>
      </c>
      <c r="Q50" s="101">
        <f>IF(A50&gt;$S$2,"予定",IF(N50=0,"－",IF(P50&gt;=1,"完了",IF(O50&gt;=N50,"順調","遅延"))))</f>
        <v/>
      </c>
      <c r="R50" s="97">
        <f>D50+K50</f>
        <v/>
      </c>
      <c r="S50" s="102">
        <f>E50+L50</f>
        <v/>
      </c>
    </row>
    <row r="51">
      <c r="A51" s="94" t="n">
        <v>46050</v>
      </c>
      <c r="B51" s="95">
        <f>CHOOSE(WEEKDAY(A51,2),"月","火","水","木","金","土","日")</f>
        <v/>
      </c>
      <c r="C51" s="96">
        <f>IF(OR(WEEKDAY(A51,2)&gt;=6,COUNTIF(祝日マスタ!$A:$A,A51)&gt;0),"非営業日","営業日")</f>
        <v/>
      </c>
      <c r="D51" s="97">
        <f>COUNTIFS(明細!$F$5:$F$363,A51,明細!$D$5:$D$363,"運用")</f>
        <v/>
      </c>
      <c r="E51" s="98">
        <f>COUNTIFS(明細!$G$5:$G$363,A51,明細!$D$5:$D$363,"運用")</f>
        <v/>
      </c>
      <c r="F51" s="99">
        <f>IF(D51=0,0,E51/D51)</f>
        <v/>
      </c>
      <c r="G51" s="100">
        <f>SUM($D$6:D51)</f>
        <v/>
      </c>
      <c r="H51" s="98">
        <f>SUM($E$6:E51)</f>
        <v/>
      </c>
      <c r="I51" s="99">
        <f>IF(G51=0,"",H51/G51)</f>
        <v/>
      </c>
      <c r="J51" s="101">
        <f>IF(A51&gt;$S$2,"予定",IF(G51=0,"－",IF(I51&gt;=1,"完了",IF(H51&gt;=G51,"順調","遅延"))))</f>
        <v/>
      </c>
      <c r="K51" s="97">
        <f>COUNTIFS(明細!$I$5:$I$363,A51,明細!$D$5:$D$363,"運用")</f>
        <v/>
      </c>
      <c r="L51" s="98">
        <f>COUNTIFS(明細!$J$5:$J$363,A51,明細!$D$5:$D$363,"運用")</f>
        <v/>
      </c>
      <c r="M51" s="99">
        <f>IF(K51=0,0,L51/K51)</f>
        <v/>
      </c>
      <c r="N51" s="100">
        <f>SUM($K$6:K51)</f>
        <v/>
      </c>
      <c r="O51" s="98">
        <f>SUM($L$6:L51)</f>
        <v/>
      </c>
      <c r="P51" s="99">
        <f>IF(N51=0,"",O51/N51)</f>
        <v/>
      </c>
      <c r="Q51" s="101">
        <f>IF(A51&gt;$S$2,"予定",IF(N51=0,"－",IF(P51&gt;=1,"完了",IF(O51&gt;=N51,"順調","遅延"))))</f>
        <v/>
      </c>
      <c r="R51" s="97">
        <f>D51+K51</f>
        <v/>
      </c>
      <c r="S51" s="102">
        <f>E51+L51</f>
        <v/>
      </c>
    </row>
    <row r="52">
      <c r="A52" s="94" t="n">
        <v>46051</v>
      </c>
      <c r="B52" s="95">
        <f>CHOOSE(WEEKDAY(A52,2),"月","火","水","木","金","土","日")</f>
        <v/>
      </c>
      <c r="C52" s="96">
        <f>IF(OR(WEEKDAY(A52,2)&gt;=6,COUNTIF(祝日マスタ!$A:$A,A52)&gt;0),"非営業日","営業日")</f>
        <v/>
      </c>
      <c r="D52" s="97">
        <f>COUNTIFS(明細!$F$5:$F$363,A52,明細!$D$5:$D$363,"運用")</f>
        <v/>
      </c>
      <c r="E52" s="98">
        <f>COUNTIFS(明細!$G$5:$G$363,A52,明細!$D$5:$D$363,"運用")</f>
        <v/>
      </c>
      <c r="F52" s="99">
        <f>IF(D52=0,0,E52/D52)</f>
        <v/>
      </c>
      <c r="G52" s="100">
        <f>SUM($D$6:D52)</f>
        <v/>
      </c>
      <c r="H52" s="98">
        <f>SUM($E$6:E52)</f>
        <v/>
      </c>
      <c r="I52" s="99">
        <f>IF(G52=0,"",H52/G52)</f>
        <v/>
      </c>
      <c r="J52" s="101">
        <f>IF(A52&gt;$S$2,"予定",IF(G52=0,"－",IF(I52&gt;=1,"完了",IF(H52&gt;=G52,"順調","遅延"))))</f>
        <v/>
      </c>
      <c r="K52" s="97">
        <f>COUNTIFS(明細!$I$5:$I$363,A52,明細!$D$5:$D$363,"運用")</f>
        <v/>
      </c>
      <c r="L52" s="98">
        <f>COUNTIFS(明細!$J$5:$J$363,A52,明細!$D$5:$D$363,"運用")</f>
        <v/>
      </c>
      <c r="M52" s="99">
        <f>IF(K52=0,0,L52/K52)</f>
        <v/>
      </c>
      <c r="N52" s="100">
        <f>SUM($K$6:K52)</f>
        <v/>
      </c>
      <c r="O52" s="98">
        <f>SUM($L$6:L52)</f>
        <v/>
      </c>
      <c r="P52" s="99">
        <f>IF(N52=0,"",O52/N52)</f>
        <v/>
      </c>
      <c r="Q52" s="101">
        <f>IF(A52&gt;$S$2,"予定",IF(N52=0,"－",IF(P52&gt;=1,"完了",IF(O52&gt;=N52,"順調","遅延"))))</f>
        <v/>
      </c>
      <c r="R52" s="97">
        <f>D52+K52</f>
        <v/>
      </c>
      <c r="S52" s="102">
        <f>E52+L52</f>
        <v/>
      </c>
    </row>
    <row r="53">
      <c r="A53" s="94" t="n">
        <v>46052</v>
      </c>
      <c r="B53" s="95">
        <f>CHOOSE(WEEKDAY(A53,2),"月","火","水","木","金","土","日")</f>
        <v/>
      </c>
      <c r="C53" s="96">
        <f>IF(OR(WEEKDAY(A53,2)&gt;=6,COUNTIF(祝日マスタ!$A:$A,A53)&gt;0),"非営業日","営業日")</f>
        <v/>
      </c>
      <c r="D53" s="97">
        <f>COUNTIFS(明細!$F$5:$F$363,A53,明細!$D$5:$D$363,"運用")</f>
        <v/>
      </c>
      <c r="E53" s="98">
        <f>COUNTIFS(明細!$G$5:$G$363,A53,明細!$D$5:$D$363,"運用")</f>
        <v/>
      </c>
      <c r="F53" s="99">
        <f>IF(D53=0,0,E53/D53)</f>
        <v/>
      </c>
      <c r="G53" s="100">
        <f>SUM($D$6:D53)</f>
        <v/>
      </c>
      <c r="H53" s="98">
        <f>SUM($E$6:E53)</f>
        <v/>
      </c>
      <c r="I53" s="99">
        <f>IF(G53=0,"",H53/G53)</f>
        <v/>
      </c>
      <c r="J53" s="101">
        <f>IF(A53&gt;$S$2,"予定",IF(G53=0,"－",IF(I53&gt;=1,"完了",IF(H53&gt;=G53,"順調","遅延"))))</f>
        <v/>
      </c>
      <c r="K53" s="97">
        <f>COUNTIFS(明細!$I$5:$I$363,A53,明細!$D$5:$D$363,"運用")</f>
        <v/>
      </c>
      <c r="L53" s="98">
        <f>COUNTIFS(明細!$J$5:$J$363,A53,明細!$D$5:$D$363,"運用")</f>
        <v/>
      </c>
      <c r="M53" s="99">
        <f>IF(K53=0,0,L53/K53)</f>
        <v/>
      </c>
      <c r="N53" s="100">
        <f>SUM($K$6:K53)</f>
        <v/>
      </c>
      <c r="O53" s="98">
        <f>SUM($L$6:L53)</f>
        <v/>
      </c>
      <c r="P53" s="99">
        <f>IF(N53=0,"",O53/N53)</f>
        <v/>
      </c>
      <c r="Q53" s="101">
        <f>IF(A53&gt;$S$2,"予定",IF(N53=0,"－",IF(P53&gt;=1,"完了",IF(O53&gt;=N53,"順調","遅延"))))</f>
        <v/>
      </c>
      <c r="R53" s="97">
        <f>D53+K53</f>
        <v/>
      </c>
      <c r="S53" s="102">
        <f>E53+L53</f>
        <v/>
      </c>
    </row>
    <row r="54">
      <c r="A54" s="94" t="n">
        <v>46053</v>
      </c>
      <c r="B54" s="95">
        <f>CHOOSE(WEEKDAY(A54,2),"月","火","水","木","金","土","日")</f>
        <v/>
      </c>
      <c r="C54" s="96">
        <f>IF(OR(WEEKDAY(A54,2)&gt;=6,COUNTIF(祝日マスタ!$A:$A,A54)&gt;0),"非営業日","営業日")</f>
        <v/>
      </c>
      <c r="D54" s="97">
        <f>COUNTIFS(明細!$F$5:$F$363,A54,明細!$D$5:$D$363,"運用")</f>
        <v/>
      </c>
      <c r="E54" s="98">
        <f>COUNTIFS(明細!$G$5:$G$363,A54,明細!$D$5:$D$363,"運用")</f>
        <v/>
      </c>
      <c r="F54" s="99">
        <f>IF(D54=0,0,E54/D54)</f>
        <v/>
      </c>
      <c r="G54" s="100">
        <f>SUM($D$6:D54)</f>
        <v/>
      </c>
      <c r="H54" s="98">
        <f>SUM($E$6:E54)</f>
        <v/>
      </c>
      <c r="I54" s="99">
        <f>IF(G54=0,"",H54/G54)</f>
        <v/>
      </c>
      <c r="J54" s="101">
        <f>IF(A54&gt;$S$2,"予定",IF(G54=0,"－",IF(I54&gt;=1,"完了",IF(H54&gt;=G54,"順調","遅延"))))</f>
        <v/>
      </c>
      <c r="K54" s="97">
        <f>COUNTIFS(明細!$I$5:$I$363,A54,明細!$D$5:$D$363,"運用")</f>
        <v/>
      </c>
      <c r="L54" s="98">
        <f>COUNTIFS(明細!$J$5:$J$363,A54,明細!$D$5:$D$363,"運用")</f>
        <v/>
      </c>
      <c r="M54" s="99">
        <f>IF(K54=0,0,L54/K54)</f>
        <v/>
      </c>
      <c r="N54" s="100">
        <f>SUM($K$6:K54)</f>
        <v/>
      </c>
      <c r="O54" s="98">
        <f>SUM($L$6:L54)</f>
        <v/>
      </c>
      <c r="P54" s="99">
        <f>IF(N54=0,"",O54/N54)</f>
        <v/>
      </c>
      <c r="Q54" s="101">
        <f>IF(A54&gt;$S$2,"予定",IF(N54=0,"－",IF(P54&gt;=1,"完了",IF(O54&gt;=N54,"順調","遅延"))))</f>
        <v/>
      </c>
      <c r="R54" s="97">
        <f>D54+K54</f>
        <v/>
      </c>
      <c r="S54" s="102">
        <f>E54+L54</f>
        <v/>
      </c>
    </row>
    <row r="55">
      <c r="A55" s="94" t="n">
        <v>46054</v>
      </c>
      <c r="B55" s="95">
        <f>CHOOSE(WEEKDAY(A55,2),"月","火","水","木","金","土","日")</f>
        <v/>
      </c>
      <c r="C55" s="96">
        <f>IF(OR(WEEKDAY(A55,2)&gt;=6,COUNTIF(祝日マスタ!$A:$A,A55)&gt;0),"非営業日","営業日")</f>
        <v/>
      </c>
      <c r="D55" s="97">
        <f>COUNTIFS(明細!$F$5:$F$363,A55,明細!$D$5:$D$363,"運用")</f>
        <v/>
      </c>
      <c r="E55" s="98">
        <f>COUNTIFS(明細!$G$5:$G$363,A55,明細!$D$5:$D$363,"運用")</f>
        <v/>
      </c>
      <c r="F55" s="99">
        <f>IF(D55=0,0,E55/D55)</f>
        <v/>
      </c>
      <c r="G55" s="100">
        <f>SUM($D$6:D55)</f>
        <v/>
      </c>
      <c r="H55" s="98">
        <f>SUM($E$6:E55)</f>
        <v/>
      </c>
      <c r="I55" s="99">
        <f>IF(G55=0,"",H55/G55)</f>
        <v/>
      </c>
      <c r="J55" s="101">
        <f>IF(A55&gt;$S$2,"予定",IF(G55=0,"－",IF(I55&gt;=1,"完了",IF(H55&gt;=G55,"順調","遅延"))))</f>
        <v/>
      </c>
      <c r="K55" s="97">
        <f>COUNTIFS(明細!$I$5:$I$363,A55,明細!$D$5:$D$363,"運用")</f>
        <v/>
      </c>
      <c r="L55" s="98">
        <f>COUNTIFS(明細!$J$5:$J$363,A55,明細!$D$5:$D$363,"運用")</f>
        <v/>
      </c>
      <c r="M55" s="99">
        <f>IF(K55=0,0,L55/K55)</f>
        <v/>
      </c>
      <c r="N55" s="100">
        <f>SUM($K$6:K55)</f>
        <v/>
      </c>
      <c r="O55" s="98">
        <f>SUM($L$6:L55)</f>
        <v/>
      </c>
      <c r="P55" s="99">
        <f>IF(N55=0,"",O55/N55)</f>
        <v/>
      </c>
      <c r="Q55" s="101">
        <f>IF(A55&gt;$S$2,"予定",IF(N55=0,"－",IF(P55&gt;=1,"完了",IF(O55&gt;=N55,"順調","遅延"))))</f>
        <v/>
      </c>
      <c r="R55" s="97">
        <f>D55+K55</f>
        <v/>
      </c>
      <c r="S55" s="102">
        <f>E55+L55</f>
        <v/>
      </c>
    </row>
    <row r="56">
      <c r="A56" s="94" t="n">
        <v>46055</v>
      </c>
      <c r="B56" s="95">
        <f>CHOOSE(WEEKDAY(A56,2),"月","火","水","木","金","土","日")</f>
        <v/>
      </c>
      <c r="C56" s="96">
        <f>IF(OR(WEEKDAY(A56,2)&gt;=6,COUNTIF(祝日マスタ!$A:$A,A56)&gt;0),"非営業日","営業日")</f>
        <v/>
      </c>
      <c r="D56" s="97">
        <f>COUNTIFS(明細!$F$5:$F$363,A56,明細!$D$5:$D$363,"運用")</f>
        <v/>
      </c>
      <c r="E56" s="98">
        <f>COUNTIFS(明細!$G$5:$G$363,A56,明細!$D$5:$D$363,"運用")</f>
        <v/>
      </c>
      <c r="F56" s="99">
        <f>IF(D56=0,0,E56/D56)</f>
        <v/>
      </c>
      <c r="G56" s="100">
        <f>SUM($D$6:D56)</f>
        <v/>
      </c>
      <c r="H56" s="98">
        <f>SUM($E$6:E56)</f>
        <v/>
      </c>
      <c r="I56" s="99">
        <f>IF(G56=0,"",H56/G56)</f>
        <v/>
      </c>
      <c r="J56" s="101">
        <f>IF(A56&gt;$S$2,"予定",IF(G56=0,"－",IF(I56&gt;=1,"完了",IF(H56&gt;=G56,"順調","遅延"))))</f>
        <v/>
      </c>
      <c r="K56" s="97">
        <f>COUNTIFS(明細!$I$5:$I$363,A56,明細!$D$5:$D$363,"運用")</f>
        <v/>
      </c>
      <c r="L56" s="98">
        <f>COUNTIFS(明細!$J$5:$J$363,A56,明細!$D$5:$D$363,"運用")</f>
        <v/>
      </c>
      <c r="M56" s="99">
        <f>IF(K56=0,0,L56/K56)</f>
        <v/>
      </c>
      <c r="N56" s="100">
        <f>SUM($K$6:K56)</f>
        <v/>
      </c>
      <c r="O56" s="98">
        <f>SUM($L$6:L56)</f>
        <v/>
      </c>
      <c r="P56" s="99">
        <f>IF(N56=0,"",O56/N56)</f>
        <v/>
      </c>
      <c r="Q56" s="101">
        <f>IF(A56&gt;$S$2,"予定",IF(N56=0,"－",IF(P56&gt;=1,"完了",IF(O56&gt;=N56,"順調","遅延"))))</f>
        <v/>
      </c>
      <c r="R56" s="97">
        <f>D56+K56</f>
        <v/>
      </c>
      <c r="S56" s="102">
        <f>E56+L56</f>
        <v/>
      </c>
    </row>
    <row r="57">
      <c r="A57" s="94" t="n">
        <v>46056</v>
      </c>
      <c r="B57" s="95">
        <f>CHOOSE(WEEKDAY(A57,2),"月","火","水","木","金","土","日")</f>
        <v/>
      </c>
      <c r="C57" s="96">
        <f>IF(OR(WEEKDAY(A57,2)&gt;=6,COUNTIF(祝日マスタ!$A:$A,A57)&gt;0),"非営業日","営業日")</f>
        <v/>
      </c>
      <c r="D57" s="97">
        <f>COUNTIFS(明細!$F$5:$F$363,A57,明細!$D$5:$D$363,"運用")</f>
        <v/>
      </c>
      <c r="E57" s="98">
        <f>COUNTIFS(明細!$G$5:$G$363,A57,明細!$D$5:$D$363,"運用")</f>
        <v/>
      </c>
      <c r="F57" s="99">
        <f>IF(D57=0,0,E57/D57)</f>
        <v/>
      </c>
      <c r="G57" s="100">
        <f>SUM($D$6:D57)</f>
        <v/>
      </c>
      <c r="H57" s="98">
        <f>SUM($E$6:E57)</f>
        <v/>
      </c>
      <c r="I57" s="99">
        <f>IF(G57=0,"",H57/G57)</f>
        <v/>
      </c>
      <c r="J57" s="101">
        <f>IF(A57&gt;$S$2,"予定",IF(G57=0,"－",IF(I57&gt;=1,"完了",IF(H57&gt;=G57,"順調","遅延"))))</f>
        <v/>
      </c>
      <c r="K57" s="97">
        <f>COUNTIFS(明細!$I$5:$I$363,A57,明細!$D$5:$D$363,"運用")</f>
        <v/>
      </c>
      <c r="L57" s="98">
        <f>COUNTIFS(明細!$J$5:$J$363,A57,明細!$D$5:$D$363,"運用")</f>
        <v/>
      </c>
      <c r="M57" s="99">
        <f>IF(K57=0,0,L57/K57)</f>
        <v/>
      </c>
      <c r="N57" s="100">
        <f>SUM($K$6:K57)</f>
        <v/>
      </c>
      <c r="O57" s="98">
        <f>SUM($L$6:L57)</f>
        <v/>
      </c>
      <c r="P57" s="99">
        <f>IF(N57=0,"",O57/N57)</f>
        <v/>
      </c>
      <c r="Q57" s="101">
        <f>IF(A57&gt;$S$2,"予定",IF(N57=0,"－",IF(P57&gt;=1,"完了",IF(O57&gt;=N57,"順調","遅延"))))</f>
        <v/>
      </c>
      <c r="R57" s="97">
        <f>D57+K57</f>
        <v/>
      </c>
      <c r="S57" s="102">
        <f>E57+L57</f>
        <v/>
      </c>
    </row>
    <row r="58">
      <c r="A58" s="94" t="n">
        <v>46057</v>
      </c>
      <c r="B58" s="95">
        <f>CHOOSE(WEEKDAY(A58,2),"月","火","水","木","金","土","日")</f>
        <v/>
      </c>
      <c r="C58" s="96">
        <f>IF(OR(WEEKDAY(A58,2)&gt;=6,COUNTIF(祝日マスタ!$A:$A,A58)&gt;0),"非営業日","営業日")</f>
        <v/>
      </c>
      <c r="D58" s="97">
        <f>COUNTIFS(明細!$F$5:$F$363,A58,明細!$D$5:$D$363,"運用")</f>
        <v/>
      </c>
      <c r="E58" s="98">
        <f>COUNTIFS(明細!$G$5:$G$363,A58,明細!$D$5:$D$363,"運用")</f>
        <v/>
      </c>
      <c r="F58" s="99">
        <f>IF(D58=0,0,E58/D58)</f>
        <v/>
      </c>
      <c r="G58" s="100">
        <f>SUM($D$6:D58)</f>
        <v/>
      </c>
      <c r="H58" s="98">
        <f>SUM($E$6:E58)</f>
        <v/>
      </c>
      <c r="I58" s="99">
        <f>IF(G58=0,"",H58/G58)</f>
        <v/>
      </c>
      <c r="J58" s="101">
        <f>IF(A58&gt;$S$2,"予定",IF(G58=0,"－",IF(I58&gt;=1,"完了",IF(H58&gt;=G58,"順調","遅延"))))</f>
        <v/>
      </c>
      <c r="K58" s="97">
        <f>COUNTIFS(明細!$I$5:$I$363,A58,明細!$D$5:$D$363,"運用")</f>
        <v/>
      </c>
      <c r="L58" s="98">
        <f>COUNTIFS(明細!$J$5:$J$363,A58,明細!$D$5:$D$363,"運用")</f>
        <v/>
      </c>
      <c r="M58" s="99">
        <f>IF(K58=0,0,L58/K58)</f>
        <v/>
      </c>
      <c r="N58" s="100">
        <f>SUM($K$6:K58)</f>
        <v/>
      </c>
      <c r="O58" s="98">
        <f>SUM($L$6:L58)</f>
        <v/>
      </c>
      <c r="P58" s="99">
        <f>IF(N58=0,"",O58/N58)</f>
        <v/>
      </c>
      <c r="Q58" s="101">
        <f>IF(A58&gt;$S$2,"予定",IF(N58=0,"－",IF(P58&gt;=1,"完了",IF(O58&gt;=N58,"順調","遅延"))))</f>
        <v/>
      </c>
      <c r="R58" s="97">
        <f>D58+K58</f>
        <v/>
      </c>
      <c r="S58" s="102">
        <f>E58+L58</f>
        <v/>
      </c>
    </row>
    <row r="59">
      <c r="A59" s="94" t="n">
        <v>46058</v>
      </c>
      <c r="B59" s="95">
        <f>CHOOSE(WEEKDAY(A59,2),"月","火","水","木","金","土","日")</f>
        <v/>
      </c>
      <c r="C59" s="96">
        <f>IF(OR(WEEKDAY(A59,2)&gt;=6,COUNTIF(祝日マスタ!$A:$A,A59)&gt;0),"非営業日","営業日")</f>
        <v/>
      </c>
      <c r="D59" s="97">
        <f>COUNTIFS(明細!$F$5:$F$363,A59,明細!$D$5:$D$363,"運用")</f>
        <v/>
      </c>
      <c r="E59" s="98">
        <f>COUNTIFS(明細!$G$5:$G$363,A59,明細!$D$5:$D$363,"運用")</f>
        <v/>
      </c>
      <c r="F59" s="99">
        <f>IF(D59=0,0,E59/D59)</f>
        <v/>
      </c>
      <c r="G59" s="100">
        <f>SUM($D$6:D59)</f>
        <v/>
      </c>
      <c r="H59" s="98">
        <f>SUM($E$6:E59)</f>
        <v/>
      </c>
      <c r="I59" s="99">
        <f>IF(G59=0,"",H59/G59)</f>
        <v/>
      </c>
      <c r="J59" s="101">
        <f>IF(A59&gt;$S$2,"予定",IF(G59=0,"－",IF(I59&gt;=1,"完了",IF(H59&gt;=G59,"順調","遅延"))))</f>
        <v/>
      </c>
      <c r="K59" s="97">
        <f>COUNTIFS(明細!$I$5:$I$363,A59,明細!$D$5:$D$363,"運用")</f>
        <v/>
      </c>
      <c r="L59" s="98">
        <f>COUNTIFS(明細!$J$5:$J$363,A59,明細!$D$5:$D$363,"運用")</f>
        <v/>
      </c>
      <c r="M59" s="99">
        <f>IF(K59=0,0,L59/K59)</f>
        <v/>
      </c>
      <c r="N59" s="100">
        <f>SUM($K$6:K59)</f>
        <v/>
      </c>
      <c r="O59" s="98">
        <f>SUM($L$6:L59)</f>
        <v/>
      </c>
      <c r="P59" s="99">
        <f>IF(N59=0,"",O59/N59)</f>
        <v/>
      </c>
      <c r="Q59" s="101">
        <f>IF(A59&gt;$S$2,"予定",IF(N59=0,"－",IF(P59&gt;=1,"完了",IF(O59&gt;=N59,"順調","遅延"))))</f>
        <v/>
      </c>
      <c r="R59" s="97">
        <f>D59+K59</f>
        <v/>
      </c>
      <c r="S59" s="102">
        <f>E59+L59</f>
        <v/>
      </c>
    </row>
    <row r="60">
      <c r="A60" s="94" t="n">
        <v>46059</v>
      </c>
      <c r="B60" s="95">
        <f>CHOOSE(WEEKDAY(A60,2),"月","火","水","木","金","土","日")</f>
        <v/>
      </c>
      <c r="C60" s="96">
        <f>IF(OR(WEEKDAY(A60,2)&gt;=6,COUNTIF(祝日マスタ!$A:$A,A60)&gt;0),"非営業日","営業日")</f>
        <v/>
      </c>
      <c r="D60" s="97">
        <f>COUNTIFS(明細!$F$5:$F$363,A60,明細!$D$5:$D$363,"運用")</f>
        <v/>
      </c>
      <c r="E60" s="98">
        <f>COUNTIFS(明細!$G$5:$G$363,A60,明細!$D$5:$D$363,"運用")</f>
        <v/>
      </c>
      <c r="F60" s="99">
        <f>IF(D60=0,0,E60/D60)</f>
        <v/>
      </c>
      <c r="G60" s="100">
        <f>SUM($D$6:D60)</f>
        <v/>
      </c>
      <c r="H60" s="98">
        <f>SUM($E$6:E60)</f>
        <v/>
      </c>
      <c r="I60" s="99">
        <f>IF(G60=0,"",H60/G60)</f>
        <v/>
      </c>
      <c r="J60" s="101">
        <f>IF(A60&gt;$S$2,"予定",IF(G60=0,"－",IF(I60&gt;=1,"完了",IF(H60&gt;=G60,"順調","遅延"))))</f>
        <v/>
      </c>
      <c r="K60" s="97">
        <f>COUNTIFS(明細!$I$5:$I$363,A60,明細!$D$5:$D$363,"運用")</f>
        <v/>
      </c>
      <c r="L60" s="98">
        <f>COUNTIFS(明細!$J$5:$J$363,A60,明細!$D$5:$D$363,"運用")</f>
        <v/>
      </c>
      <c r="M60" s="99">
        <f>IF(K60=0,0,L60/K60)</f>
        <v/>
      </c>
      <c r="N60" s="100">
        <f>SUM($K$6:K60)</f>
        <v/>
      </c>
      <c r="O60" s="98">
        <f>SUM($L$6:L60)</f>
        <v/>
      </c>
      <c r="P60" s="99">
        <f>IF(N60=0,"",O60/N60)</f>
        <v/>
      </c>
      <c r="Q60" s="101">
        <f>IF(A60&gt;$S$2,"予定",IF(N60=0,"－",IF(P60&gt;=1,"完了",IF(O60&gt;=N60,"順調","遅延"))))</f>
        <v/>
      </c>
      <c r="R60" s="97">
        <f>D60+K60</f>
        <v/>
      </c>
      <c r="S60" s="102">
        <f>E60+L60</f>
        <v/>
      </c>
    </row>
    <row r="61">
      <c r="A61" s="94" t="n">
        <v>46060</v>
      </c>
      <c r="B61" s="95">
        <f>CHOOSE(WEEKDAY(A61,2),"月","火","水","木","金","土","日")</f>
        <v/>
      </c>
      <c r="C61" s="96">
        <f>IF(OR(WEEKDAY(A61,2)&gt;=6,COUNTIF(祝日マスタ!$A:$A,A61)&gt;0),"非営業日","営業日")</f>
        <v/>
      </c>
      <c r="D61" s="97">
        <f>COUNTIFS(明細!$F$5:$F$363,A61,明細!$D$5:$D$363,"運用")</f>
        <v/>
      </c>
      <c r="E61" s="98">
        <f>COUNTIFS(明細!$G$5:$G$363,A61,明細!$D$5:$D$363,"運用")</f>
        <v/>
      </c>
      <c r="F61" s="99">
        <f>IF(D61=0,0,E61/D61)</f>
        <v/>
      </c>
      <c r="G61" s="100">
        <f>SUM($D$6:D61)</f>
        <v/>
      </c>
      <c r="H61" s="98">
        <f>SUM($E$6:E61)</f>
        <v/>
      </c>
      <c r="I61" s="99">
        <f>IF(G61=0,"",H61/G61)</f>
        <v/>
      </c>
      <c r="J61" s="101">
        <f>IF(A61&gt;$S$2,"予定",IF(G61=0,"－",IF(I61&gt;=1,"完了",IF(H61&gt;=G61,"順調","遅延"))))</f>
        <v/>
      </c>
      <c r="K61" s="97">
        <f>COUNTIFS(明細!$I$5:$I$363,A61,明細!$D$5:$D$363,"運用")</f>
        <v/>
      </c>
      <c r="L61" s="98">
        <f>COUNTIFS(明細!$J$5:$J$363,A61,明細!$D$5:$D$363,"運用")</f>
        <v/>
      </c>
      <c r="M61" s="99">
        <f>IF(K61=0,0,L61/K61)</f>
        <v/>
      </c>
      <c r="N61" s="100">
        <f>SUM($K$6:K61)</f>
        <v/>
      </c>
      <c r="O61" s="98">
        <f>SUM($L$6:L61)</f>
        <v/>
      </c>
      <c r="P61" s="99">
        <f>IF(N61=0,"",O61/N61)</f>
        <v/>
      </c>
      <c r="Q61" s="101">
        <f>IF(A61&gt;$S$2,"予定",IF(N61=0,"－",IF(P61&gt;=1,"完了",IF(O61&gt;=N61,"順調","遅延"))))</f>
        <v/>
      </c>
      <c r="R61" s="97">
        <f>D61+K61</f>
        <v/>
      </c>
      <c r="S61" s="102">
        <f>E61+L61</f>
        <v/>
      </c>
    </row>
    <row r="62">
      <c r="A62" s="94" t="n">
        <v>46061</v>
      </c>
      <c r="B62" s="95">
        <f>CHOOSE(WEEKDAY(A62,2),"月","火","水","木","金","土","日")</f>
        <v/>
      </c>
      <c r="C62" s="96">
        <f>IF(OR(WEEKDAY(A62,2)&gt;=6,COUNTIF(祝日マスタ!$A:$A,A62)&gt;0),"非営業日","営業日")</f>
        <v/>
      </c>
      <c r="D62" s="97">
        <f>COUNTIFS(明細!$F$5:$F$363,A62,明細!$D$5:$D$363,"運用")</f>
        <v/>
      </c>
      <c r="E62" s="98">
        <f>COUNTIFS(明細!$G$5:$G$363,A62,明細!$D$5:$D$363,"運用")</f>
        <v/>
      </c>
      <c r="F62" s="99">
        <f>IF(D62=0,0,E62/D62)</f>
        <v/>
      </c>
      <c r="G62" s="100">
        <f>SUM($D$6:D62)</f>
        <v/>
      </c>
      <c r="H62" s="98">
        <f>SUM($E$6:E62)</f>
        <v/>
      </c>
      <c r="I62" s="99">
        <f>IF(G62=0,"",H62/G62)</f>
        <v/>
      </c>
      <c r="J62" s="101">
        <f>IF(A62&gt;$S$2,"予定",IF(G62=0,"－",IF(I62&gt;=1,"完了",IF(H62&gt;=G62,"順調","遅延"))))</f>
        <v/>
      </c>
      <c r="K62" s="97">
        <f>COUNTIFS(明細!$I$5:$I$363,A62,明細!$D$5:$D$363,"運用")</f>
        <v/>
      </c>
      <c r="L62" s="98">
        <f>COUNTIFS(明細!$J$5:$J$363,A62,明細!$D$5:$D$363,"運用")</f>
        <v/>
      </c>
      <c r="M62" s="99">
        <f>IF(K62=0,0,L62/K62)</f>
        <v/>
      </c>
      <c r="N62" s="100">
        <f>SUM($K$6:K62)</f>
        <v/>
      </c>
      <c r="O62" s="98">
        <f>SUM($L$6:L62)</f>
        <v/>
      </c>
      <c r="P62" s="99">
        <f>IF(N62=0,"",O62/N62)</f>
        <v/>
      </c>
      <c r="Q62" s="101">
        <f>IF(A62&gt;$S$2,"予定",IF(N62=0,"－",IF(P62&gt;=1,"完了",IF(O62&gt;=N62,"順調","遅延"))))</f>
        <v/>
      </c>
      <c r="R62" s="97">
        <f>D62+K62</f>
        <v/>
      </c>
      <c r="S62" s="102">
        <f>E62+L62</f>
        <v/>
      </c>
    </row>
    <row r="63">
      <c r="A63" s="94" t="n">
        <v>46062</v>
      </c>
      <c r="B63" s="95">
        <f>CHOOSE(WEEKDAY(A63,2),"月","火","水","木","金","土","日")</f>
        <v/>
      </c>
      <c r="C63" s="96">
        <f>IF(OR(WEEKDAY(A63,2)&gt;=6,COUNTIF(祝日マスタ!$A:$A,A63)&gt;0),"非営業日","営業日")</f>
        <v/>
      </c>
      <c r="D63" s="97">
        <f>COUNTIFS(明細!$F$5:$F$363,A63,明細!$D$5:$D$363,"運用")</f>
        <v/>
      </c>
      <c r="E63" s="98">
        <f>COUNTIFS(明細!$G$5:$G$363,A63,明細!$D$5:$D$363,"運用")</f>
        <v/>
      </c>
      <c r="F63" s="99">
        <f>IF(D63=0,0,E63/D63)</f>
        <v/>
      </c>
      <c r="G63" s="100">
        <f>SUM($D$6:D63)</f>
        <v/>
      </c>
      <c r="H63" s="98">
        <f>SUM($E$6:E63)</f>
        <v/>
      </c>
      <c r="I63" s="99">
        <f>IF(G63=0,"",H63/G63)</f>
        <v/>
      </c>
      <c r="J63" s="101">
        <f>IF(A63&gt;$S$2,"予定",IF(G63=0,"－",IF(I63&gt;=1,"完了",IF(H63&gt;=G63,"順調","遅延"))))</f>
        <v/>
      </c>
      <c r="K63" s="97">
        <f>COUNTIFS(明細!$I$5:$I$363,A63,明細!$D$5:$D$363,"運用")</f>
        <v/>
      </c>
      <c r="L63" s="98">
        <f>COUNTIFS(明細!$J$5:$J$363,A63,明細!$D$5:$D$363,"運用")</f>
        <v/>
      </c>
      <c r="M63" s="99">
        <f>IF(K63=0,0,L63/K63)</f>
        <v/>
      </c>
      <c r="N63" s="100">
        <f>SUM($K$6:K63)</f>
        <v/>
      </c>
      <c r="O63" s="98">
        <f>SUM($L$6:L63)</f>
        <v/>
      </c>
      <c r="P63" s="99">
        <f>IF(N63=0,"",O63/N63)</f>
        <v/>
      </c>
      <c r="Q63" s="101">
        <f>IF(A63&gt;$S$2,"予定",IF(N63=0,"－",IF(P63&gt;=1,"完了",IF(O63&gt;=N63,"順調","遅延"))))</f>
        <v/>
      </c>
      <c r="R63" s="97">
        <f>D63+K63</f>
        <v/>
      </c>
      <c r="S63" s="102">
        <f>E63+L63</f>
        <v/>
      </c>
    </row>
    <row r="64">
      <c r="A64" s="94" t="n">
        <v>46063</v>
      </c>
      <c r="B64" s="95">
        <f>CHOOSE(WEEKDAY(A64,2),"月","火","水","木","金","土","日")</f>
        <v/>
      </c>
      <c r="C64" s="96">
        <f>IF(OR(WEEKDAY(A64,2)&gt;=6,COUNTIF(祝日マスタ!$A:$A,A64)&gt;0),"非営業日","営業日")</f>
        <v/>
      </c>
      <c r="D64" s="97">
        <f>COUNTIFS(明細!$F$5:$F$363,A64,明細!$D$5:$D$363,"運用")</f>
        <v/>
      </c>
      <c r="E64" s="98">
        <f>COUNTIFS(明細!$G$5:$G$363,A64,明細!$D$5:$D$363,"運用")</f>
        <v/>
      </c>
      <c r="F64" s="99">
        <f>IF(D64=0,0,E64/D64)</f>
        <v/>
      </c>
      <c r="G64" s="100">
        <f>SUM($D$6:D64)</f>
        <v/>
      </c>
      <c r="H64" s="98">
        <f>SUM($E$6:E64)</f>
        <v/>
      </c>
      <c r="I64" s="99">
        <f>IF(G64=0,"",H64/G64)</f>
        <v/>
      </c>
      <c r="J64" s="101">
        <f>IF(A64&gt;$S$2,"予定",IF(G64=0,"－",IF(I64&gt;=1,"完了",IF(H64&gt;=G64,"順調","遅延"))))</f>
        <v/>
      </c>
      <c r="K64" s="97">
        <f>COUNTIFS(明細!$I$5:$I$363,A64,明細!$D$5:$D$363,"運用")</f>
        <v/>
      </c>
      <c r="L64" s="98">
        <f>COUNTIFS(明細!$J$5:$J$363,A64,明細!$D$5:$D$363,"運用")</f>
        <v/>
      </c>
      <c r="M64" s="99">
        <f>IF(K64=0,0,L64/K64)</f>
        <v/>
      </c>
      <c r="N64" s="100">
        <f>SUM($K$6:K64)</f>
        <v/>
      </c>
      <c r="O64" s="98">
        <f>SUM($L$6:L64)</f>
        <v/>
      </c>
      <c r="P64" s="99">
        <f>IF(N64=0,"",O64/N64)</f>
        <v/>
      </c>
      <c r="Q64" s="101">
        <f>IF(A64&gt;$S$2,"予定",IF(N64=0,"－",IF(P64&gt;=1,"完了",IF(O64&gt;=N64,"順調","遅延"))))</f>
        <v/>
      </c>
      <c r="R64" s="97">
        <f>D64+K64</f>
        <v/>
      </c>
      <c r="S64" s="102">
        <f>E64+L64</f>
        <v/>
      </c>
    </row>
    <row r="65">
      <c r="A65" s="94" t="n">
        <v>46064</v>
      </c>
      <c r="B65" s="95">
        <f>CHOOSE(WEEKDAY(A65,2),"月","火","水","木","金","土","日")</f>
        <v/>
      </c>
      <c r="C65" s="96">
        <f>IF(OR(WEEKDAY(A65,2)&gt;=6,COUNTIF(祝日マスタ!$A:$A,A65)&gt;0),"非営業日","営業日")</f>
        <v/>
      </c>
      <c r="D65" s="97">
        <f>COUNTIFS(明細!$F$5:$F$363,A65,明細!$D$5:$D$363,"運用")</f>
        <v/>
      </c>
      <c r="E65" s="98">
        <f>COUNTIFS(明細!$G$5:$G$363,A65,明細!$D$5:$D$363,"運用")</f>
        <v/>
      </c>
      <c r="F65" s="99">
        <f>IF(D65=0,0,E65/D65)</f>
        <v/>
      </c>
      <c r="G65" s="100">
        <f>SUM($D$6:D65)</f>
        <v/>
      </c>
      <c r="H65" s="98">
        <f>SUM($E$6:E65)</f>
        <v/>
      </c>
      <c r="I65" s="99">
        <f>IF(G65=0,"",H65/G65)</f>
        <v/>
      </c>
      <c r="J65" s="101">
        <f>IF(A65&gt;$S$2,"予定",IF(G65=0,"－",IF(I65&gt;=1,"完了",IF(H65&gt;=G65,"順調","遅延"))))</f>
        <v/>
      </c>
      <c r="K65" s="97">
        <f>COUNTIFS(明細!$I$5:$I$363,A65,明細!$D$5:$D$363,"運用")</f>
        <v/>
      </c>
      <c r="L65" s="98">
        <f>COUNTIFS(明細!$J$5:$J$363,A65,明細!$D$5:$D$363,"運用")</f>
        <v/>
      </c>
      <c r="M65" s="99">
        <f>IF(K65=0,0,L65/K65)</f>
        <v/>
      </c>
      <c r="N65" s="100">
        <f>SUM($K$6:K65)</f>
        <v/>
      </c>
      <c r="O65" s="98">
        <f>SUM($L$6:L65)</f>
        <v/>
      </c>
      <c r="P65" s="99">
        <f>IF(N65=0,"",O65/N65)</f>
        <v/>
      </c>
      <c r="Q65" s="101">
        <f>IF(A65&gt;$S$2,"予定",IF(N65=0,"－",IF(P65&gt;=1,"完了",IF(O65&gt;=N65,"順調","遅延"))))</f>
        <v/>
      </c>
      <c r="R65" s="97">
        <f>D65+K65</f>
        <v/>
      </c>
      <c r="S65" s="102">
        <f>E65+L65</f>
        <v/>
      </c>
    </row>
    <row r="66">
      <c r="A66" s="94" t="n">
        <v>46065</v>
      </c>
      <c r="B66" s="95">
        <f>CHOOSE(WEEKDAY(A66,2),"月","火","水","木","金","土","日")</f>
        <v/>
      </c>
      <c r="C66" s="96">
        <f>IF(OR(WEEKDAY(A66,2)&gt;=6,COUNTIF(祝日マスタ!$A:$A,A66)&gt;0),"非営業日","営業日")</f>
        <v/>
      </c>
      <c r="D66" s="97">
        <f>COUNTIFS(明細!$F$5:$F$363,A66,明細!$D$5:$D$363,"運用")</f>
        <v/>
      </c>
      <c r="E66" s="98">
        <f>COUNTIFS(明細!$G$5:$G$363,A66,明細!$D$5:$D$363,"運用")</f>
        <v/>
      </c>
      <c r="F66" s="99">
        <f>IF(D66=0,0,E66/D66)</f>
        <v/>
      </c>
      <c r="G66" s="100">
        <f>SUM($D$6:D66)</f>
        <v/>
      </c>
      <c r="H66" s="98">
        <f>SUM($E$6:E66)</f>
        <v/>
      </c>
      <c r="I66" s="99">
        <f>IF(G66=0,"",H66/G66)</f>
        <v/>
      </c>
      <c r="J66" s="101">
        <f>IF(A66&gt;$S$2,"予定",IF(G66=0,"－",IF(I66&gt;=1,"完了",IF(H66&gt;=G66,"順調","遅延"))))</f>
        <v/>
      </c>
      <c r="K66" s="97">
        <f>COUNTIFS(明細!$I$5:$I$363,A66,明細!$D$5:$D$363,"運用")</f>
        <v/>
      </c>
      <c r="L66" s="98">
        <f>COUNTIFS(明細!$J$5:$J$363,A66,明細!$D$5:$D$363,"運用")</f>
        <v/>
      </c>
      <c r="M66" s="99">
        <f>IF(K66=0,0,L66/K66)</f>
        <v/>
      </c>
      <c r="N66" s="100">
        <f>SUM($K$6:K66)</f>
        <v/>
      </c>
      <c r="O66" s="98">
        <f>SUM($L$6:L66)</f>
        <v/>
      </c>
      <c r="P66" s="99">
        <f>IF(N66=0,"",O66/N66)</f>
        <v/>
      </c>
      <c r="Q66" s="101">
        <f>IF(A66&gt;$S$2,"予定",IF(N66=0,"－",IF(P66&gt;=1,"完了",IF(O66&gt;=N66,"順調","遅延"))))</f>
        <v/>
      </c>
      <c r="R66" s="97">
        <f>D66+K66</f>
        <v/>
      </c>
      <c r="S66" s="102">
        <f>E66+L66</f>
        <v/>
      </c>
    </row>
    <row r="67">
      <c r="A67" s="94" t="n">
        <v>46066</v>
      </c>
      <c r="B67" s="95">
        <f>CHOOSE(WEEKDAY(A67,2),"月","火","水","木","金","土","日")</f>
        <v/>
      </c>
      <c r="C67" s="96">
        <f>IF(OR(WEEKDAY(A67,2)&gt;=6,COUNTIF(祝日マスタ!$A:$A,A67)&gt;0),"非営業日","営業日")</f>
        <v/>
      </c>
      <c r="D67" s="97">
        <f>COUNTIFS(明細!$F$5:$F$363,A67,明細!$D$5:$D$363,"運用")</f>
        <v/>
      </c>
      <c r="E67" s="98">
        <f>COUNTIFS(明細!$G$5:$G$363,A67,明細!$D$5:$D$363,"運用")</f>
        <v/>
      </c>
      <c r="F67" s="99">
        <f>IF(D67=0,0,E67/D67)</f>
        <v/>
      </c>
      <c r="G67" s="100">
        <f>SUM($D$6:D67)</f>
        <v/>
      </c>
      <c r="H67" s="98">
        <f>SUM($E$6:E67)</f>
        <v/>
      </c>
      <c r="I67" s="99">
        <f>IF(G67=0,"",H67/G67)</f>
        <v/>
      </c>
      <c r="J67" s="101">
        <f>IF(A67&gt;$S$2,"予定",IF(G67=0,"－",IF(I67&gt;=1,"完了",IF(H67&gt;=G67,"順調","遅延"))))</f>
        <v/>
      </c>
      <c r="K67" s="97">
        <f>COUNTIFS(明細!$I$5:$I$363,A67,明細!$D$5:$D$363,"運用")</f>
        <v/>
      </c>
      <c r="L67" s="98">
        <f>COUNTIFS(明細!$J$5:$J$363,A67,明細!$D$5:$D$363,"運用")</f>
        <v/>
      </c>
      <c r="M67" s="99">
        <f>IF(K67=0,0,L67/K67)</f>
        <v/>
      </c>
      <c r="N67" s="100">
        <f>SUM($K$6:K67)</f>
        <v/>
      </c>
      <c r="O67" s="98">
        <f>SUM($L$6:L67)</f>
        <v/>
      </c>
      <c r="P67" s="99">
        <f>IF(N67=0,"",O67/N67)</f>
        <v/>
      </c>
      <c r="Q67" s="101">
        <f>IF(A67&gt;$S$2,"予定",IF(N67=0,"－",IF(P67&gt;=1,"完了",IF(O67&gt;=N67,"順調","遅延"))))</f>
        <v/>
      </c>
      <c r="R67" s="97">
        <f>D67+K67</f>
        <v/>
      </c>
      <c r="S67" s="102">
        <f>E67+L67</f>
        <v/>
      </c>
    </row>
    <row r="68">
      <c r="A68" s="94" t="n">
        <v>46067</v>
      </c>
      <c r="B68" s="95">
        <f>CHOOSE(WEEKDAY(A68,2),"月","火","水","木","金","土","日")</f>
        <v/>
      </c>
      <c r="C68" s="96">
        <f>IF(OR(WEEKDAY(A68,2)&gt;=6,COUNTIF(祝日マスタ!$A:$A,A68)&gt;0),"非営業日","営業日")</f>
        <v/>
      </c>
      <c r="D68" s="97">
        <f>COUNTIFS(明細!$F$5:$F$363,A68,明細!$D$5:$D$363,"運用")</f>
        <v/>
      </c>
      <c r="E68" s="98">
        <f>COUNTIFS(明細!$G$5:$G$363,A68,明細!$D$5:$D$363,"運用")</f>
        <v/>
      </c>
      <c r="F68" s="99">
        <f>IF(D68=0,0,E68/D68)</f>
        <v/>
      </c>
      <c r="G68" s="100">
        <f>SUM($D$6:D68)</f>
        <v/>
      </c>
      <c r="H68" s="98">
        <f>SUM($E$6:E68)</f>
        <v/>
      </c>
      <c r="I68" s="99">
        <f>IF(G68=0,"",H68/G68)</f>
        <v/>
      </c>
      <c r="J68" s="101">
        <f>IF(A68&gt;$S$2,"予定",IF(G68=0,"－",IF(I68&gt;=1,"完了",IF(H68&gt;=G68,"順調","遅延"))))</f>
        <v/>
      </c>
      <c r="K68" s="97">
        <f>COUNTIFS(明細!$I$5:$I$363,A68,明細!$D$5:$D$363,"運用")</f>
        <v/>
      </c>
      <c r="L68" s="98">
        <f>COUNTIFS(明細!$J$5:$J$363,A68,明細!$D$5:$D$363,"運用")</f>
        <v/>
      </c>
      <c r="M68" s="99">
        <f>IF(K68=0,0,L68/K68)</f>
        <v/>
      </c>
      <c r="N68" s="100">
        <f>SUM($K$6:K68)</f>
        <v/>
      </c>
      <c r="O68" s="98">
        <f>SUM($L$6:L68)</f>
        <v/>
      </c>
      <c r="P68" s="99">
        <f>IF(N68=0,"",O68/N68)</f>
        <v/>
      </c>
      <c r="Q68" s="101">
        <f>IF(A68&gt;$S$2,"予定",IF(N68=0,"－",IF(P68&gt;=1,"完了",IF(O68&gt;=N68,"順調","遅延"))))</f>
        <v/>
      </c>
      <c r="R68" s="97">
        <f>D68+K68</f>
        <v/>
      </c>
      <c r="S68" s="102">
        <f>E68+L68</f>
        <v/>
      </c>
    </row>
    <row r="69">
      <c r="A69" s="94" t="n">
        <v>46068</v>
      </c>
      <c r="B69" s="95">
        <f>CHOOSE(WEEKDAY(A69,2),"月","火","水","木","金","土","日")</f>
        <v/>
      </c>
      <c r="C69" s="96">
        <f>IF(OR(WEEKDAY(A69,2)&gt;=6,COUNTIF(祝日マスタ!$A:$A,A69)&gt;0),"非営業日","営業日")</f>
        <v/>
      </c>
      <c r="D69" s="97">
        <f>COUNTIFS(明細!$F$5:$F$363,A69,明細!$D$5:$D$363,"運用")</f>
        <v/>
      </c>
      <c r="E69" s="98">
        <f>COUNTIFS(明細!$G$5:$G$363,A69,明細!$D$5:$D$363,"運用")</f>
        <v/>
      </c>
      <c r="F69" s="99">
        <f>IF(D69=0,0,E69/D69)</f>
        <v/>
      </c>
      <c r="G69" s="100">
        <f>SUM($D$6:D69)</f>
        <v/>
      </c>
      <c r="H69" s="98">
        <f>SUM($E$6:E69)</f>
        <v/>
      </c>
      <c r="I69" s="99">
        <f>IF(G69=0,"",H69/G69)</f>
        <v/>
      </c>
      <c r="J69" s="101">
        <f>IF(A69&gt;$S$2,"予定",IF(G69=0,"－",IF(I69&gt;=1,"完了",IF(H69&gt;=G69,"順調","遅延"))))</f>
        <v/>
      </c>
      <c r="K69" s="97">
        <f>COUNTIFS(明細!$I$5:$I$363,A69,明細!$D$5:$D$363,"運用")</f>
        <v/>
      </c>
      <c r="L69" s="98">
        <f>COUNTIFS(明細!$J$5:$J$363,A69,明細!$D$5:$D$363,"運用")</f>
        <v/>
      </c>
      <c r="M69" s="99">
        <f>IF(K69=0,0,L69/K69)</f>
        <v/>
      </c>
      <c r="N69" s="100">
        <f>SUM($K$6:K69)</f>
        <v/>
      </c>
      <c r="O69" s="98">
        <f>SUM($L$6:L69)</f>
        <v/>
      </c>
      <c r="P69" s="99">
        <f>IF(N69=0,"",O69/N69)</f>
        <v/>
      </c>
      <c r="Q69" s="101">
        <f>IF(A69&gt;$S$2,"予定",IF(N69=0,"－",IF(P69&gt;=1,"完了",IF(O69&gt;=N69,"順調","遅延"))))</f>
        <v/>
      </c>
      <c r="R69" s="97">
        <f>D69+K69</f>
        <v/>
      </c>
      <c r="S69" s="102">
        <f>E69+L69</f>
        <v/>
      </c>
    </row>
    <row r="70">
      <c r="A70" s="94" t="n">
        <v>46069</v>
      </c>
      <c r="B70" s="95">
        <f>CHOOSE(WEEKDAY(A70,2),"月","火","水","木","金","土","日")</f>
        <v/>
      </c>
      <c r="C70" s="96">
        <f>IF(OR(WEEKDAY(A70,2)&gt;=6,COUNTIF(祝日マスタ!$A:$A,A70)&gt;0),"非営業日","営業日")</f>
        <v/>
      </c>
      <c r="D70" s="97">
        <f>COUNTIFS(明細!$F$5:$F$363,A70,明細!$D$5:$D$363,"運用")</f>
        <v/>
      </c>
      <c r="E70" s="98">
        <f>COUNTIFS(明細!$G$5:$G$363,A70,明細!$D$5:$D$363,"運用")</f>
        <v/>
      </c>
      <c r="F70" s="99">
        <f>IF(D70=0,0,E70/D70)</f>
        <v/>
      </c>
      <c r="G70" s="100">
        <f>SUM($D$6:D70)</f>
        <v/>
      </c>
      <c r="H70" s="98">
        <f>SUM($E$6:E70)</f>
        <v/>
      </c>
      <c r="I70" s="99">
        <f>IF(G70=0,"",H70/G70)</f>
        <v/>
      </c>
      <c r="J70" s="101">
        <f>IF(A70&gt;$S$2,"予定",IF(G70=0,"－",IF(I70&gt;=1,"完了",IF(H70&gt;=G70,"順調","遅延"))))</f>
        <v/>
      </c>
      <c r="K70" s="97">
        <f>COUNTIFS(明細!$I$5:$I$363,A70,明細!$D$5:$D$363,"運用")</f>
        <v/>
      </c>
      <c r="L70" s="98">
        <f>COUNTIFS(明細!$J$5:$J$363,A70,明細!$D$5:$D$363,"運用")</f>
        <v/>
      </c>
      <c r="M70" s="99">
        <f>IF(K70=0,0,L70/K70)</f>
        <v/>
      </c>
      <c r="N70" s="100">
        <f>SUM($K$6:K70)</f>
        <v/>
      </c>
      <c r="O70" s="98">
        <f>SUM($L$6:L70)</f>
        <v/>
      </c>
      <c r="P70" s="99">
        <f>IF(N70=0,"",O70/N70)</f>
        <v/>
      </c>
      <c r="Q70" s="101">
        <f>IF(A70&gt;$S$2,"予定",IF(N70=0,"－",IF(P70&gt;=1,"完了",IF(O70&gt;=N70,"順調","遅延"))))</f>
        <v/>
      </c>
      <c r="R70" s="97">
        <f>D70+K70</f>
        <v/>
      </c>
      <c r="S70" s="102">
        <f>E70+L70</f>
        <v/>
      </c>
    </row>
    <row r="71">
      <c r="A71" s="94" t="n">
        <v>46070</v>
      </c>
      <c r="B71" s="95">
        <f>CHOOSE(WEEKDAY(A71,2),"月","火","水","木","金","土","日")</f>
        <v/>
      </c>
      <c r="C71" s="96">
        <f>IF(OR(WEEKDAY(A71,2)&gt;=6,COUNTIF(祝日マスタ!$A:$A,A71)&gt;0),"非営業日","営業日")</f>
        <v/>
      </c>
      <c r="D71" s="97">
        <f>COUNTIFS(明細!$F$5:$F$363,A71,明細!$D$5:$D$363,"運用")</f>
        <v/>
      </c>
      <c r="E71" s="98">
        <f>COUNTIFS(明細!$G$5:$G$363,A71,明細!$D$5:$D$363,"運用")</f>
        <v/>
      </c>
      <c r="F71" s="99">
        <f>IF(D71=0,0,E71/D71)</f>
        <v/>
      </c>
      <c r="G71" s="100">
        <f>SUM($D$6:D71)</f>
        <v/>
      </c>
      <c r="H71" s="98">
        <f>SUM($E$6:E71)</f>
        <v/>
      </c>
      <c r="I71" s="99">
        <f>IF(G71=0,"",H71/G71)</f>
        <v/>
      </c>
      <c r="J71" s="101">
        <f>IF(A71&gt;$S$2,"予定",IF(G71=0,"－",IF(I71&gt;=1,"完了",IF(H71&gt;=G71,"順調","遅延"))))</f>
        <v/>
      </c>
      <c r="K71" s="97">
        <f>COUNTIFS(明細!$I$5:$I$363,A71,明細!$D$5:$D$363,"運用")</f>
        <v/>
      </c>
      <c r="L71" s="98">
        <f>COUNTIFS(明細!$J$5:$J$363,A71,明細!$D$5:$D$363,"運用")</f>
        <v/>
      </c>
      <c r="M71" s="99">
        <f>IF(K71=0,0,L71/K71)</f>
        <v/>
      </c>
      <c r="N71" s="100">
        <f>SUM($K$6:K71)</f>
        <v/>
      </c>
      <c r="O71" s="98">
        <f>SUM($L$6:L71)</f>
        <v/>
      </c>
      <c r="P71" s="99">
        <f>IF(N71=0,"",O71/N71)</f>
        <v/>
      </c>
      <c r="Q71" s="101">
        <f>IF(A71&gt;$S$2,"予定",IF(N71=0,"－",IF(P71&gt;=1,"完了",IF(O71&gt;=N71,"順調","遅延"))))</f>
        <v/>
      </c>
      <c r="R71" s="97">
        <f>D71+K71</f>
        <v/>
      </c>
      <c r="S71" s="102">
        <f>E71+L71</f>
        <v/>
      </c>
    </row>
    <row r="72">
      <c r="A72" s="94" t="n">
        <v>46071</v>
      </c>
      <c r="B72" s="95">
        <f>CHOOSE(WEEKDAY(A72,2),"月","火","水","木","金","土","日")</f>
        <v/>
      </c>
      <c r="C72" s="96">
        <f>IF(OR(WEEKDAY(A72,2)&gt;=6,COUNTIF(祝日マスタ!$A:$A,A72)&gt;0),"非営業日","営業日")</f>
        <v/>
      </c>
      <c r="D72" s="97">
        <f>COUNTIFS(明細!$F$5:$F$363,A72,明細!$D$5:$D$363,"運用")</f>
        <v/>
      </c>
      <c r="E72" s="98">
        <f>COUNTIFS(明細!$G$5:$G$363,A72,明細!$D$5:$D$363,"運用")</f>
        <v/>
      </c>
      <c r="F72" s="99">
        <f>IF(D72=0,0,E72/D72)</f>
        <v/>
      </c>
      <c r="G72" s="100">
        <f>SUM($D$6:D72)</f>
        <v/>
      </c>
      <c r="H72" s="98">
        <f>SUM($E$6:E72)</f>
        <v/>
      </c>
      <c r="I72" s="99">
        <f>IF(G72=0,"",H72/G72)</f>
        <v/>
      </c>
      <c r="J72" s="101">
        <f>IF(A72&gt;$S$2,"予定",IF(G72=0,"－",IF(I72&gt;=1,"完了",IF(H72&gt;=G72,"順調","遅延"))))</f>
        <v/>
      </c>
      <c r="K72" s="97">
        <f>COUNTIFS(明細!$I$5:$I$363,A72,明細!$D$5:$D$363,"運用")</f>
        <v/>
      </c>
      <c r="L72" s="98">
        <f>COUNTIFS(明細!$J$5:$J$363,A72,明細!$D$5:$D$363,"運用")</f>
        <v/>
      </c>
      <c r="M72" s="99">
        <f>IF(K72=0,0,L72/K72)</f>
        <v/>
      </c>
      <c r="N72" s="100">
        <f>SUM($K$6:K72)</f>
        <v/>
      </c>
      <c r="O72" s="98">
        <f>SUM($L$6:L72)</f>
        <v/>
      </c>
      <c r="P72" s="99">
        <f>IF(N72=0,"",O72/N72)</f>
        <v/>
      </c>
      <c r="Q72" s="101">
        <f>IF(A72&gt;$S$2,"予定",IF(N72=0,"－",IF(P72&gt;=1,"完了",IF(O72&gt;=N72,"順調","遅延"))))</f>
        <v/>
      </c>
      <c r="R72" s="97">
        <f>D72+K72</f>
        <v/>
      </c>
      <c r="S72" s="102">
        <f>E72+L72</f>
        <v/>
      </c>
    </row>
    <row r="73">
      <c r="A73" s="94" t="n">
        <v>46072</v>
      </c>
      <c r="B73" s="95">
        <f>CHOOSE(WEEKDAY(A73,2),"月","火","水","木","金","土","日")</f>
        <v/>
      </c>
      <c r="C73" s="96">
        <f>IF(OR(WEEKDAY(A73,2)&gt;=6,COUNTIF(祝日マスタ!$A:$A,A73)&gt;0),"非営業日","営業日")</f>
        <v/>
      </c>
      <c r="D73" s="97">
        <f>COUNTIFS(明細!$F$5:$F$363,A73,明細!$D$5:$D$363,"運用")</f>
        <v/>
      </c>
      <c r="E73" s="98">
        <f>COUNTIFS(明細!$G$5:$G$363,A73,明細!$D$5:$D$363,"運用")</f>
        <v/>
      </c>
      <c r="F73" s="99">
        <f>IF(D73=0,0,E73/D73)</f>
        <v/>
      </c>
      <c r="G73" s="100">
        <f>SUM($D$6:D73)</f>
        <v/>
      </c>
      <c r="H73" s="98">
        <f>SUM($E$6:E73)</f>
        <v/>
      </c>
      <c r="I73" s="99">
        <f>IF(G73=0,"",H73/G73)</f>
        <v/>
      </c>
      <c r="J73" s="101">
        <f>IF(A73&gt;$S$2,"予定",IF(G73=0,"－",IF(I73&gt;=1,"完了",IF(H73&gt;=G73,"順調","遅延"))))</f>
        <v/>
      </c>
      <c r="K73" s="97">
        <f>COUNTIFS(明細!$I$5:$I$363,A73,明細!$D$5:$D$363,"運用")</f>
        <v/>
      </c>
      <c r="L73" s="98">
        <f>COUNTIFS(明細!$J$5:$J$363,A73,明細!$D$5:$D$363,"運用")</f>
        <v/>
      </c>
      <c r="M73" s="99">
        <f>IF(K73=0,0,L73/K73)</f>
        <v/>
      </c>
      <c r="N73" s="100">
        <f>SUM($K$6:K73)</f>
        <v/>
      </c>
      <c r="O73" s="98">
        <f>SUM($L$6:L73)</f>
        <v/>
      </c>
      <c r="P73" s="99">
        <f>IF(N73=0,"",O73/N73)</f>
        <v/>
      </c>
      <c r="Q73" s="101">
        <f>IF(A73&gt;$S$2,"予定",IF(N73=0,"－",IF(P73&gt;=1,"完了",IF(O73&gt;=N73,"順調","遅延"))))</f>
        <v/>
      </c>
      <c r="R73" s="97">
        <f>D73+K73</f>
        <v/>
      </c>
      <c r="S73" s="102">
        <f>E73+L73</f>
        <v/>
      </c>
    </row>
    <row r="74">
      <c r="A74" s="94" t="n">
        <v>46073</v>
      </c>
      <c r="B74" s="95">
        <f>CHOOSE(WEEKDAY(A74,2),"月","火","水","木","金","土","日")</f>
        <v/>
      </c>
      <c r="C74" s="96">
        <f>IF(OR(WEEKDAY(A74,2)&gt;=6,COUNTIF(祝日マスタ!$A:$A,A74)&gt;0),"非営業日","営業日")</f>
        <v/>
      </c>
      <c r="D74" s="97">
        <f>COUNTIFS(明細!$F$5:$F$363,A74,明細!$D$5:$D$363,"運用")</f>
        <v/>
      </c>
      <c r="E74" s="98">
        <f>COUNTIFS(明細!$G$5:$G$363,A74,明細!$D$5:$D$363,"運用")</f>
        <v/>
      </c>
      <c r="F74" s="99">
        <f>IF(D74=0,0,E74/D74)</f>
        <v/>
      </c>
      <c r="G74" s="100">
        <f>SUM($D$6:D74)</f>
        <v/>
      </c>
      <c r="H74" s="98">
        <f>SUM($E$6:E74)</f>
        <v/>
      </c>
      <c r="I74" s="99">
        <f>IF(G74=0,"",H74/G74)</f>
        <v/>
      </c>
      <c r="J74" s="101">
        <f>IF(A74&gt;$S$2,"予定",IF(G74=0,"－",IF(I74&gt;=1,"完了",IF(H74&gt;=G74,"順調","遅延"))))</f>
        <v/>
      </c>
      <c r="K74" s="97">
        <f>COUNTIFS(明細!$I$5:$I$363,A74,明細!$D$5:$D$363,"運用")</f>
        <v/>
      </c>
      <c r="L74" s="98">
        <f>COUNTIFS(明細!$J$5:$J$363,A74,明細!$D$5:$D$363,"運用")</f>
        <v/>
      </c>
      <c r="M74" s="99">
        <f>IF(K74=0,0,L74/K74)</f>
        <v/>
      </c>
      <c r="N74" s="100">
        <f>SUM($K$6:K74)</f>
        <v/>
      </c>
      <c r="O74" s="98">
        <f>SUM($L$6:L74)</f>
        <v/>
      </c>
      <c r="P74" s="99">
        <f>IF(N74=0,"",O74/N74)</f>
        <v/>
      </c>
      <c r="Q74" s="101">
        <f>IF(A74&gt;$S$2,"予定",IF(N74=0,"－",IF(P74&gt;=1,"完了",IF(O74&gt;=N74,"順調","遅延"))))</f>
        <v/>
      </c>
      <c r="R74" s="97">
        <f>D74+K74</f>
        <v/>
      </c>
      <c r="S74" s="102">
        <f>E74+L74</f>
        <v/>
      </c>
    </row>
    <row r="75">
      <c r="A75" s="94" t="n">
        <v>46074</v>
      </c>
      <c r="B75" s="95">
        <f>CHOOSE(WEEKDAY(A75,2),"月","火","水","木","金","土","日")</f>
        <v/>
      </c>
      <c r="C75" s="96">
        <f>IF(OR(WEEKDAY(A75,2)&gt;=6,COUNTIF(祝日マスタ!$A:$A,A75)&gt;0),"非営業日","営業日")</f>
        <v/>
      </c>
      <c r="D75" s="97">
        <f>COUNTIFS(明細!$F$5:$F$363,A75,明細!$D$5:$D$363,"運用")</f>
        <v/>
      </c>
      <c r="E75" s="98">
        <f>COUNTIFS(明細!$G$5:$G$363,A75,明細!$D$5:$D$363,"運用")</f>
        <v/>
      </c>
      <c r="F75" s="99">
        <f>IF(D75=0,0,E75/D75)</f>
        <v/>
      </c>
      <c r="G75" s="100">
        <f>SUM($D$6:D75)</f>
        <v/>
      </c>
      <c r="H75" s="98">
        <f>SUM($E$6:E75)</f>
        <v/>
      </c>
      <c r="I75" s="99">
        <f>IF(G75=0,"",H75/G75)</f>
        <v/>
      </c>
      <c r="J75" s="101">
        <f>IF(A75&gt;$S$2,"予定",IF(G75=0,"－",IF(I75&gt;=1,"完了",IF(H75&gt;=G75,"順調","遅延"))))</f>
        <v/>
      </c>
      <c r="K75" s="97">
        <f>COUNTIFS(明細!$I$5:$I$363,A75,明細!$D$5:$D$363,"運用")</f>
        <v/>
      </c>
      <c r="L75" s="98">
        <f>COUNTIFS(明細!$J$5:$J$363,A75,明細!$D$5:$D$363,"運用")</f>
        <v/>
      </c>
      <c r="M75" s="99">
        <f>IF(K75=0,0,L75/K75)</f>
        <v/>
      </c>
      <c r="N75" s="100">
        <f>SUM($K$6:K75)</f>
        <v/>
      </c>
      <c r="O75" s="98">
        <f>SUM($L$6:L75)</f>
        <v/>
      </c>
      <c r="P75" s="99">
        <f>IF(N75=0,"",O75/N75)</f>
        <v/>
      </c>
      <c r="Q75" s="101">
        <f>IF(A75&gt;$S$2,"予定",IF(N75=0,"－",IF(P75&gt;=1,"完了",IF(O75&gt;=N75,"順調","遅延"))))</f>
        <v/>
      </c>
      <c r="R75" s="97">
        <f>D75+K75</f>
        <v/>
      </c>
      <c r="S75" s="102">
        <f>E75+L75</f>
        <v/>
      </c>
    </row>
    <row r="76">
      <c r="A76" s="94" t="n">
        <v>46075</v>
      </c>
      <c r="B76" s="95">
        <f>CHOOSE(WEEKDAY(A76,2),"月","火","水","木","金","土","日")</f>
        <v/>
      </c>
      <c r="C76" s="96">
        <f>IF(OR(WEEKDAY(A76,2)&gt;=6,COUNTIF(祝日マスタ!$A:$A,A76)&gt;0),"非営業日","営業日")</f>
        <v/>
      </c>
      <c r="D76" s="97">
        <f>COUNTIFS(明細!$F$5:$F$363,A76,明細!$D$5:$D$363,"運用")</f>
        <v/>
      </c>
      <c r="E76" s="98">
        <f>COUNTIFS(明細!$G$5:$G$363,A76,明細!$D$5:$D$363,"運用")</f>
        <v/>
      </c>
      <c r="F76" s="99">
        <f>IF(D76=0,0,E76/D76)</f>
        <v/>
      </c>
      <c r="G76" s="100">
        <f>SUM($D$6:D76)</f>
        <v/>
      </c>
      <c r="H76" s="98">
        <f>SUM($E$6:E76)</f>
        <v/>
      </c>
      <c r="I76" s="99">
        <f>IF(G76=0,"",H76/G76)</f>
        <v/>
      </c>
      <c r="J76" s="101">
        <f>IF(A76&gt;$S$2,"予定",IF(G76=0,"－",IF(I76&gt;=1,"完了",IF(H76&gt;=G76,"順調","遅延"))))</f>
        <v/>
      </c>
      <c r="K76" s="97">
        <f>COUNTIFS(明細!$I$5:$I$363,A76,明細!$D$5:$D$363,"運用")</f>
        <v/>
      </c>
      <c r="L76" s="98">
        <f>COUNTIFS(明細!$J$5:$J$363,A76,明細!$D$5:$D$363,"運用")</f>
        <v/>
      </c>
      <c r="M76" s="99">
        <f>IF(K76=0,0,L76/K76)</f>
        <v/>
      </c>
      <c r="N76" s="100">
        <f>SUM($K$6:K76)</f>
        <v/>
      </c>
      <c r="O76" s="98">
        <f>SUM($L$6:L76)</f>
        <v/>
      </c>
      <c r="P76" s="99">
        <f>IF(N76=0,"",O76/N76)</f>
        <v/>
      </c>
      <c r="Q76" s="101">
        <f>IF(A76&gt;$S$2,"予定",IF(N76=0,"－",IF(P76&gt;=1,"完了",IF(O76&gt;=N76,"順調","遅延"))))</f>
        <v/>
      </c>
      <c r="R76" s="97">
        <f>D76+K76</f>
        <v/>
      </c>
      <c r="S76" s="102">
        <f>E76+L76</f>
        <v/>
      </c>
    </row>
    <row r="77">
      <c r="A77" s="94" t="n">
        <v>46076</v>
      </c>
      <c r="B77" s="95">
        <f>CHOOSE(WEEKDAY(A77,2),"月","火","水","木","金","土","日")</f>
        <v/>
      </c>
      <c r="C77" s="96">
        <f>IF(OR(WEEKDAY(A77,2)&gt;=6,COUNTIF(祝日マスタ!$A:$A,A77)&gt;0),"非営業日","営業日")</f>
        <v/>
      </c>
      <c r="D77" s="97">
        <f>COUNTIFS(明細!$F$5:$F$363,A77,明細!$D$5:$D$363,"運用")</f>
        <v/>
      </c>
      <c r="E77" s="98">
        <f>COUNTIFS(明細!$G$5:$G$363,A77,明細!$D$5:$D$363,"運用")</f>
        <v/>
      </c>
      <c r="F77" s="99">
        <f>IF(D77=0,0,E77/D77)</f>
        <v/>
      </c>
      <c r="G77" s="100">
        <f>SUM($D$6:D77)</f>
        <v/>
      </c>
      <c r="H77" s="98">
        <f>SUM($E$6:E77)</f>
        <v/>
      </c>
      <c r="I77" s="99">
        <f>IF(G77=0,"",H77/G77)</f>
        <v/>
      </c>
      <c r="J77" s="101">
        <f>IF(A77&gt;$S$2,"予定",IF(G77=0,"－",IF(I77&gt;=1,"完了",IF(H77&gt;=G77,"順調","遅延"))))</f>
        <v/>
      </c>
      <c r="K77" s="97">
        <f>COUNTIFS(明細!$I$5:$I$363,A77,明細!$D$5:$D$363,"運用")</f>
        <v/>
      </c>
      <c r="L77" s="98">
        <f>COUNTIFS(明細!$J$5:$J$363,A77,明細!$D$5:$D$363,"運用")</f>
        <v/>
      </c>
      <c r="M77" s="99">
        <f>IF(K77=0,0,L77/K77)</f>
        <v/>
      </c>
      <c r="N77" s="100">
        <f>SUM($K$6:K77)</f>
        <v/>
      </c>
      <c r="O77" s="98">
        <f>SUM($L$6:L77)</f>
        <v/>
      </c>
      <c r="P77" s="99">
        <f>IF(N77=0,"",O77/N77)</f>
        <v/>
      </c>
      <c r="Q77" s="101">
        <f>IF(A77&gt;$S$2,"予定",IF(N77=0,"－",IF(P77&gt;=1,"完了",IF(O77&gt;=N77,"順調","遅延"))))</f>
        <v/>
      </c>
      <c r="R77" s="97">
        <f>D77+K77</f>
        <v/>
      </c>
      <c r="S77" s="102">
        <f>E77+L77</f>
        <v/>
      </c>
    </row>
    <row r="78">
      <c r="A78" s="94" t="n">
        <v>46077</v>
      </c>
      <c r="B78" s="95">
        <f>CHOOSE(WEEKDAY(A78,2),"月","火","水","木","金","土","日")</f>
        <v/>
      </c>
      <c r="C78" s="96">
        <f>IF(OR(WEEKDAY(A78,2)&gt;=6,COUNTIF(祝日マスタ!$A:$A,A78)&gt;0),"非営業日","営業日")</f>
        <v/>
      </c>
      <c r="D78" s="97">
        <f>COUNTIFS(明細!$F$5:$F$363,A78,明細!$D$5:$D$363,"運用")</f>
        <v/>
      </c>
      <c r="E78" s="98">
        <f>COUNTIFS(明細!$G$5:$G$363,A78,明細!$D$5:$D$363,"運用")</f>
        <v/>
      </c>
      <c r="F78" s="99">
        <f>IF(D78=0,0,E78/D78)</f>
        <v/>
      </c>
      <c r="G78" s="100">
        <f>SUM($D$6:D78)</f>
        <v/>
      </c>
      <c r="H78" s="98">
        <f>SUM($E$6:E78)</f>
        <v/>
      </c>
      <c r="I78" s="99">
        <f>IF(G78=0,"",H78/G78)</f>
        <v/>
      </c>
      <c r="J78" s="101">
        <f>IF(A78&gt;$S$2,"予定",IF(G78=0,"－",IF(I78&gt;=1,"完了",IF(H78&gt;=G78,"順調","遅延"))))</f>
        <v/>
      </c>
      <c r="K78" s="97">
        <f>COUNTIFS(明細!$I$5:$I$363,A78,明細!$D$5:$D$363,"運用")</f>
        <v/>
      </c>
      <c r="L78" s="98">
        <f>COUNTIFS(明細!$J$5:$J$363,A78,明細!$D$5:$D$363,"運用")</f>
        <v/>
      </c>
      <c r="M78" s="99">
        <f>IF(K78=0,0,L78/K78)</f>
        <v/>
      </c>
      <c r="N78" s="100">
        <f>SUM($K$6:K78)</f>
        <v/>
      </c>
      <c r="O78" s="98">
        <f>SUM($L$6:L78)</f>
        <v/>
      </c>
      <c r="P78" s="99">
        <f>IF(N78=0,"",O78/N78)</f>
        <v/>
      </c>
      <c r="Q78" s="101">
        <f>IF(A78&gt;$S$2,"予定",IF(N78=0,"－",IF(P78&gt;=1,"完了",IF(O78&gt;=N78,"順調","遅延"))))</f>
        <v/>
      </c>
      <c r="R78" s="97">
        <f>D78+K78</f>
        <v/>
      </c>
      <c r="S78" s="102">
        <f>E78+L78</f>
        <v/>
      </c>
    </row>
    <row r="79">
      <c r="A79" s="94" t="n">
        <v>46078</v>
      </c>
      <c r="B79" s="95">
        <f>CHOOSE(WEEKDAY(A79,2),"月","火","水","木","金","土","日")</f>
        <v/>
      </c>
      <c r="C79" s="96">
        <f>IF(OR(WEEKDAY(A79,2)&gt;=6,COUNTIF(祝日マスタ!$A:$A,A79)&gt;0),"非営業日","営業日")</f>
        <v/>
      </c>
      <c r="D79" s="97">
        <f>COUNTIFS(明細!$F$5:$F$363,A79,明細!$D$5:$D$363,"運用")</f>
        <v/>
      </c>
      <c r="E79" s="98">
        <f>COUNTIFS(明細!$G$5:$G$363,A79,明細!$D$5:$D$363,"運用")</f>
        <v/>
      </c>
      <c r="F79" s="99">
        <f>IF(D79=0,0,E79/D79)</f>
        <v/>
      </c>
      <c r="G79" s="100">
        <f>SUM($D$6:D79)</f>
        <v/>
      </c>
      <c r="H79" s="98">
        <f>SUM($E$6:E79)</f>
        <v/>
      </c>
      <c r="I79" s="99">
        <f>IF(G79=0,"",H79/G79)</f>
        <v/>
      </c>
      <c r="J79" s="101">
        <f>IF(A79&gt;$S$2,"予定",IF(G79=0,"－",IF(I79&gt;=1,"完了",IF(H79&gt;=G79,"順調","遅延"))))</f>
        <v/>
      </c>
      <c r="K79" s="97">
        <f>COUNTIFS(明細!$I$5:$I$363,A79,明細!$D$5:$D$363,"運用")</f>
        <v/>
      </c>
      <c r="L79" s="98">
        <f>COUNTIFS(明細!$J$5:$J$363,A79,明細!$D$5:$D$363,"運用")</f>
        <v/>
      </c>
      <c r="M79" s="99">
        <f>IF(K79=0,0,L79/K79)</f>
        <v/>
      </c>
      <c r="N79" s="100">
        <f>SUM($K$6:K79)</f>
        <v/>
      </c>
      <c r="O79" s="98">
        <f>SUM($L$6:L79)</f>
        <v/>
      </c>
      <c r="P79" s="99">
        <f>IF(N79=0,"",O79/N79)</f>
        <v/>
      </c>
      <c r="Q79" s="101">
        <f>IF(A79&gt;$S$2,"予定",IF(N79=0,"－",IF(P79&gt;=1,"完了",IF(O79&gt;=N79,"順調","遅延"))))</f>
        <v/>
      </c>
      <c r="R79" s="97">
        <f>D79+K79</f>
        <v/>
      </c>
      <c r="S79" s="102">
        <f>E79+L79</f>
        <v/>
      </c>
    </row>
    <row r="80">
      <c r="A80" s="94" t="n">
        <v>46079</v>
      </c>
      <c r="B80" s="95">
        <f>CHOOSE(WEEKDAY(A80,2),"月","火","水","木","金","土","日")</f>
        <v/>
      </c>
      <c r="C80" s="96">
        <f>IF(OR(WEEKDAY(A80,2)&gt;=6,COUNTIF(祝日マスタ!$A:$A,A80)&gt;0),"非営業日","営業日")</f>
        <v/>
      </c>
      <c r="D80" s="97">
        <f>COUNTIFS(明細!$F$5:$F$363,A80,明細!$D$5:$D$363,"運用")</f>
        <v/>
      </c>
      <c r="E80" s="98">
        <f>COUNTIFS(明細!$G$5:$G$363,A80,明細!$D$5:$D$363,"運用")</f>
        <v/>
      </c>
      <c r="F80" s="99">
        <f>IF(D80=0,0,E80/D80)</f>
        <v/>
      </c>
      <c r="G80" s="100">
        <f>SUM($D$6:D80)</f>
        <v/>
      </c>
      <c r="H80" s="98">
        <f>SUM($E$6:E80)</f>
        <v/>
      </c>
      <c r="I80" s="99">
        <f>IF(G80=0,"",H80/G80)</f>
        <v/>
      </c>
      <c r="J80" s="101">
        <f>IF(A80&gt;$S$2,"予定",IF(G80=0,"－",IF(I80&gt;=1,"完了",IF(H80&gt;=G80,"順調","遅延"))))</f>
        <v/>
      </c>
      <c r="K80" s="97">
        <f>COUNTIFS(明細!$I$5:$I$363,A80,明細!$D$5:$D$363,"運用")</f>
        <v/>
      </c>
      <c r="L80" s="98">
        <f>COUNTIFS(明細!$J$5:$J$363,A80,明細!$D$5:$D$363,"運用")</f>
        <v/>
      </c>
      <c r="M80" s="99">
        <f>IF(K80=0,0,L80/K80)</f>
        <v/>
      </c>
      <c r="N80" s="100">
        <f>SUM($K$6:K80)</f>
        <v/>
      </c>
      <c r="O80" s="98">
        <f>SUM($L$6:L80)</f>
        <v/>
      </c>
      <c r="P80" s="99">
        <f>IF(N80=0,"",O80/N80)</f>
        <v/>
      </c>
      <c r="Q80" s="101">
        <f>IF(A80&gt;$S$2,"予定",IF(N80=0,"－",IF(P80&gt;=1,"完了",IF(O80&gt;=N80,"順調","遅延"))))</f>
        <v/>
      </c>
      <c r="R80" s="97">
        <f>D80+K80</f>
        <v/>
      </c>
      <c r="S80" s="102">
        <f>E80+L80</f>
        <v/>
      </c>
    </row>
    <row r="81">
      <c r="A81" s="94" t="n">
        <v>46080</v>
      </c>
      <c r="B81" s="95">
        <f>CHOOSE(WEEKDAY(A81,2),"月","火","水","木","金","土","日")</f>
        <v/>
      </c>
      <c r="C81" s="96">
        <f>IF(OR(WEEKDAY(A81,2)&gt;=6,COUNTIF(祝日マスタ!$A:$A,A81)&gt;0),"非営業日","営業日")</f>
        <v/>
      </c>
      <c r="D81" s="97">
        <f>COUNTIFS(明細!$F$5:$F$363,A81,明細!$D$5:$D$363,"運用")</f>
        <v/>
      </c>
      <c r="E81" s="98">
        <f>COUNTIFS(明細!$G$5:$G$363,A81,明細!$D$5:$D$363,"運用")</f>
        <v/>
      </c>
      <c r="F81" s="99">
        <f>IF(D81=0,0,E81/D81)</f>
        <v/>
      </c>
      <c r="G81" s="100">
        <f>SUM($D$6:D81)</f>
        <v/>
      </c>
      <c r="H81" s="98">
        <f>SUM($E$6:E81)</f>
        <v/>
      </c>
      <c r="I81" s="99">
        <f>IF(G81=0,"",H81/G81)</f>
        <v/>
      </c>
      <c r="J81" s="101">
        <f>IF(A81&gt;$S$2,"予定",IF(G81=0,"－",IF(I81&gt;=1,"完了",IF(H81&gt;=G81,"順調","遅延"))))</f>
        <v/>
      </c>
      <c r="K81" s="97">
        <f>COUNTIFS(明細!$I$5:$I$363,A81,明細!$D$5:$D$363,"運用")</f>
        <v/>
      </c>
      <c r="L81" s="98">
        <f>COUNTIFS(明細!$J$5:$J$363,A81,明細!$D$5:$D$363,"運用")</f>
        <v/>
      </c>
      <c r="M81" s="99">
        <f>IF(K81=0,0,L81/K81)</f>
        <v/>
      </c>
      <c r="N81" s="100">
        <f>SUM($K$6:K81)</f>
        <v/>
      </c>
      <c r="O81" s="98">
        <f>SUM($L$6:L81)</f>
        <v/>
      </c>
      <c r="P81" s="99">
        <f>IF(N81=0,"",O81/N81)</f>
        <v/>
      </c>
      <c r="Q81" s="101">
        <f>IF(A81&gt;$S$2,"予定",IF(N81=0,"－",IF(P81&gt;=1,"完了",IF(O81&gt;=N81,"順調","遅延"))))</f>
        <v/>
      </c>
      <c r="R81" s="97">
        <f>D81+K81</f>
        <v/>
      </c>
      <c r="S81" s="102">
        <f>E81+L81</f>
        <v/>
      </c>
    </row>
    <row r="82">
      <c r="A82" s="94" t="n">
        <v>46081</v>
      </c>
      <c r="B82" s="95">
        <f>CHOOSE(WEEKDAY(A82,2),"月","火","水","木","金","土","日")</f>
        <v/>
      </c>
      <c r="C82" s="96">
        <f>IF(OR(WEEKDAY(A82,2)&gt;=6,COUNTIF(祝日マスタ!$A:$A,A82)&gt;0),"非営業日","営業日")</f>
        <v/>
      </c>
      <c r="D82" s="97">
        <f>COUNTIFS(明細!$F$5:$F$363,A82,明細!$D$5:$D$363,"運用")</f>
        <v/>
      </c>
      <c r="E82" s="98">
        <f>COUNTIFS(明細!$G$5:$G$363,A82,明細!$D$5:$D$363,"運用")</f>
        <v/>
      </c>
      <c r="F82" s="99">
        <f>IF(D82=0,0,E82/D82)</f>
        <v/>
      </c>
      <c r="G82" s="100">
        <f>SUM($D$6:D82)</f>
        <v/>
      </c>
      <c r="H82" s="98">
        <f>SUM($E$6:E82)</f>
        <v/>
      </c>
      <c r="I82" s="99">
        <f>IF(G82=0,"",H82/G82)</f>
        <v/>
      </c>
      <c r="J82" s="101">
        <f>IF(A82&gt;$S$2,"予定",IF(G82=0,"－",IF(I82&gt;=1,"完了",IF(H82&gt;=G82,"順調","遅延"))))</f>
        <v/>
      </c>
      <c r="K82" s="97">
        <f>COUNTIFS(明細!$I$5:$I$363,A82,明細!$D$5:$D$363,"運用")</f>
        <v/>
      </c>
      <c r="L82" s="98">
        <f>COUNTIFS(明細!$J$5:$J$363,A82,明細!$D$5:$D$363,"運用")</f>
        <v/>
      </c>
      <c r="M82" s="99">
        <f>IF(K82=0,0,L82/K82)</f>
        <v/>
      </c>
      <c r="N82" s="100">
        <f>SUM($K$6:K82)</f>
        <v/>
      </c>
      <c r="O82" s="98">
        <f>SUM($L$6:L82)</f>
        <v/>
      </c>
      <c r="P82" s="99">
        <f>IF(N82=0,"",O82/N82)</f>
        <v/>
      </c>
      <c r="Q82" s="101">
        <f>IF(A82&gt;$S$2,"予定",IF(N82=0,"－",IF(P82&gt;=1,"完了",IF(O82&gt;=N82,"順調","遅延"))))</f>
        <v/>
      </c>
      <c r="R82" s="97">
        <f>D82+K82</f>
        <v/>
      </c>
      <c r="S82" s="102">
        <f>E82+L82</f>
        <v/>
      </c>
    </row>
    <row r="83">
      <c r="A83" s="94" t="n">
        <v>46082</v>
      </c>
      <c r="B83" s="95">
        <f>CHOOSE(WEEKDAY(A83,2),"月","火","水","木","金","土","日")</f>
        <v/>
      </c>
      <c r="C83" s="96">
        <f>IF(OR(WEEKDAY(A83,2)&gt;=6,COUNTIF(祝日マスタ!$A:$A,A83)&gt;0),"非営業日","営業日")</f>
        <v/>
      </c>
      <c r="D83" s="97">
        <f>COUNTIFS(明細!$F$5:$F$363,A83,明細!$D$5:$D$363,"運用")</f>
        <v/>
      </c>
      <c r="E83" s="98">
        <f>COUNTIFS(明細!$G$5:$G$363,A83,明細!$D$5:$D$363,"運用")</f>
        <v/>
      </c>
      <c r="F83" s="99">
        <f>IF(D83=0,0,E83/D83)</f>
        <v/>
      </c>
      <c r="G83" s="100">
        <f>SUM($D$6:D83)</f>
        <v/>
      </c>
      <c r="H83" s="98">
        <f>SUM($E$6:E83)</f>
        <v/>
      </c>
      <c r="I83" s="99">
        <f>IF(G83=0,"",H83/G83)</f>
        <v/>
      </c>
      <c r="J83" s="101">
        <f>IF(A83&gt;$S$2,"予定",IF(G83=0,"－",IF(I83&gt;=1,"完了",IF(H83&gt;=G83,"順調","遅延"))))</f>
        <v/>
      </c>
      <c r="K83" s="97">
        <f>COUNTIFS(明細!$I$5:$I$363,A83,明細!$D$5:$D$363,"運用")</f>
        <v/>
      </c>
      <c r="L83" s="98">
        <f>COUNTIFS(明細!$J$5:$J$363,A83,明細!$D$5:$D$363,"運用")</f>
        <v/>
      </c>
      <c r="M83" s="99">
        <f>IF(K83=0,0,L83/K83)</f>
        <v/>
      </c>
      <c r="N83" s="100">
        <f>SUM($K$6:K83)</f>
        <v/>
      </c>
      <c r="O83" s="98">
        <f>SUM($L$6:L83)</f>
        <v/>
      </c>
      <c r="P83" s="99">
        <f>IF(N83=0,"",O83/N83)</f>
        <v/>
      </c>
      <c r="Q83" s="101">
        <f>IF(A83&gt;$S$2,"予定",IF(N83=0,"－",IF(P83&gt;=1,"完了",IF(O83&gt;=N83,"順調","遅延"))))</f>
        <v/>
      </c>
      <c r="R83" s="97">
        <f>D83+K83</f>
        <v/>
      </c>
      <c r="S83" s="102">
        <f>E83+L83</f>
        <v/>
      </c>
    </row>
    <row r="84">
      <c r="A84" s="94" t="n">
        <v>46083</v>
      </c>
      <c r="B84" s="95">
        <f>CHOOSE(WEEKDAY(A84,2),"月","火","水","木","金","土","日")</f>
        <v/>
      </c>
      <c r="C84" s="96">
        <f>IF(OR(WEEKDAY(A84,2)&gt;=6,COUNTIF(祝日マスタ!$A:$A,A84)&gt;0),"非営業日","営業日")</f>
        <v/>
      </c>
      <c r="D84" s="97">
        <f>COUNTIFS(明細!$F$5:$F$363,A84,明細!$D$5:$D$363,"運用")</f>
        <v/>
      </c>
      <c r="E84" s="98">
        <f>COUNTIFS(明細!$G$5:$G$363,A84,明細!$D$5:$D$363,"運用")</f>
        <v/>
      </c>
      <c r="F84" s="99">
        <f>IF(D84=0,0,E84/D84)</f>
        <v/>
      </c>
      <c r="G84" s="100">
        <f>SUM($D$6:D84)</f>
        <v/>
      </c>
      <c r="H84" s="98">
        <f>SUM($E$6:E84)</f>
        <v/>
      </c>
      <c r="I84" s="99">
        <f>IF(G84=0,"",H84/G84)</f>
        <v/>
      </c>
      <c r="J84" s="101">
        <f>IF(A84&gt;$S$2,"予定",IF(G84=0,"－",IF(I84&gt;=1,"完了",IF(H84&gt;=G84,"順調","遅延"))))</f>
        <v/>
      </c>
      <c r="K84" s="97">
        <f>COUNTIFS(明細!$I$5:$I$363,A84,明細!$D$5:$D$363,"運用")</f>
        <v/>
      </c>
      <c r="L84" s="98">
        <f>COUNTIFS(明細!$J$5:$J$363,A84,明細!$D$5:$D$363,"運用")</f>
        <v/>
      </c>
      <c r="M84" s="99">
        <f>IF(K84=0,0,L84/K84)</f>
        <v/>
      </c>
      <c r="N84" s="100">
        <f>SUM($K$6:K84)</f>
        <v/>
      </c>
      <c r="O84" s="98">
        <f>SUM($L$6:L84)</f>
        <v/>
      </c>
      <c r="P84" s="99">
        <f>IF(N84=0,"",O84/N84)</f>
        <v/>
      </c>
      <c r="Q84" s="101">
        <f>IF(A84&gt;$S$2,"予定",IF(N84=0,"－",IF(P84&gt;=1,"完了",IF(O84&gt;=N84,"順調","遅延"))))</f>
        <v/>
      </c>
      <c r="R84" s="97">
        <f>D84+K84</f>
        <v/>
      </c>
      <c r="S84" s="102">
        <f>E84+L84</f>
        <v/>
      </c>
    </row>
    <row r="85">
      <c r="A85" s="94" t="n">
        <v>46084</v>
      </c>
      <c r="B85" s="95">
        <f>CHOOSE(WEEKDAY(A85,2),"月","火","水","木","金","土","日")</f>
        <v/>
      </c>
      <c r="C85" s="96">
        <f>IF(OR(WEEKDAY(A85,2)&gt;=6,COUNTIF(祝日マスタ!$A:$A,A85)&gt;0),"非営業日","営業日")</f>
        <v/>
      </c>
      <c r="D85" s="97">
        <f>COUNTIFS(明細!$F$5:$F$363,A85,明細!$D$5:$D$363,"運用")</f>
        <v/>
      </c>
      <c r="E85" s="98">
        <f>COUNTIFS(明細!$G$5:$G$363,A85,明細!$D$5:$D$363,"運用")</f>
        <v/>
      </c>
      <c r="F85" s="99">
        <f>IF(D85=0,0,E85/D85)</f>
        <v/>
      </c>
      <c r="G85" s="100">
        <f>SUM($D$6:D85)</f>
        <v/>
      </c>
      <c r="H85" s="98">
        <f>SUM($E$6:E85)</f>
        <v/>
      </c>
      <c r="I85" s="99">
        <f>IF(G85=0,"",H85/G85)</f>
        <v/>
      </c>
      <c r="J85" s="101">
        <f>IF(A85&gt;$S$2,"予定",IF(G85=0,"－",IF(I85&gt;=1,"完了",IF(H85&gt;=G85,"順調","遅延"))))</f>
        <v/>
      </c>
      <c r="K85" s="97">
        <f>COUNTIFS(明細!$I$5:$I$363,A85,明細!$D$5:$D$363,"運用")</f>
        <v/>
      </c>
      <c r="L85" s="98">
        <f>COUNTIFS(明細!$J$5:$J$363,A85,明細!$D$5:$D$363,"運用")</f>
        <v/>
      </c>
      <c r="M85" s="99">
        <f>IF(K85=0,0,L85/K85)</f>
        <v/>
      </c>
      <c r="N85" s="100">
        <f>SUM($K$6:K85)</f>
        <v/>
      </c>
      <c r="O85" s="98">
        <f>SUM($L$6:L85)</f>
        <v/>
      </c>
      <c r="P85" s="99">
        <f>IF(N85=0,"",O85/N85)</f>
        <v/>
      </c>
      <c r="Q85" s="101">
        <f>IF(A85&gt;$S$2,"予定",IF(N85=0,"－",IF(P85&gt;=1,"完了",IF(O85&gt;=N85,"順調","遅延"))))</f>
        <v/>
      </c>
      <c r="R85" s="97">
        <f>D85+K85</f>
        <v/>
      </c>
      <c r="S85" s="102">
        <f>E85+L85</f>
        <v/>
      </c>
    </row>
    <row r="86">
      <c r="A86" s="94" t="n">
        <v>46085</v>
      </c>
      <c r="B86" s="95">
        <f>CHOOSE(WEEKDAY(A86,2),"月","火","水","木","金","土","日")</f>
        <v/>
      </c>
      <c r="C86" s="96">
        <f>IF(OR(WEEKDAY(A86,2)&gt;=6,COUNTIF(祝日マスタ!$A:$A,A86)&gt;0),"非営業日","営業日")</f>
        <v/>
      </c>
      <c r="D86" s="97">
        <f>COUNTIFS(明細!$F$5:$F$363,A86,明細!$D$5:$D$363,"運用")</f>
        <v/>
      </c>
      <c r="E86" s="98">
        <f>COUNTIFS(明細!$G$5:$G$363,A86,明細!$D$5:$D$363,"運用")</f>
        <v/>
      </c>
      <c r="F86" s="99">
        <f>IF(D86=0,0,E86/D86)</f>
        <v/>
      </c>
      <c r="G86" s="100">
        <f>SUM($D$6:D86)</f>
        <v/>
      </c>
      <c r="H86" s="98">
        <f>SUM($E$6:E86)</f>
        <v/>
      </c>
      <c r="I86" s="99">
        <f>IF(G86=0,"",H86/G86)</f>
        <v/>
      </c>
      <c r="J86" s="101">
        <f>IF(A86&gt;$S$2,"予定",IF(G86=0,"－",IF(I86&gt;=1,"完了",IF(H86&gt;=G86,"順調","遅延"))))</f>
        <v/>
      </c>
      <c r="K86" s="97">
        <f>COUNTIFS(明細!$I$5:$I$363,A86,明細!$D$5:$D$363,"運用")</f>
        <v/>
      </c>
      <c r="L86" s="98">
        <f>COUNTIFS(明細!$J$5:$J$363,A86,明細!$D$5:$D$363,"運用")</f>
        <v/>
      </c>
      <c r="M86" s="99">
        <f>IF(K86=0,0,L86/K86)</f>
        <v/>
      </c>
      <c r="N86" s="100">
        <f>SUM($K$6:K86)</f>
        <v/>
      </c>
      <c r="O86" s="98">
        <f>SUM($L$6:L86)</f>
        <v/>
      </c>
      <c r="P86" s="99">
        <f>IF(N86=0,"",O86/N86)</f>
        <v/>
      </c>
      <c r="Q86" s="101">
        <f>IF(A86&gt;$S$2,"予定",IF(N86=0,"－",IF(P86&gt;=1,"完了",IF(O86&gt;=N86,"順調","遅延"))))</f>
        <v/>
      </c>
      <c r="R86" s="97">
        <f>D86+K86</f>
        <v/>
      </c>
      <c r="S86" s="102">
        <f>E86+L86</f>
        <v/>
      </c>
    </row>
    <row r="87">
      <c r="A87" s="94" t="n">
        <v>46086</v>
      </c>
      <c r="B87" s="95">
        <f>CHOOSE(WEEKDAY(A87,2),"月","火","水","木","金","土","日")</f>
        <v/>
      </c>
      <c r="C87" s="96">
        <f>IF(OR(WEEKDAY(A87,2)&gt;=6,COUNTIF(祝日マスタ!$A:$A,A87)&gt;0),"非営業日","営業日")</f>
        <v/>
      </c>
      <c r="D87" s="97">
        <f>COUNTIFS(明細!$F$5:$F$363,A87,明細!$D$5:$D$363,"運用")</f>
        <v/>
      </c>
      <c r="E87" s="98">
        <f>COUNTIFS(明細!$G$5:$G$363,A87,明細!$D$5:$D$363,"運用")</f>
        <v/>
      </c>
      <c r="F87" s="99">
        <f>IF(D87=0,0,E87/D87)</f>
        <v/>
      </c>
      <c r="G87" s="100">
        <f>SUM($D$6:D87)</f>
        <v/>
      </c>
      <c r="H87" s="98">
        <f>SUM($E$6:E87)</f>
        <v/>
      </c>
      <c r="I87" s="99">
        <f>IF(G87=0,"",H87/G87)</f>
        <v/>
      </c>
      <c r="J87" s="101">
        <f>IF(A87&gt;$S$2,"予定",IF(G87=0,"－",IF(I87&gt;=1,"完了",IF(H87&gt;=G87,"順調","遅延"))))</f>
        <v/>
      </c>
      <c r="K87" s="97">
        <f>COUNTIFS(明細!$I$5:$I$363,A87,明細!$D$5:$D$363,"運用")</f>
        <v/>
      </c>
      <c r="L87" s="98">
        <f>COUNTIFS(明細!$J$5:$J$363,A87,明細!$D$5:$D$363,"運用")</f>
        <v/>
      </c>
      <c r="M87" s="99">
        <f>IF(K87=0,0,L87/K87)</f>
        <v/>
      </c>
      <c r="N87" s="100">
        <f>SUM($K$6:K87)</f>
        <v/>
      </c>
      <c r="O87" s="98">
        <f>SUM($L$6:L87)</f>
        <v/>
      </c>
      <c r="P87" s="99">
        <f>IF(N87=0,"",O87/N87)</f>
        <v/>
      </c>
      <c r="Q87" s="101">
        <f>IF(A87&gt;$S$2,"予定",IF(N87=0,"－",IF(P87&gt;=1,"完了",IF(O87&gt;=N87,"順調","遅延"))))</f>
        <v/>
      </c>
      <c r="R87" s="97">
        <f>D87+K87</f>
        <v/>
      </c>
      <c r="S87" s="102">
        <f>E87+L87</f>
        <v/>
      </c>
    </row>
    <row r="88">
      <c r="A88" s="94" t="n">
        <v>46087</v>
      </c>
      <c r="B88" s="95">
        <f>CHOOSE(WEEKDAY(A88,2),"月","火","水","木","金","土","日")</f>
        <v/>
      </c>
      <c r="C88" s="96">
        <f>IF(OR(WEEKDAY(A88,2)&gt;=6,COUNTIF(祝日マスタ!$A:$A,A88)&gt;0),"非営業日","営業日")</f>
        <v/>
      </c>
      <c r="D88" s="97">
        <f>COUNTIFS(明細!$F$5:$F$363,A88,明細!$D$5:$D$363,"運用")</f>
        <v/>
      </c>
      <c r="E88" s="98">
        <f>COUNTIFS(明細!$G$5:$G$363,A88,明細!$D$5:$D$363,"運用")</f>
        <v/>
      </c>
      <c r="F88" s="99">
        <f>IF(D88=0,0,E88/D88)</f>
        <v/>
      </c>
      <c r="G88" s="100">
        <f>SUM($D$6:D88)</f>
        <v/>
      </c>
      <c r="H88" s="98">
        <f>SUM($E$6:E88)</f>
        <v/>
      </c>
      <c r="I88" s="99">
        <f>IF(G88=0,"",H88/G88)</f>
        <v/>
      </c>
      <c r="J88" s="101">
        <f>IF(A88&gt;$S$2,"予定",IF(G88=0,"－",IF(I88&gt;=1,"完了",IF(H88&gt;=G88,"順調","遅延"))))</f>
        <v/>
      </c>
      <c r="K88" s="97">
        <f>COUNTIFS(明細!$I$5:$I$363,A88,明細!$D$5:$D$363,"運用")</f>
        <v/>
      </c>
      <c r="L88" s="98">
        <f>COUNTIFS(明細!$J$5:$J$363,A88,明細!$D$5:$D$363,"運用")</f>
        <v/>
      </c>
      <c r="M88" s="99">
        <f>IF(K88=0,0,L88/K88)</f>
        <v/>
      </c>
      <c r="N88" s="100">
        <f>SUM($K$6:K88)</f>
        <v/>
      </c>
      <c r="O88" s="98">
        <f>SUM($L$6:L88)</f>
        <v/>
      </c>
      <c r="P88" s="99">
        <f>IF(N88=0,"",O88/N88)</f>
        <v/>
      </c>
      <c r="Q88" s="101">
        <f>IF(A88&gt;$S$2,"予定",IF(N88=0,"－",IF(P88&gt;=1,"完了",IF(O88&gt;=N88,"順調","遅延"))))</f>
        <v/>
      </c>
      <c r="R88" s="97">
        <f>D88+K88</f>
        <v/>
      </c>
      <c r="S88" s="102">
        <f>E88+L88</f>
        <v/>
      </c>
    </row>
    <row r="89">
      <c r="A89" s="94" t="n">
        <v>46088</v>
      </c>
      <c r="B89" s="95">
        <f>CHOOSE(WEEKDAY(A89,2),"月","火","水","木","金","土","日")</f>
        <v/>
      </c>
      <c r="C89" s="96">
        <f>IF(OR(WEEKDAY(A89,2)&gt;=6,COUNTIF(祝日マスタ!$A:$A,A89)&gt;0),"非営業日","営業日")</f>
        <v/>
      </c>
      <c r="D89" s="97">
        <f>COUNTIFS(明細!$F$5:$F$363,A89,明細!$D$5:$D$363,"運用")</f>
        <v/>
      </c>
      <c r="E89" s="98">
        <f>COUNTIFS(明細!$G$5:$G$363,A89,明細!$D$5:$D$363,"運用")</f>
        <v/>
      </c>
      <c r="F89" s="99">
        <f>IF(D89=0,0,E89/D89)</f>
        <v/>
      </c>
      <c r="G89" s="100">
        <f>SUM($D$6:D89)</f>
        <v/>
      </c>
      <c r="H89" s="98">
        <f>SUM($E$6:E89)</f>
        <v/>
      </c>
      <c r="I89" s="99">
        <f>IF(G89=0,"",H89/G89)</f>
        <v/>
      </c>
      <c r="J89" s="101">
        <f>IF(A89&gt;$S$2,"予定",IF(G89=0,"－",IF(I89&gt;=1,"完了",IF(H89&gt;=G89,"順調","遅延"))))</f>
        <v/>
      </c>
      <c r="K89" s="97">
        <f>COUNTIFS(明細!$I$5:$I$363,A89,明細!$D$5:$D$363,"運用")</f>
        <v/>
      </c>
      <c r="L89" s="98">
        <f>COUNTIFS(明細!$J$5:$J$363,A89,明細!$D$5:$D$363,"運用")</f>
        <v/>
      </c>
      <c r="M89" s="99">
        <f>IF(K89=0,0,L89/K89)</f>
        <v/>
      </c>
      <c r="N89" s="100">
        <f>SUM($K$6:K89)</f>
        <v/>
      </c>
      <c r="O89" s="98">
        <f>SUM($L$6:L89)</f>
        <v/>
      </c>
      <c r="P89" s="99">
        <f>IF(N89=0,"",O89/N89)</f>
        <v/>
      </c>
      <c r="Q89" s="101">
        <f>IF(A89&gt;$S$2,"予定",IF(N89=0,"－",IF(P89&gt;=1,"完了",IF(O89&gt;=N89,"順調","遅延"))))</f>
        <v/>
      </c>
      <c r="R89" s="97">
        <f>D89+K89</f>
        <v/>
      </c>
      <c r="S89" s="102">
        <f>E89+L89</f>
        <v/>
      </c>
    </row>
    <row r="90">
      <c r="A90" s="94" t="n">
        <v>46089</v>
      </c>
      <c r="B90" s="95">
        <f>CHOOSE(WEEKDAY(A90,2),"月","火","水","木","金","土","日")</f>
        <v/>
      </c>
      <c r="C90" s="96">
        <f>IF(OR(WEEKDAY(A90,2)&gt;=6,COUNTIF(祝日マスタ!$A:$A,A90)&gt;0),"非営業日","営業日")</f>
        <v/>
      </c>
      <c r="D90" s="97">
        <f>COUNTIFS(明細!$F$5:$F$363,A90,明細!$D$5:$D$363,"運用")</f>
        <v/>
      </c>
      <c r="E90" s="98">
        <f>COUNTIFS(明細!$G$5:$G$363,A90,明細!$D$5:$D$363,"運用")</f>
        <v/>
      </c>
      <c r="F90" s="99">
        <f>IF(D90=0,0,E90/D90)</f>
        <v/>
      </c>
      <c r="G90" s="100">
        <f>SUM($D$6:D90)</f>
        <v/>
      </c>
      <c r="H90" s="98">
        <f>SUM($E$6:E90)</f>
        <v/>
      </c>
      <c r="I90" s="99">
        <f>IF(G90=0,"",H90/G90)</f>
        <v/>
      </c>
      <c r="J90" s="101">
        <f>IF(A90&gt;$S$2,"予定",IF(G90=0,"－",IF(I90&gt;=1,"完了",IF(H90&gt;=G90,"順調","遅延"))))</f>
        <v/>
      </c>
      <c r="K90" s="97">
        <f>COUNTIFS(明細!$I$5:$I$363,A90,明細!$D$5:$D$363,"運用")</f>
        <v/>
      </c>
      <c r="L90" s="98">
        <f>COUNTIFS(明細!$J$5:$J$363,A90,明細!$D$5:$D$363,"運用")</f>
        <v/>
      </c>
      <c r="M90" s="99">
        <f>IF(K90=0,0,L90/K90)</f>
        <v/>
      </c>
      <c r="N90" s="100">
        <f>SUM($K$6:K90)</f>
        <v/>
      </c>
      <c r="O90" s="98">
        <f>SUM($L$6:L90)</f>
        <v/>
      </c>
      <c r="P90" s="99">
        <f>IF(N90=0,"",O90/N90)</f>
        <v/>
      </c>
      <c r="Q90" s="101">
        <f>IF(A90&gt;$S$2,"予定",IF(N90=0,"－",IF(P90&gt;=1,"完了",IF(O90&gt;=N90,"順調","遅延"))))</f>
        <v/>
      </c>
      <c r="R90" s="97">
        <f>D90+K90</f>
        <v/>
      </c>
      <c r="S90" s="102">
        <f>E90+L90</f>
        <v/>
      </c>
    </row>
    <row r="91">
      <c r="A91" s="94" t="n">
        <v>46090</v>
      </c>
      <c r="B91" s="95">
        <f>CHOOSE(WEEKDAY(A91,2),"月","火","水","木","金","土","日")</f>
        <v/>
      </c>
      <c r="C91" s="96">
        <f>IF(OR(WEEKDAY(A91,2)&gt;=6,COUNTIF(祝日マスタ!$A:$A,A91)&gt;0),"非営業日","営業日")</f>
        <v/>
      </c>
      <c r="D91" s="97">
        <f>COUNTIFS(明細!$F$5:$F$363,A91,明細!$D$5:$D$363,"運用")</f>
        <v/>
      </c>
      <c r="E91" s="98">
        <f>COUNTIFS(明細!$G$5:$G$363,A91,明細!$D$5:$D$363,"運用")</f>
        <v/>
      </c>
      <c r="F91" s="99">
        <f>IF(D91=0,0,E91/D91)</f>
        <v/>
      </c>
      <c r="G91" s="100">
        <f>SUM($D$6:D91)</f>
        <v/>
      </c>
      <c r="H91" s="98">
        <f>SUM($E$6:E91)</f>
        <v/>
      </c>
      <c r="I91" s="99">
        <f>IF(G91=0,"",H91/G91)</f>
        <v/>
      </c>
      <c r="J91" s="101">
        <f>IF(A91&gt;$S$2,"予定",IF(G91=0,"－",IF(I91&gt;=1,"完了",IF(H91&gt;=G91,"順調","遅延"))))</f>
        <v/>
      </c>
      <c r="K91" s="97">
        <f>COUNTIFS(明細!$I$5:$I$363,A91,明細!$D$5:$D$363,"運用")</f>
        <v/>
      </c>
      <c r="L91" s="98">
        <f>COUNTIFS(明細!$J$5:$J$363,A91,明細!$D$5:$D$363,"運用")</f>
        <v/>
      </c>
      <c r="M91" s="99">
        <f>IF(K91=0,0,L91/K91)</f>
        <v/>
      </c>
      <c r="N91" s="100">
        <f>SUM($K$6:K91)</f>
        <v/>
      </c>
      <c r="O91" s="98">
        <f>SUM($L$6:L91)</f>
        <v/>
      </c>
      <c r="P91" s="99">
        <f>IF(N91=0,"",O91/N91)</f>
        <v/>
      </c>
      <c r="Q91" s="101">
        <f>IF(A91&gt;$S$2,"予定",IF(N91=0,"－",IF(P91&gt;=1,"完了",IF(O91&gt;=N91,"順調","遅延"))))</f>
        <v/>
      </c>
      <c r="R91" s="97">
        <f>D91+K91</f>
        <v/>
      </c>
      <c r="S91" s="102">
        <f>E91+L91</f>
        <v/>
      </c>
    </row>
    <row r="92">
      <c r="A92" s="94" t="n">
        <v>46091</v>
      </c>
      <c r="B92" s="95">
        <f>CHOOSE(WEEKDAY(A92,2),"月","火","水","木","金","土","日")</f>
        <v/>
      </c>
      <c r="C92" s="96">
        <f>IF(OR(WEEKDAY(A92,2)&gt;=6,COUNTIF(祝日マスタ!$A:$A,A92)&gt;0),"非営業日","営業日")</f>
        <v/>
      </c>
      <c r="D92" s="97">
        <f>COUNTIFS(明細!$F$5:$F$363,A92,明細!$D$5:$D$363,"運用")</f>
        <v/>
      </c>
      <c r="E92" s="98">
        <f>COUNTIFS(明細!$G$5:$G$363,A92,明細!$D$5:$D$363,"運用")</f>
        <v/>
      </c>
      <c r="F92" s="99">
        <f>IF(D92=0,0,E92/D92)</f>
        <v/>
      </c>
      <c r="G92" s="100">
        <f>SUM($D$6:D92)</f>
        <v/>
      </c>
      <c r="H92" s="98">
        <f>SUM($E$6:E92)</f>
        <v/>
      </c>
      <c r="I92" s="99">
        <f>IF(G92=0,"",H92/G92)</f>
        <v/>
      </c>
      <c r="J92" s="101">
        <f>IF(A92&gt;$S$2,"予定",IF(G92=0,"－",IF(I92&gt;=1,"完了",IF(H92&gt;=G92,"順調","遅延"))))</f>
        <v/>
      </c>
      <c r="K92" s="97">
        <f>COUNTIFS(明細!$I$5:$I$363,A92,明細!$D$5:$D$363,"運用")</f>
        <v/>
      </c>
      <c r="L92" s="98">
        <f>COUNTIFS(明細!$J$5:$J$363,A92,明細!$D$5:$D$363,"運用")</f>
        <v/>
      </c>
      <c r="M92" s="99">
        <f>IF(K92=0,0,L92/K92)</f>
        <v/>
      </c>
      <c r="N92" s="100">
        <f>SUM($K$6:K92)</f>
        <v/>
      </c>
      <c r="O92" s="98">
        <f>SUM($L$6:L92)</f>
        <v/>
      </c>
      <c r="P92" s="99">
        <f>IF(N92=0,"",O92/N92)</f>
        <v/>
      </c>
      <c r="Q92" s="101">
        <f>IF(A92&gt;$S$2,"予定",IF(N92=0,"－",IF(P92&gt;=1,"完了",IF(O92&gt;=N92,"順調","遅延"))))</f>
        <v/>
      </c>
      <c r="R92" s="97">
        <f>D92+K92</f>
        <v/>
      </c>
      <c r="S92" s="102">
        <f>E92+L92</f>
        <v/>
      </c>
    </row>
    <row r="93">
      <c r="A93" s="94" t="n">
        <v>46092</v>
      </c>
      <c r="B93" s="95">
        <f>CHOOSE(WEEKDAY(A93,2),"月","火","水","木","金","土","日")</f>
        <v/>
      </c>
      <c r="C93" s="96">
        <f>IF(OR(WEEKDAY(A93,2)&gt;=6,COUNTIF(祝日マスタ!$A:$A,A93)&gt;0),"非営業日","営業日")</f>
        <v/>
      </c>
      <c r="D93" s="97">
        <f>COUNTIFS(明細!$F$5:$F$363,A93,明細!$D$5:$D$363,"運用")</f>
        <v/>
      </c>
      <c r="E93" s="98">
        <f>COUNTIFS(明細!$G$5:$G$363,A93,明細!$D$5:$D$363,"運用")</f>
        <v/>
      </c>
      <c r="F93" s="99">
        <f>IF(D93=0,0,E93/D93)</f>
        <v/>
      </c>
      <c r="G93" s="100">
        <f>SUM($D$6:D93)</f>
        <v/>
      </c>
      <c r="H93" s="98">
        <f>SUM($E$6:E93)</f>
        <v/>
      </c>
      <c r="I93" s="99">
        <f>IF(G93=0,"",H93/G93)</f>
        <v/>
      </c>
      <c r="J93" s="101">
        <f>IF(A93&gt;$S$2,"予定",IF(G93=0,"－",IF(I93&gt;=1,"完了",IF(H93&gt;=G93,"順調","遅延"))))</f>
        <v/>
      </c>
      <c r="K93" s="97">
        <f>COUNTIFS(明細!$I$5:$I$363,A93,明細!$D$5:$D$363,"運用")</f>
        <v/>
      </c>
      <c r="L93" s="98">
        <f>COUNTIFS(明細!$J$5:$J$363,A93,明細!$D$5:$D$363,"運用")</f>
        <v/>
      </c>
      <c r="M93" s="99">
        <f>IF(K93=0,0,L93/K93)</f>
        <v/>
      </c>
      <c r="N93" s="100">
        <f>SUM($K$6:K93)</f>
        <v/>
      </c>
      <c r="O93" s="98">
        <f>SUM($L$6:L93)</f>
        <v/>
      </c>
      <c r="P93" s="99">
        <f>IF(N93=0,"",O93/N93)</f>
        <v/>
      </c>
      <c r="Q93" s="101">
        <f>IF(A93&gt;$S$2,"予定",IF(N93=0,"－",IF(P93&gt;=1,"完了",IF(O93&gt;=N93,"順調","遅延"))))</f>
        <v/>
      </c>
      <c r="R93" s="97">
        <f>D93+K93</f>
        <v/>
      </c>
      <c r="S93" s="102">
        <f>E93+L93</f>
        <v/>
      </c>
    </row>
    <row r="94">
      <c r="A94" s="94" t="n">
        <v>46093</v>
      </c>
      <c r="B94" s="95">
        <f>CHOOSE(WEEKDAY(A94,2),"月","火","水","木","金","土","日")</f>
        <v/>
      </c>
      <c r="C94" s="96">
        <f>IF(OR(WEEKDAY(A94,2)&gt;=6,COUNTIF(祝日マスタ!$A:$A,A94)&gt;0),"非営業日","営業日")</f>
        <v/>
      </c>
      <c r="D94" s="97">
        <f>COUNTIFS(明細!$F$5:$F$363,A94,明細!$D$5:$D$363,"運用")</f>
        <v/>
      </c>
      <c r="E94" s="98">
        <f>COUNTIFS(明細!$G$5:$G$363,A94,明細!$D$5:$D$363,"運用")</f>
        <v/>
      </c>
      <c r="F94" s="99">
        <f>IF(D94=0,0,E94/D94)</f>
        <v/>
      </c>
      <c r="G94" s="100">
        <f>SUM($D$6:D94)</f>
        <v/>
      </c>
      <c r="H94" s="98">
        <f>SUM($E$6:E94)</f>
        <v/>
      </c>
      <c r="I94" s="99">
        <f>IF(G94=0,"",H94/G94)</f>
        <v/>
      </c>
      <c r="J94" s="101">
        <f>IF(A94&gt;$S$2,"予定",IF(G94=0,"－",IF(I94&gt;=1,"完了",IF(H94&gt;=G94,"順調","遅延"))))</f>
        <v/>
      </c>
      <c r="K94" s="97">
        <f>COUNTIFS(明細!$I$5:$I$363,A94,明細!$D$5:$D$363,"運用")</f>
        <v/>
      </c>
      <c r="L94" s="98">
        <f>COUNTIFS(明細!$J$5:$J$363,A94,明細!$D$5:$D$363,"運用")</f>
        <v/>
      </c>
      <c r="M94" s="99">
        <f>IF(K94=0,0,L94/K94)</f>
        <v/>
      </c>
      <c r="N94" s="100">
        <f>SUM($K$6:K94)</f>
        <v/>
      </c>
      <c r="O94" s="98">
        <f>SUM($L$6:L94)</f>
        <v/>
      </c>
      <c r="P94" s="99">
        <f>IF(N94=0,"",O94/N94)</f>
        <v/>
      </c>
      <c r="Q94" s="101">
        <f>IF(A94&gt;$S$2,"予定",IF(N94=0,"－",IF(P94&gt;=1,"完了",IF(O94&gt;=N94,"順調","遅延"))))</f>
        <v/>
      </c>
      <c r="R94" s="97">
        <f>D94+K94</f>
        <v/>
      </c>
      <c r="S94" s="102">
        <f>E94+L94</f>
        <v/>
      </c>
    </row>
    <row r="95">
      <c r="A95" s="94" t="n">
        <v>46094</v>
      </c>
      <c r="B95" s="95">
        <f>CHOOSE(WEEKDAY(A95,2),"月","火","水","木","金","土","日")</f>
        <v/>
      </c>
      <c r="C95" s="96">
        <f>IF(OR(WEEKDAY(A95,2)&gt;=6,COUNTIF(祝日マスタ!$A:$A,A95)&gt;0),"非営業日","営業日")</f>
        <v/>
      </c>
      <c r="D95" s="97">
        <f>COUNTIFS(明細!$F$5:$F$363,A95,明細!$D$5:$D$363,"運用")</f>
        <v/>
      </c>
      <c r="E95" s="98">
        <f>COUNTIFS(明細!$G$5:$G$363,A95,明細!$D$5:$D$363,"運用")</f>
        <v/>
      </c>
      <c r="F95" s="99">
        <f>IF(D95=0,0,E95/D95)</f>
        <v/>
      </c>
      <c r="G95" s="100">
        <f>SUM($D$6:D95)</f>
        <v/>
      </c>
      <c r="H95" s="98">
        <f>SUM($E$6:E95)</f>
        <v/>
      </c>
      <c r="I95" s="99">
        <f>IF(G95=0,"",H95/G95)</f>
        <v/>
      </c>
      <c r="J95" s="101">
        <f>IF(A95&gt;$S$2,"予定",IF(G95=0,"－",IF(I95&gt;=1,"完了",IF(H95&gt;=G95,"順調","遅延"))))</f>
        <v/>
      </c>
      <c r="K95" s="97">
        <f>COUNTIFS(明細!$I$5:$I$363,A95,明細!$D$5:$D$363,"運用")</f>
        <v/>
      </c>
      <c r="L95" s="98">
        <f>COUNTIFS(明細!$J$5:$J$363,A95,明細!$D$5:$D$363,"運用")</f>
        <v/>
      </c>
      <c r="M95" s="99">
        <f>IF(K95=0,0,L95/K95)</f>
        <v/>
      </c>
      <c r="N95" s="100">
        <f>SUM($K$6:K95)</f>
        <v/>
      </c>
      <c r="O95" s="98">
        <f>SUM($L$6:L95)</f>
        <v/>
      </c>
      <c r="P95" s="99">
        <f>IF(N95=0,"",O95/N95)</f>
        <v/>
      </c>
      <c r="Q95" s="101">
        <f>IF(A95&gt;$S$2,"予定",IF(N95=0,"－",IF(P95&gt;=1,"完了",IF(O95&gt;=N95,"順調","遅延"))))</f>
        <v/>
      </c>
      <c r="R95" s="97">
        <f>D95+K95</f>
        <v/>
      </c>
      <c r="S95" s="102">
        <f>E95+L95</f>
        <v/>
      </c>
    </row>
    <row r="96">
      <c r="A96" s="94" t="n">
        <v>46095</v>
      </c>
      <c r="B96" s="95">
        <f>CHOOSE(WEEKDAY(A96,2),"月","火","水","木","金","土","日")</f>
        <v/>
      </c>
      <c r="C96" s="96">
        <f>IF(OR(WEEKDAY(A96,2)&gt;=6,COUNTIF(祝日マスタ!$A:$A,A96)&gt;0),"非営業日","営業日")</f>
        <v/>
      </c>
      <c r="D96" s="97">
        <f>COUNTIFS(明細!$F$5:$F$363,A96,明細!$D$5:$D$363,"運用")</f>
        <v/>
      </c>
      <c r="E96" s="98">
        <f>COUNTIFS(明細!$G$5:$G$363,A96,明細!$D$5:$D$363,"運用")</f>
        <v/>
      </c>
      <c r="F96" s="99">
        <f>IF(D96=0,0,E96/D96)</f>
        <v/>
      </c>
      <c r="G96" s="100">
        <f>SUM($D$6:D96)</f>
        <v/>
      </c>
      <c r="H96" s="98">
        <f>SUM($E$6:E96)</f>
        <v/>
      </c>
      <c r="I96" s="99">
        <f>IF(G96=0,"",H96/G96)</f>
        <v/>
      </c>
      <c r="J96" s="101">
        <f>IF(A96&gt;$S$2,"予定",IF(G96=0,"－",IF(I96&gt;=1,"完了",IF(H96&gt;=G96,"順調","遅延"))))</f>
        <v/>
      </c>
      <c r="K96" s="97">
        <f>COUNTIFS(明細!$I$5:$I$363,A96,明細!$D$5:$D$363,"運用")</f>
        <v/>
      </c>
      <c r="L96" s="98">
        <f>COUNTIFS(明細!$J$5:$J$363,A96,明細!$D$5:$D$363,"運用")</f>
        <v/>
      </c>
      <c r="M96" s="99">
        <f>IF(K96=0,0,L96/K96)</f>
        <v/>
      </c>
      <c r="N96" s="100">
        <f>SUM($K$6:K96)</f>
        <v/>
      </c>
      <c r="O96" s="98">
        <f>SUM($L$6:L96)</f>
        <v/>
      </c>
      <c r="P96" s="99">
        <f>IF(N96=0,"",O96/N96)</f>
        <v/>
      </c>
      <c r="Q96" s="101">
        <f>IF(A96&gt;$S$2,"予定",IF(N96=0,"－",IF(P96&gt;=1,"完了",IF(O96&gt;=N96,"順調","遅延"))))</f>
        <v/>
      </c>
      <c r="R96" s="97">
        <f>D96+K96</f>
        <v/>
      </c>
      <c r="S96" s="102">
        <f>E96+L96</f>
        <v/>
      </c>
    </row>
    <row r="97">
      <c r="A97" s="94" t="n">
        <v>46096</v>
      </c>
      <c r="B97" s="95">
        <f>CHOOSE(WEEKDAY(A97,2),"月","火","水","木","金","土","日")</f>
        <v/>
      </c>
      <c r="C97" s="96">
        <f>IF(OR(WEEKDAY(A97,2)&gt;=6,COUNTIF(祝日マスタ!$A:$A,A97)&gt;0),"非営業日","営業日")</f>
        <v/>
      </c>
      <c r="D97" s="97">
        <f>COUNTIFS(明細!$F$5:$F$363,A97,明細!$D$5:$D$363,"運用")</f>
        <v/>
      </c>
      <c r="E97" s="98">
        <f>COUNTIFS(明細!$G$5:$G$363,A97,明細!$D$5:$D$363,"運用")</f>
        <v/>
      </c>
      <c r="F97" s="99">
        <f>IF(D97=0,0,E97/D97)</f>
        <v/>
      </c>
      <c r="G97" s="100">
        <f>SUM($D$6:D97)</f>
        <v/>
      </c>
      <c r="H97" s="98">
        <f>SUM($E$6:E97)</f>
        <v/>
      </c>
      <c r="I97" s="99">
        <f>IF(G97=0,"",H97/G97)</f>
        <v/>
      </c>
      <c r="J97" s="101">
        <f>IF(A97&gt;$S$2,"予定",IF(G97=0,"－",IF(I97&gt;=1,"完了",IF(H97&gt;=G97,"順調","遅延"))))</f>
        <v/>
      </c>
      <c r="K97" s="97">
        <f>COUNTIFS(明細!$I$5:$I$363,A97,明細!$D$5:$D$363,"運用")</f>
        <v/>
      </c>
      <c r="L97" s="98">
        <f>COUNTIFS(明細!$J$5:$J$363,A97,明細!$D$5:$D$363,"運用")</f>
        <v/>
      </c>
      <c r="M97" s="99">
        <f>IF(K97=0,0,L97/K97)</f>
        <v/>
      </c>
      <c r="N97" s="100">
        <f>SUM($K$6:K97)</f>
        <v/>
      </c>
      <c r="O97" s="98">
        <f>SUM($L$6:L97)</f>
        <v/>
      </c>
      <c r="P97" s="99">
        <f>IF(N97=0,"",O97/N97)</f>
        <v/>
      </c>
      <c r="Q97" s="101">
        <f>IF(A97&gt;$S$2,"予定",IF(N97=0,"－",IF(P97&gt;=1,"完了",IF(O97&gt;=N97,"順調","遅延"))))</f>
        <v/>
      </c>
      <c r="R97" s="97">
        <f>D97+K97</f>
        <v/>
      </c>
      <c r="S97" s="102">
        <f>E97+L97</f>
        <v/>
      </c>
    </row>
    <row r="98">
      <c r="A98" s="94" t="n">
        <v>46097</v>
      </c>
      <c r="B98" s="95">
        <f>CHOOSE(WEEKDAY(A98,2),"月","火","水","木","金","土","日")</f>
        <v/>
      </c>
      <c r="C98" s="96">
        <f>IF(OR(WEEKDAY(A98,2)&gt;=6,COUNTIF(祝日マスタ!$A:$A,A98)&gt;0),"非営業日","営業日")</f>
        <v/>
      </c>
      <c r="D98" s="97">
        <f>COUNTIFS(明細!$F$5:$F$363,A98,明細!$D$5:$D$363,"運用")</f>
        <v/>
      </c>
      <c r="E98" s="98">
        <f>COUNTIFS(明細!$G$5:$G$363,A98,明細!$D$5:$D$363,"運用")</f>
        <v/>
      </c>
      <c r="F98" s="99">
        <f>IF(D98=0,0,E98/D98)</f>
        <v/>
      </c>
      <c r="G98" s="100">
        <f>SUM($D$6:D98)</f>
        <v/>
      </c>
      <c r="H98" s="98">
        <f>SUM($E$6:E98)</f>
        <v/>
      </c>
      <c r="I98" s="99">
        <f>IF(G98=0,"",H98/G98)</f>
        <v/>
      </c>
      <c r="J98" s="101">
        <f>IF(A98&gt;$S$2,"予定",IF(G98=0,"－",IF(I98&gt;=1,"完了",IF(H98&gt;=G98,"順調","遅延"))))</f>
        <v/>
      </c>
      <c r="K98" s="97">
        <f>COUNTIFS(明細!$I$5:$I$363,A98,明細!$D$5:$D$363,"運用")</f>
        <v/>
      </c>
      <c r="L98" s="98">
        <f>COUNTIFS(明細!$J$5:$J$363,A98,明細!$D$5:$D$363,"運用")</f>
        <v/>
      </c>
      <c r="M98" s="99">
        <f>IF(K98=0,0,L98/K98)</f>
        <v/>
      </c>
      <c r="N98" s="100">
        <f>SUM($K$6:K98)</f>
        <v/>
      </c>
      <c r="O98" s="98">
        <f>SUM($L$6:L98)</f>
        <v/>
      </c>
      <c r="P98" s="99">
        <f>IF(N98=0,"",O98/N98)</f>
        <v/>
      </c>
      <c r="Q98" s="101">
        <f>IF(A98&gt;$S$2,"予定",IF(N98=0,"－",IF(P98&gt;=1,"完了",IF(O98&gt;=N98,"順調","遅延"))))</f>
        <v/>
      </c>
      <c r="R98" s="97">
        <f>D98+K98</f>
        <v/>
      </c>
      <c r="S98" s="102">
        <f>E98+L98</f>
        <v/>
      </c>
    </row>
    <row r="99">
      <c r="A99" s="94" t="n">
        <v>46098</v>
      </c>
      <c r="B99" s="95">
        <f>CHOOSE(WEEKDAY(A99,2),"月","火","水","木","金","土","日")</f>
        <v/>
      </c>
      <c r="C99" s="96">
        <f>IF(OR(WEEKDAY(A99,2)&gt;=6,COUNTIF(祝日マスタ!$A:$A,A99)&gt;0),"非営業日","営業日")</f>
        <v/>
      </c>
      <c r="D99" s="97">
        <f>COUNTIFS(明細!$F$5:$F$363,A99,明細!$D$5:$D$363,"運用")</f>
        <v/>
      </c>
      <c r="E99" s="98">
        <f>COUNTIFS(明細!$G$5:$G$363,A99,明細!$D$5:$D$363,"運用")</f>
        <v/>
      </c>
      <c r="F99" s="99">
        <f>IF(D99=0,0,E99/D99)</f>
        <v/>
      </c>
      <c r="G99" s="100">
        <f>SUM($D$6:D99)</f>
        <v/>
      </c>
      <c r="H99" s="98">
        <f>SUM($E$6:E99)</f>
        <v/>
      </c>
      <c r="I99" s="99">
        <f>IF(G99=0,"",H99/G99)</f>
        <v/>
      </c>
      <c r="J99" s="101">
        <f>IF(A99&gt;$S$2,"予定",IF(G99=0,"－",IF(I99&gt;=1,"完了",IF(H99&gt;=G99,"順調","遅延"))))</f>
        <v/>
      </c>
      <c r="K99" s="97">
        <f>COUNTIFS(明細!$I$5:$I$363,A99,明細!$D$5:$D$363,"運用")</f>
        <v/>
      </c>
      <c r="L99" s="98">
        <f>COUNTIFS(明細!$J$5:$J$363,A99,明細!$D$5:$D$363,"運用")</f>
        <v/>
      </c>
      <c r="M99" s="99">
        <f>IF(K99=0,0,L99/K99)</f>
        <v/>
      </c>
      <c r="N99" s="100">
        <f>SUM($K$6:K99)</f>
        <v/>
      </c>
      <c r="O99" s="98">
        <f>SUM($L$6:L99)</f>
        <v/>
      </c>
      <c r="P99" s="99">
        <f>IF(N99=0,"",O99/N99)</f>
        <v/>
      </c>
      <c r="Q99" s="101">
        <f>IF(A99&gt;$S$2,"予定",IF(N99=0,"－",IF(P99&gt;=1,"完了",IF(O99&gt;=N99,"順調","遅延"))))</f>
        <v/>
      </c>
      <c r="R99" s="97">
        <f>D99+K99</f>
        <v/>
      </c>
      <c r="S99" s="102">
        <f>E99+L99</f>
        <v/>
      </c>
    </row>
    <row r="100">
      <c r="A100" s="94" t="n">
        <v>46099</v>
      </c>
      <c r="B100" s="95">
        <f>CHOOSE(WEEKDAY(A100,2),"月","火","水","木","金","土","日")</f>
        <v/>
      </c>
      <c r="C100" s="96">
        <f>IF(OR(WEEKDAY(A100,2)&gt;=6,COUNTIF(祝日マスタ!$A:$A,A100)&gt;0),"非営業日","営業日")</f>
        <v/>
      </c>
      <c r="D100" s="97">
        <f>COUNTIFS(明細!$F$5:$F$363,A100,明細!$D$5:$D$363,"運用")</f>
        <v/>
      </c>
      <c r="E100" s="98">
        <f>COUNTIFS(明細!$G$5:$G$363,A100,明細!$D$5:$D$363,"運用")</f>
        <v/>
      </c>
      <c r="F100" s="99">
        <f>IF(D100=0,0,E100/D100)</f>
        <v/>
      </c>
      <c r="G100" s="100">
        <f>SUM($D$6:D100)</f>
        <v/>
      </c>
      <c r="H100" s="98">
        <f>SUM($E$6:E100)</f>
        <v/>
      </c>
      <c r="I100" s="99">
        <f>IF(G100=0,"",H100/G100)</f>
        <v/>
      </c>
      <c r="J100" s="101">
        <f>IF(A100&gt;$S$2,"予定",IF(G100=0,"－",IF(I100&gt;=1,"完了",IF(H100&gt;=G100,"順調","遅延"))))</f>
        <v/>
      </c>
      <c r="K100" s="97">
        <f>COUNTIFS(明細!$I$5:$I$363,A100,明細!$D$5:$D$363,"運用")</f>
        <v/>
      </c>
      <c r="L100" s="98">
        <f>COUNTIFS(明細!$J$5:$J$363,A100,明細!$D$5:$D$363,"運用")</f>
        <v/>
      </c>
      <c r="M100" s="99">
        <f>IF(K100=0,0,L100/K100)</f>
        <v/>
      </c>
      <c r="N100" s="100">
        <f>SUM($K$6:K100)</f>
        <v/>
      </c>
      <c r="O100" s="98">
        <f>SUM($L$6:L100)</f>
        <v/>
      </c>
      <c r="P100" s="99">
        <f>IF(N100=0,"",O100/N100)</f>
        <v/>
      </c>
      <c r="Q100" s="101">
        <f>IF(A100&gt;$S$2,"予定",IF(N100=0,"－",IF(P100&gt;=1,"完了",IF(O100&gt;=N100,"順調","遅延"))))</f>
        <v/>
      </c>
      <c r="R100" s="97">
        <f>D100+K100</f>
        <v/>
      </c>
      <c r="S100" s="102">
        <f>E100+L100</f>
        <v/>
      </c>
    </row>
    <row r="101">
      <c r="A101" s="94" t="n">
        <v>46100</v>
      </c>
      <c r="B101" s="95">
        <f>CHOOSE(WEEKDAY(A101,2),"月","火","水","木","金","土","日")</f>
        <v/>
      </c>
      <c r="C101" s="96">
        <f>IF(OR(WEEKDAY(A101,2)&gt;=6,COUNTIF(祝日マスタ!$A:$A,A101)&gt;0),"非営業日","営業日")</f>
        <v/>
      </c>
      <c r="D101" s="97">
        <f>COUNTIFS(明細!$F$5:$F$363,A101,明細!$D$5:$D$363,"運用")</f>
        <v/>
      </c>
      <c r="E101" s="98">
        <f>COUNTIFS(明細!$G$5:$G$363,A101,明細!$D$5:$D$363,"運用")</f>
        <v/>
      </c>
      <c r="F101" s="99">
        <f>IF(D101=0,0,E101/D101)</f>
        <v/>
      </c>
      <c r="G101" s="100">
        <f>SUM($D$6:D101)</f>
        <v/>
      </c>
      <c r="H101" s="98">
        <f>SUM($E$6:E101)</f>
        <v/>
      </c>
      <c r="I101" s="99">
        <f>IF(G101=0,"",H101/G101)</f>
        <v/>
      </c>
      <c r="J101" s="101">
        <f>IF(A101&gt;$S$2,"予定",IF(G101=0,"－",IF(I101&gt;=1,"完了",IF(H101&gt;=G101,"順調","遅延"))))</f>
        <v/>
      </c>
      <c r="K101" s="97">
        <f>COUNTIFS(明細!$I$5:$I$363,A101,明細!$D$5:$D$363,"運用")</f>
        <v/>
      </c>
      <c r="L101" s="98">
        <f>COUNTIFS(明細!$J$5:$J$363,A101,明細!$D$5:$D$363,"運用")</f>
        <v/>
      </c>
      <c r="M101" s="99">
        <f>IF(K101=0,0,L101/K101)</f>
        <v/>
      </c>
      <c r="N101" s="100">
        <f>SUM($K$6:K101)</f>
        <v/>
      </c>
      <c r="O101" s="98">
        <f>SUM($L$6:L101)</f>
        <v/>
      </c>
      <c r="P101" s="99">
        <f>IF(N101=0,"",O101/N101)</f>
        <v/>
      </c>
      <c r="Q101" s="101">
        <f>IF(A101&gt;$S$2,"予定",IF(N101=0,"－",IF(P101&gt;=1,"完了",IF(O101&gt;=N101,"順調","遅延"))))</f>
        <v/>
      </c>
      <c r="R101" s="97">
        <f>D101+K101</f>
        <v/>
      </c>
      <c r="S101" s="102">
        <f>E101+L101</f>
        <v/>
      </c>
    </row>
    <row r="102">
      <c r="A102" s="94" t="n">
        <v>46101</v>
      </c>
      <c r="B102" s="95">
        <f>CHOOSE(WEEKDAY(A102,2),"月","火","水","木","金","土","日")</f>
        <v/>
      </c>
      <c r="C102" s="96">
        <f>IF(OR(WEEKDAY(A102,2)&gt;=6,COUNTIF(祝日マスタ!$A:$A,A102)&gt;0),"非営業日","営業日")</f>
        <v/>
      </c>
      <c r="D102" s="97">
        <f>COUNTIFS(明細!$F$5:$F$363,A102,明細!$D$5:$D$363,"運用")</f>
        <v/>
      </c>
      <c r="E102" s="98">
        <f>COUNTIFS(明細!$G$5:$G$363,A102,明細!$D$5:$D$363,"運用")</f>
        <v/>
      </c>
      <c r="F102" s="99">
        <f>IF(D102=0,0,E102/D102)</f>
        <v/>
      </c>
      <c r="G102" s="100">
        <f>SUM($D$6:D102)</f>
        <v/>
      </c>
      <c r="H102" s="98">
        <f>SUM($E$6:E102)</f>
        <v/>
      </c>
      <c r="I102" s="99">
        <f>IF(G102=0,"",H102/G102)</f>
        <v/>
      </c>
      <c r="J102" s="101">
        <f>IF(A102&gt;$S$2,"予定",IF(G102=0,"－",IF(I102&gt;=1,"完了",IF(H102&gt;=G102,"順調","遅延"))))</f>
        <v/>
      </c>
      <c r="K102" s="97">
        <f>COUNTIFS(明細!$I$5:$I$363,A102,明細!$D$5:$D$363,"運用")</f>
        <v/>
      </c>
      <c r="L102" s="98">
        <f>COUNTIFS(明細!$J$5:$J$363,A102,明細!$D$5:$D$363,"運用")</f>
        <v/>
      </c>
      <c r="M102" s="99">
        <f>IF(K102=0,0,L102/K102)</f>
        <v/>
      </c>
      <c r="N102" s="100">
        <f>SUM($K$6:K102)</f>
        <v/>
      </c>
      <c r="O102" s="98">
        <f>SUM($L$6:L102)</f>
        <v/>
      </c>
      <c r="P102" s="99">
        <f>IF(N102=0,"",O102/N102)</f>
        <v/>
      </c>
      <c r="Q102" s="101">
        <f>IF(A102&gt;$S$2,"予定",IF(N102=0,"－",IF(P102&gt;=1,"完了",IF(O102&gt;=N102,"順調","遅延"))))</f>
        <v/>
      </c>
      <c r="R102" s="97">
        <f>D102+K102</f>
        <v/>
      </c>
      <c r="S102" s="102">
        <f>E102+L102</f>
        <v/>
      </c>
    </row>
    <row r="103">
      <c r="A103" s="94" t="n">
        <v>46102</v>
      </c>
      <c r="B103" s="95">
        <f>CHOOSE(WEEKDAY(A103,2),"月","火","水","木","金","土","日")</f>
        <v/>
      </c>
      <c r="C103" s="96">
        <f>IF(OR(WEEKDAY(A103,2)&gt;=6,COUNTIF(祝日マスタ!$A:$A,A103)&gt;0),"非営業日","営業日")</f>
        <v/>
      </c>
      <c r="D103" s="97">
        <f>COUNTIFS(明細!$F$5:$F$363,A103,明細!$D$5:$D$363,"運用")</f>
        <v/>
      </c>
      <c r="E103" s="98">
        <f>COUNTIFS(明細!$G$5:$G$363,A103,明細!$D$5:$D$363,"運用")</f>
        <v/>
      </c>
      <c r="F103" s="99">
        <f>IF(D103=0,0,E103/D103)</f>
        <v/>
      </c>
      <c r="G103" s="100">
        <f>SUM($D$6:D103)</f>
        <v/>
      </c>
      <c r="H103" s="98">
        <f>SUM($E$6:E103)</f>
        <v/>
      </c>
      <c r="I103" s="99">
        <f>IF(G103=0,"",H103/G103)</f>
        <v/>
      </c>
      <c r="J103" s="101">
        <f>IF(A103&gt;$S$2,"予定",IF(G103=0,"－",IF(I103&gt;=1,"完了",IF(H103&gt;=G103,"順調","遅延"))))</f>
        <v/>
      </c>
      <c r="K103" s="97">
        <f>COUNTIFS(明細!$I$5:$I$363,A103,明細!$D$5:$D$363,"運用")</f>
        <v/>
      </c>
      <c r="L103" s="98">
        <f>COUNTIFS(明細!$J$5:$J$363,A103,明細!$D$5:$D$363,"運用")</f>
        <v/>
      </c>
      <c r="M103" s="99">
        <f>IF(K103=0,0,L103/K103)</f>
        <v/>
      </c>
      <c r="N103" s="100">
        <f>SUM($K$6:K103)</f>
        <v/>
      </c>
      <c r="O103" s="98">
        <f>SUM($L$6:L103)</f>
        <v/>
      </c>
      <c r="P103" s="99">
        <f>IF(N103=0,"",O103/N103)</f>
        <v/>
      </c>
      <c r="Q103" s="101">
        <f>IF(A103&gt;$S$2,"予定",IF(N103=0,"－",IF(P103&gt;=1,"完了",IF(O103&gt;=N103,"順調","遅延"))))</f>
        <v/>
      </c>
      <c r="R103" s="97">
        <f>D103+K103</f>
        <v/>
      </c>
      <c r="S103" s="102">
        <f>E103+L103</f>
        <v/>
      </c>
    </row>
    <row r="104">
      <c r="A104" s="94" t="n">
        <v>46103</v>
      </c>
      <c r="B104" s="95">
        <f>CHOOSE(WEEKDAY(A104,2),"月","火","水","木","金","土","日")</f>
        <v/>
      </c>
      <c r="C104" s="96">
        <f>IF(OR(WEEKDAY(A104,2)&gt;=6,COUNTIF(祝日マスタ!$A:$A,A104)&gt;0),"非営業日","営業日")</f>
        <v/>
      </c>
      <c r="D104" s="97">
        <f>COUNTIFS(明細!$F$5:$F$363,A104,明細!$D$5:$D$363,"運用")</f>
        <v/>
      </c>
      <c r="E104" s="98">
        <f>COUNTIFS(明細!$G$5:$G$363,A104,明細!$D$5:$D$363,"運用")</f>
        <v/>
      </c>
      <c r="F104" s="99">
        <f>IF(D104=0,0,E104/D104)</f>
        <v/>
      </c>
      <c r="G104" s="100">
        <f>SUM($D$6:D104)</f>
        <v/>
      </c>
      <c r="H104" s="98">
        <f>SUM($E$6:E104)</f>
        <v/>
      </c>
      <c r="I104" s="99">
        <f>IF(G104=0,"",H104/G104)</f>
        <v/>
      </c>
      <c r="J104" s="101">
        <f>IF(A104&gt;$S$2,"予定",IF(G104=0,"－",IF(I104&gt;=1,"完了",IF(H104&gt;=G104,"順調","遅延"))))</f>
        <v/>
      </c>
      <c r="K104" s="97">
        <f>COUNTIFS(明細!$I$5:$I$363,A104,明細!$D$5:$D$363,"運用")</f>
        <v/>
      </c>
      <c r="L104" s="98">
        <f>COUNTIFS(明細!$J$5:$J$363,A104,明細!$D$5:$D$363,"運用")</f>
        <v/>
      </c>
      <c r="M104" s="99">
        <f>IF(K104=0,0,L104/K104)</f>
        <v/>
      </c>
      <c r="N104" s="100">
        <f>SUM($K$6:K104)</f>
        <v/>
      </c>
      <c r="O104" s="98">
        <f>SUM($L$6:L104)</f>
        <v/>
      </c>
      <c r="P104" s="99">
        <f>IF(N104=0,"",O104/N104)</f>
        <v/>
      </c>
      <c r="Q104" s="101">
        <f>IF(A104&gt;$S$2,"予定",IF(N104=0,"－",IF(P104&gt;=1,"完了",IF(O104&gt;=N104,"順調","遅延"))))</f>
        <v/>
      </c>
      <c r="R104" s="97">
        <f>D104+K104</f>
        <v/>
      </c>
      <c r="S104" s="102">
        <f>E104+L104</f>
        <v/>
      </c>
    </row>
    <row r="105">
      <c r="A105" s="94" t="n">
        <v>46104</v>
      </c>
      <c r="B105" s="95">
        <f>CHOOSE(WEEKDAY(A105,2),"月","火","水","木","金","土","日")</f>
        <v/>
      </c>
      <c r="C105" s="96">
        <f>IF(OR(WEEKDAY(A105,2)&gt;=6,COUNTIF(祝日マスタ!$A:$A,A105)&gt;0),"非営業日","営業日")</f>
        <v/>
      </c>
      <c r="D105" s="97">
        <f>COUNTIFS(明細!$F$5:$F$363,A105,明細!$D$5:$D$363,"運用")</f>
        <v/>
      </c>
      <c r="E105" s="98">
        <f>COUNTIFS(明細!$G$5:$G$363,A105,明細!$D$5:$D$363,"運用")</f>
        <v/>
      </c>
      <c r="F105" s="99">
        <f>IF(D105=0,0,E105/D105)</f>
        <v/>
      </c>
      <c r="G105" s="100">
        <f>SUM($D$6:D105)</f>
        <v/>
      </c>
      <c r="H105" s="98">
        <f>SUM($E$6:E105)</f>
        <v/>
      </c>
      <c r="I105" s="99">
        <f>IF(G105=0,"",H105/G105)</f>
        <v/>
      </c>
      <c r="J105" s="101">
        <f>IF(A105&gt;$S$2,"予定",IF(G105=0,"－",IF(I105&gt;=1,"完了",IF(H105&gt;=G105,"順調","遅延"))))</f>
        <v/>
      </c>
      <c r="K105" s="97">
        <f>COUNTIFS(明細!$I$5:$I$363,A105,明細!$D$5:$D$363,"運用")</f>
        <v/>
      </c>
      <c r="L105" s="98">
        <f>COUNTIFS(明細!$J$5:$J$363,A105,明細!$D$5:$D$363,"運用")</f>
        <v/>
      </c>
      <c r="M105" s="99">
        <f>IF(K105=0,0,L105/K105)</f>
        <v/>
      </c>
      <c r="N105" s="100">
        <f>SUM($K$6:K105)</f>
        <v/>
      </c>
      <c r="O105" s="98">
        <f>SUM($L$6:L105)</f>
        <v/>
      </c>
      <c r="P105" s="99">
        <f>IF(N105=0,"",O105/N105)</f>
        <v/>
      </c>
      <c r="Q105" s="101">
        <f>IF(A105&gt;$S$2,"予定",IF(N105=0,"－",IF(P105&gt;=1,"完了",IF(O105&gt;=N105,"順調","遅延"))))</f>
        <v/>
      </c>
      <c r="R105" s="97">
        <f>D105+K105</f>
        <v/>
      </c>
      <c r="S105" s="102">
        <f>E105+L105</f>
        <v/>
      </c>
    </row>
    <row r="106">
      <c r="A106" s="94" t="n">
        <v>46105</v>
      </c>
      <c r="B106" s="95">
        <f>CHOOSE(WEEKDAY(A106,2),"月","火","水","木","金","土","日")</f>
        <v/>
      </c>
      <c r="C106" s="96">
        <f>IF(OR(WEEKDAY(A106,2)&gt;=6,COUNTIF(祝日マスタ!$A:$A,A106)&gt;0),"非営業日","営業日")</f>
        <v/>
      </c>
      <c r="D106" s="97">
        <f>COUNTIFS(明細!$F$5:$F$363,A106,明細!$D$5:$D$363,"運用")</f>
        <v/>
      </c>
      <c r="E106" s="98">
        <f>COUNTIFS(明細!$G$5:$G$363,A106,明細!$D$5:$D$363,"運用")</f>
        <v/>
      </c>
      <c r="F106" s="99">
        <f>IF(D106=0,0,E106/D106)</f>
        <v/>
      </c>
      <c r="G106" s="100">
        <f>SUM($D$6:D106)</f>
        <v/>
      </c>
      <c r="H106" s="98">
        <f>SUM($E$6:E106)</f>
        <v/>
      </c>
      <c r="I106" s="99">
        <f>IF(G106=0,"",H106/G106)</f>
        <v/>
      </c>
      <c r="J106" s="101">
        <f>IF(A106&gt;$S$2,"予定",IF(G106=0,"－",IF(I106&gt;=1,"完了",IF(H106&gt;=G106,"順調","遅延"))))</f>
        <v/>
      </c>
      <c r="K106" s="97">
        <f>COUNTIFS(明細!$I$5:$I$363,A106,明細!$D$5:$D$363,"運用")</f>
        <v/>
      </c>
      <c r="L106" s="98">
        <f>COUNTIFS(明細!$J$5:$J$363,A106,明細!$D$5:$D$363,"運用")</f>
        <v/>
      </c>
      <c r="M106" s="99">
        <f>IF(K106=0,0,L106/K106)</f>
        <v/>
      </c>
      <c r="N106" s="100">
        <f>SUM($K$6:K106)</f>
        <v/>
      </c>
      <c r="O106" s="98">
        <f>SUM($L$6:L106)</f>
        <v/>
      </c>
      <c r="P106" s="99">
        <f>IF(N106=0,"",O106/N106)</f>
        <v/>
      </c>
      <c r="Q106" s="101">
        <f>IF(A106&gt;$S$2,"予定",IF(N106=0,"－",IF(P106&gt;=1,"完了",IF(O106&gt;=N106,"順調","遅延"))))</f>
        <v/>
      </c>
      <c r="R106" s="97">
        <f>D106+K106</f>
        <v/>
      </c>
      <c r="S106" s="102">
        <f>E106+L106</f>
        <v/>
      </c>
    </row>
    <row r="107">
      <c r="A107" s="94" t="n">
        <v>46106</v>
      </c>
      <c r="B107" s="95">
        <f>CHOOSE(WEEKDAY(A107,2),"月","火","水","木","金","土","日")</f>
        <v/>
      </c>
      <c r="C107" s="96">
        <f>IF(OR(WEEKDAY(A107,2)&gt;=6,COUNTIF(祝日マスタ!$A:$A,A107)&gt;0),"非営業日","営業日")</f>
        <v/>
      </c>
      <c r="D107" s="97">
        <f>COUNTIFS(明細!$F$5:$F$363,A107,明細!$D$5:$D$363,"運用")</f>
        <v/>
      </c>
      <c r="E107" s="98">
        <f>COUNTIFS(明細!$G$5:$G$363,A107,明細!$D$5:$D$363,"運用")</f>
        <v/>
      </c>
      <c r="F107" s="99">
        <f>IF(D107=0,0,E107/D107)</f>
        <v/>
      </c>
      <c r="G107" s="100">
        <f>SUM($D$6:D107)</f>
        <v/>
      </c>
      <c r="H107" s="98">
        <f>SUM($E$6:E107)</f>
        <v/>
      </c>
      <c r="I107" s="99">
        <f>IF(G107=0,"",H107/G107)</f>
        <v/>
      </c>
      <c r="J107" s="101">
        <f>IF(A107&gt;$S$2,"予定",IF(G107=0,"－",IF(I107&gt;=1,"完了",IF(H107&gt;=G107,"順調","遅延"))))</f>
        <v/>
      </c>
      <c r="K107" s="97">
        <f>COUNTIFS(明細!$I$5:$I$363,A107,明細!$D$5:$D$363,"運用")</f>
        <v/>
      </c>
      <c r="L107" s="98">
        <f>COUNTIFS(明細!$J$5:$J$363,A107,明細!$D$5:$D$363,"運用")</f>
        <v/>
      </c>
      <c r="M107" s="99">
        <f>IF(K107=0,0,L107/K107)</f>
        <v/>
      </c>
      <c r="N107" s="100">
        <f>SUM($K$6:K107)</f>
        <v/>
      </c>
      <c r="O107" s="98">
        <f>SUM($L$6:L107)</f>
        <v/>
      </c>
      <c r="P107" s="99">
        <f>IF(N107=0,"",O107/N107)</f>
        <v/>
      </c>
      <c r="Q107" s="101">
        <f>IF(A107&gt;$S$2,"予定",IF(N107=0,"－",IF(P107&gt;=1,"完了",IF(O107&gt;=N107,"順調","遅延"))))</f>
        <v/>
      </c>
      <c r="R107" s="97">
        <f>D107+K107</f>
        <v/>
      </c>
      <c r="S107" s="102">
        <f>E107+L107</f>
        <v/>
      </c>
    </row>
    <row r="108">
      <c r="A108" s="94" t="n">
        <v>46107</v>
      </c>
      <c r="B108" s="95">
        <f>CHOOSE(WEEKDAY(A108,2),"月","火","水","木","金","土","日")</f>
        <v/>
      </c>
      <c r="C108" s="96">
        <f>IF(OR(WEEKDAY(A108,2)&gt;=6,COUNTIF(祝日マスタ!$A:$A,A108)&gt;0),"非営業日","営業日")</f>
        <v/>
      </c>
      <c r="D108" s="97">
        <f>COUNTIFS(明細!$F$5:$F$363,A108,明細!$D$5:$D$363,"運用")</f>
        <v/>
      </c>
      <c r="E108" s="98">
        <f>COUNTIFS(明細!$G$5:$G$363,A108,明細!$D$5:$D$363,"運用")</f>
        <v/>
      </c>
      <c r="F108" s="99">
        <f>IF(D108=0,0,E108/D108)</f>
        <v/>
      </c>
      <c r="G108" s="100">
        <f>SUM($D$6:D108)</f>
        <v/>
      </c>
      <c r="H108" s="98">
        <f>SUM($E$6:E108)</f>
        <v/>
      </c>
      <c r="I108" s="99">
        <f>IF(G108=0,"",H108/G108)</f>
        <v/>
      </c>
      <c r="J108" s="101">
        <f>IF(A108&gt;$S$2,"予定",IF(G108=0,"－",IF(I108&gt;=1,"完了",IF(H108&gt;=G108,"順調","遅延"))))</f>
        <v/>
      </c>
      <c r="K108" s="97">
        <f>COUNTIFS(明細!$I$5:$I$363,A108,明細!$D$5:$D$363,"運用")</f>
        <v/>
      </c>
      <c r="L108" s="98">
        <f>COUNTIFS(明細!$J$5:$J$363,A108,明細!$D$5:$D$363,"運用")</f>
        <v/>
      </c>
      <c r="M108" s="99">
        <f>IF(K108=0,0,L108/K108)</f>
        <v/>
      </c>
      <c r="N108" s="100">
        <f>SUM($K$6:K108)</f>
        <v/>
      </c>
      <c r="O108" s="98">
        <f>SUM($L$6:L108)</f>
        <v/>
      </c>
      <c r="P108" s="99">
        <f>IF(N108=0,"",O108/N108)</f>
        <v/>
      </c>
      <c r="Q108" s="101">
        <f>IF(A108&gt;$S$2,"予定",IF(N108=0,"－",IF(P108&gt;=1,"完了",IF(O108&gt;=N108,"順調","遅延"))))</f>
        <v/>
      </c>
      <c r="R108" s="97">
        <f>D108+K108</f>
        <v/>
      </c>
      <c r="S108" s="102">
        <f>E108+L108</f>
        <v/>
      </c>
    </row>
    <row r="109">
      <c r="A109" s="94" t="n">
        <v>46108</v>
      </c>
      <c r="B109" s="95">
        <f>CHOOSE(WEEKDAY(A109,2),"月","火","水","木","金","土","日")</f>
        <v/>
      </c>
      <c r="C109" s="96">
        <f>IF(OR(WEEKDAY(A109,2)&gt;=6,COUNTIF(祝日マスタ!$A:$A,A109)&gt;0),"非営業日","営業日")</f>
        <v/>
      </c>
      <c r="D109" s="97">
        <f>COUNTIFS(明細!$F$5:$F$363,A109,明細!$D$5:$D$363,"運用")</f>
        <v/>
      </c>
      <c r="E109" s="98">
        <f>COUNTIFS(明細!$G$5:$G$363,A109,明細!$D$5:$D$363,"運用")</f>
        <v/>
      </c>
      <c r="F109" s="99">
        <f>IF(D109=0,0,E109/D109)</f>
        <v/>
      </c>
      <c r="G109" s="100">
        <f>SUM($D$6:D109)</f>
        <v/>
      </c>
      <c r="H109" s="98">
        <f>SUM($E$6:E109)</f>
        <v/>
      </c>
      <c r="I109" s="99">
        <f>IF(G109=0,"",H109/G109)</f>
        <v/>
      </c>
      <c r="J109" s="101">
        <f>IF(A109&gt;$S$2,"予定",IF(G109=0,"－",IF(I109&gt;=1,"完了",IF(H109&gt;=G109,"順調","遅延"))))</f>
        <v/>
      </c>
      <c r="K109" s="97">
        <f>COUNTIFS(明細!$I$5:$I$363,A109,明細!$D$5:$D$363,"運用")</f>
        <v/>
      </c>
      <c r="L109" s="98">
        <f>COUNTIFS(明細!$J$5:$J$363,A109,明細!$D$5:$D$363,"運用")</f>
        <v/>
      </c>
      <c r="M109" s="99">
        <f>IF(K109=0,0,L109/K109)</f>
        <v/>
      </c>
      <c r="N109" s="100">
        <f>SUM($K$6:K109)</f>
        <v/>
      </c>
      <c r="O109" s="98">
        <f>SUM($L$6:L109)</f>
        <v/>
      </c>
      <c r="P109" s="99">
        <f>IF(N109=0,"",O109/N109)</f>
        <v/>
      </c>
      <c r="Q109" s="101">
        <f>IF(A109&gt;$S$2,"予定",IF(N109=0,"－",IF(P109&gt;=1,"完了",IF(O109&gt;=N109,"順調","遅延"))))</f>
        <v/>
      </c>
      <c r="R109" s="97">
        <f>D109+K109</f>
        <v/>
      </c>
      <c r="S109" s="102">
        <f>E109+L109</f>
        <v/>
      </c>
    </row>
    <row r="110">
      <c r="A110" s="94" t="n">
        <v>46109</v>
      </c>
      <c r="B110" s="95">
        <f>CHOOSE(WEEKDAY(A110,2),"月","火","水","木","金","土","日")</f>
        <v/>
      </c>
      <c r="C110" s="96">
        <f>IF(OR(WEEKDAY(A110,2)&gt;=6,COUNTIF(祝日マスタ!$A:$A,A110)&gt;0),"非営業日","営業日")</f>
        <v/>
      </c>
      <c r="D110" s="97">
        <f>COUNTIFS(明細!$F$5:$F$363,A110,明細!$D$5:$D$363,"運用")</f>
        <v/>
      </c>
      <c r="E110" s="98">
        <f>COUNTIFS(明細!$G$5:$G$363,A110,明細!$D$5:$D$363,"運用")</f>
        <v/>
      </c>
      <c r="F110" s="99">
        <f>IF(D110=0,0,E110/D110)</f>
        <v/>
      </c>
      <c r="G110" s="100">
        <f>SUM($D$6:D110)</f>
        <v/>
      </c>
      <c r="H110" s="98">
        <f>SUM($E$6:E110)</f>
        <v/>
      </c>
      <c r="I110" s="99">
        <f>IF(G110=0,"",H110/G110)</f>
        <v/>
      </c>
      <c r="J110" s="101">
        <f>IF(A110&gt;$S$2,"予定",IF(G110=0,"－",IF(I110&gt;=1,"完了",IF(H110&gt;=G110,"順調","遅延"))))</f>
        <v/>
      </c>
      <c r="K110" s="97">
        <f>COUNTIFS(明細!$I$5:$I$363,A110,明細!$D$5:$D$363,"運用")</f>
        <v/>
      </c>
      <c r="L110" s="98">
        <f>COUNTIFS(明細!$J$5:$J$363,A110,明細!$D$5:$D$363,"運用")</f>
        <v/>
      </c>
      <c r="M110" s="99">
        <f>IF(K110=0,0,L110/K110)</f>
        <v/>
      </c>
      <c r="N110" s="100">
        <f>SUM($K$6:K110)</f>
        <v/>
      </c>
      <c r="O110" s="98">
        <f>SUM($L$6:L110)</f>
        <v/>
      </c>
      <c r="P110" s="99">
        <f>IF(N110=0,"",O110/N110)</f>
        <v/>
      </c>
      <c r="Q110" s="101">
        <f>IF(A110&gt;$S$2,"予定",IF(N110=0,"－",IF(P110&gt;=1,"完了",IF(O110&gt;=N110,"順調","遅延"))))</f>
        <v/>
      </c>
      <c r="R110" s="97">
        <f>D110+K110</f>
        <v/>
      </c>
      <c r="S110" s="102">
        <f>E110+L110</f>
        <v/>
      </c>
    </row>
    <row r="111">
      <c r="A111" s="94" t="n">
        <v>46110</v>
      </c>
      <c r="B111" s="95">
        <f>CHOOSE(WEEKDAY(A111,2),"月","火","水","木","金","土","日")</f>
        <v/>
      </c>
      <c r="C111" s="96">
        <f>IF(OR(WEEKDAY(A111,2)&gt;=6,COUNTIF(祝日マスタ!$A:$A,A111)&gt;0),"非営業日","営業日")</f>
        <v/>
      </c>
      <c r="D111" s="97">
        <f>COUNTIFS(明細!$F$5:$F$363,A111,明細!$D$5:$D$363,"運用")</f>
        <v/>
      </c>
      <c r="E111" s="98">
        <f>COUNTIFS(明細!$G$5:$G$363,A111,明細!$D$5:$D$363,"運用")</f>
        <v/>
      </c>
      <c r="F111" s="99">
        <f>IF(D111=0,0,E111/D111)</f>
        <v/>
      </c>
      <c r="G111" s="100">
        <f>SUM($D$6:D111)</f>
        <v/>
      </c>
      <c r="H111" s="98">
        <f>SUM($E$6:E111)</f>
        <v/>
      </c>
      <c r="I111" s="99">
        <f>IF(G111=0,"",H111/G111)</f>
        <v/>
      </c>
      <c r="J111" s="101">
        <f>IF(A111&gt;$S$2,"予定",IF(G111=0,"－",IF(I111&gt;=1,"完了",IF(H111&gt;=G111,"順調","遅延"))))</f>
        <v/>
      </c>
      <c r="K111" s="97">
        <f>COUNTIFS(明細!$I$5:$I$363,A111,明細!$D$5:$D$363,"運用")</f>
        <v/>
      </c>
      <c r="L111" s="98">
        <f>COUNTIFS(明細!$J$5:$J$363,A111,明細!$D$5:$D$363,"運用")</f>
        <v/>
      </c>
      <c r="M111" s="99">
        <f>IF(K111=0,0,L111/K111)</f>
        <v/>
      </c>
      <c r="N111" s="100">
        <f>SUM($K$6:K111)</f>
        <v/>
      </c>
      <c r="O111" s="98">
        <f>SUM($L$6:L111)</f>
        <v/>
      </c>
      <c r="P111" s="99">
        <f>IF(N111=0,"",O111/N111)</f>
        <v/>
      </c>
      <c r="Q111" s="101">
        <f>IF(A111&gt;$S$2,"予定",IF(N111=0,"－",IF(P111&gt;=1,"完了",IF(O111&gt;=N111,"順調","遅延"))))</f>
        <v/>
      </c>
      <c r="R111" s="97">
        <f>D111+K111</f>
        <v/>
      </c>
      <c r="S111" s="102">
        <f>E111+L111</f>
        <v/>
      </c>
    </row>
    <row r="112">
      <c r="A112" s="94" t="n">
        <v>46111</v>
      </c>
      <c r="B112" s="95">
        <f>CHOOSE(WEEKDAY(A112,2),"月","火","水","木","金","土","日")</f>
        <v/>
      </c>
      <c r="C112" s="96">
        <f>IF(OR(WEEKDAY(A112,2)&gt;=6,COUNTIF(祝日マスタ!$A:$A,A112)&gt;0),"非営業日","営業日")</f>
        <v/>
      </c>
      <c r="D112" s="97">
        <f>COUNTIFS(明細!$F$5:$F$363,A112,明細!$D$5:$D$363,"運用")</f>
        <v/>
      </c>
      <c r="E112" s="98">
        <f>COUNTIFS(明細!$G$5:$G$363,A112,明細!$D$5:$D$363,"運用")</f>
        <v/>
      </c>
      <c r="F112" s="99">
        <f>IF(D112=0,0,E112/D112)</f>
        <v/>
      </c>
      <c r="G112" s="100">
        <f>SUM($D$6:D112)</f>
        <v/>
      </c>
      <c r="H112" s="98">
        <f>SUM($E$6:E112)</f>
        <v/>
      </c>
      <c r="I112" s="99">
        <f>IF(G112=0,"",H112/G112)</f>
        <v/>
      </c>
      <c r="J112" s="101">
        <f>IF(A112&gt;$S$2,"予定",IF(G112=0,"－",IF(I112&gt;=1,"完了",IF(H112&gt;=G112,"順調","遅延"))))</f>
        <v/>
      </c>
      <c r="K112" s="97">
        <f>COUNTIFS(明細!$I$5:$I$363,A112,明細!$D$5:$D$363,"運用")</f>
        <v/>
      </c>
      <c r="L112" s="98">
        <f>COUNTIFS(明細!$J$5:$J$363,A112,明細!$D$5:$D$363,"運用")</f>
        <v/>
      </c>
      <c r="M112" s="99">
        <f>IF(K112=0,0,L112/K112)</f>
        <v/>
      </c>
      <c r="N112" s="100">
        <f>SUM($K$6:K112)</f>
        <v/>
      </c>
      <c r="O112" s="98">
        <f>SUM($L$6:L112)</f>
        <v/>
      </c>
      <c r="P112" s="99">
        <f>IF(N112=0,"",O112/N112)</f>
        <v/>
      </c>
      <c r="Q112" s="101">
        <f>IF(A112&gt;$S$2,"予定",IF(N112=0,"－",IF(P112&gt;=1,"完了",IF(O112&gt;=N112,"順調","遅延"))))</f>
        <v/>
      </c>
      <c r="R112" s="97">
        <f>D112+K112</f>
        <v/>
      </c>
      <c r="S112" s="102">
        <f>E112+L112</f>
        <v/>
      </c>
    </row>
    <row r="113">
      <c r="A113" s="94" t="n">
        <v>46112</v>
      </c>
      <c r="B113" s="95">
        <f>CHOOSE(WEEKDAY(A113,2),"月","火","水","木","金","土","日")</f>
        <v/>
      </c>
      <c r="C113" s="96">
        <f>IF(OR(WEEKDAY(A113,2)&gt;=6,COUNTIF(祝日マスタ!$A:$A,A113)&gt;0),"非営業日","営業日")</f>
        <v/>
      </c>
      <c r="D113" s="97">
        <f>COUNTIFS(明細!$F$5:$F$363,A113,明細!$D$5:$D$363,"運用")</f>
        <v/>
      </c>
      <c r="E113" s="98">
        <f>COUNTIFS(明細!$G$5:$G$363,A113,明細!$D$5:$D$363,"運用")</f>
        <v/>
      </c>
      <c r="F113" s="99">
        <f>IF(D113=0,0,E113/D113)</f>
        <v/>
      </c>
      <c r="G113" s="100">
        <f>SUM($D$6:D113)</f>
        <v/>
      </c>
      <c r="H113" s="98">
        <f>SUM($E$6:E113)</f>
        <v/>
      </c>
      <c r="I113" s="99">
        <f>IF(G113=0,"",H113/G113)</f>
        <v/>
      </c>
      <c r="J113" s="101">
        <f>IF(A113&gt;$S$2,"予定",IF(G113=0,"－",IF(I113&gt;=1,"完了",IF(H113&gt;=G113,"順調","遅延"))))</f>
        <v/>
      </c>
      <c r="K113" s="97">
        <f>COUNTIFS(明細!$I$5:$I$363,A113,明細!$D$5:$D$363,"運用")</f>
        <v/>
      </c>
      <c r="L113" s="98">
        <f>COUNTIFS(明細!$J$5:$J$363,A113,明細!$D$5:$D$363,"運用")</f>
        <v/>
      </c>
      <c r="M113" s="99">
        <f>IF(K113=0,0,L113/K113)</f>
        <v/>
      </c>
      <c r="N113" s="100">
        <f>SUM($K$6:K113)</f>
        <v/>
      </c>
      <c r="O113" s="98">
        <f>SUM($L$6:L113)</f>
        <v/>
      </c>
      <c r="P113" s="99">
        <f>IF(N113=0,"",O113/N113)</f>
        <v/>
      </c>
      <c r="Q113" s="101">
        <f>IF(A113&gt;$S$2,"予定",IF(N113=0,"－",IF(P113&gt;=1,"完了",IF(O113&gt;=N113,"順調","遅延"))))</f>
        <v/>
      </c>
      <c r="R113" s="97">
        <f>D113+K113</f>
        <v/>
      </c>
      <c r="S113" s="102">
        <f>E113+L113</f>
        <v/>
      </c>
    </row>
    <row r="114">
      <c r="A114" s="94" t="n">
        <v>46113</v>
      </c>
      <c r="B114" s="95">
        <f>CHOOSE(WEEKDAY(A114,2),"月","火","水","木","金","土","日")</f>
        <v/>
      </c>
      <c r="C114" s="96">
        <f>IF(OR(WEEKDAY(A114,2)&gt;=6,COUNTIF(祝日マスタ!$A:$A,A114)&gt;0),"非営業日","営業日")</f>
        <v/>
      </c>
      <c r="D114" s="97">
        <f>COUNTIFS(明細!$F$5:$F$363,A114,明細!$D$5:$D$363,"運用")</f>
        <v/>
      </c>
      <c r="E114" s="98">
        <f>COUNTIFS(明細!$G$5:$G$363,A114,明細!$D$5:$D$363,"運用")</f>
        <v/>
      </c>
      <c r="F114" s="99">
        <f>IF(D114=0,0,E114/D114)</f>
        <v/>
      </c>
      <c r="G114" s="100">
        <f>SUM($D$6:D114)</f>
        <v/>
      </c>
      <c r="H114" s="98">
        <f>SUM($E$6:E114)</f>
        <v/>
      </c>
      <c r="I114" s="99">
        <f>IF(G114=0,"",H114/G114)</f>
        <v/>
      </c>
      <c r="J114" s="101">
        <f>IF(A114&gt;$S$2,"予定",IF(G114=0,"－",IF(I114&gt;=1,"完了",IF(H114&gt;=G114,"順調","遅延"))))</f>
        <v/>
      </c>
      <c r="K114" s="97">
        <f>COUNTIFS(明細!$I$5:$I$363,A114,明細!$D$5:$D$363,"運用")</f>
        <v/>
      </c>
      <c r="L114" s="98">
        <f>COUNTIFS(明細!$J$5:$J$363,A114,明細!$D$5:$D$363,"運用")</f>
        <v/>
      </c>
      <c r="M114" s="99">
        <f>IF(K114=0,0,L114/K114)</f>
        <v/>
      </c>
      <c r="N114" s="100">
        <f>SUM($K$6:K114)</f>
        <v/>
      </c>
      <c r="O114" s="98">
        <f>SUM($L$6:L114)</f>
        <v/>
      </c>
      <c r="P114" s="99">
        <f>IF(N114=0,"",O114/N114)</f>
        <v/>
      </c>
      <c r="Q114" s="101">
        <f>IF(A114&gt;$S$2,"予定",IF(N114=0,"－",IF(P114&gt;=1,"完了",IF(O114&gt;=N114,"順調","遅延"))))</f>
        <v/>
      </c>
      <c r="R114" s="97">
        <f>D114+K114</f>
        <v/>
      </c>
      <c r="S114" s="102">
        <f>E114+L114</f>
        <v/>
      </c>
    </row>
    <row r="115">
      <c r="A115" s="94" t="n">
        <v>46114</v>
      </c>
      <c r="B115" s="95">
        <f>CHOOSE(WEEKDAY(A115,2),"月","火","水","木","金","土","日")</f>
        <v/>
      </c>
      <c r="C115" s="96">
        <f>IF(OR(WEEKDAY(A115,2)&gt;=6,COUNTIF(祝日マスタ!$A:$A,A115)&gt;0),"非営業日","営業日")</f>
        <v/>
      </c>
      <c r="D115" s="97">
        <f>COUNTIFS(明細!$F$5:$F$363,A115,明細!$D$5:$D$363,"運用")</f>
        <v/>
      </c>
      <c r="E115" s="98">
        <f>COUNTIFS(明細!$G$5:$G$363,A115,明細!$D$5:$D$363,"運用")</f>
        <v/>
      </c>
      <c r="F115" s="99">
        <f>IF(D115=0,0,E115/D115)</f>
        <v/>
      </c>
      <c r="G115" s="100">
        <f>SUM($D$6:D115)</f>
        <v/>
      </c>
      <c r="H115" s="98">
        <f>SUM($E$6:E115)</f>
        <v/>
      </c>
      <c r="I115" s="99">
        <f>IF(G115=0,"",H115/G115)</f>
        <v/>
      </c>
      <c r="J115" s="101">
        <f>IF(A115&gt;$S$2,"予定",IF(G115=0,"－",IF(I115&gt;=1,"完了",IF(H115&gt;=G115,"順調","遅延"))))</f>
        <v/>
      </c>
      <c r="K115" s="97">
        <f>COUNTIFS(明細!$I$5:$I$363,A115,明細!$D$5:$D$363,"運用")</f>
        <v/>
      </c>
      <c r="L115" s="98">
        <f>COUNTIFS(明細!$J$5:$J$363,A115,明細!$D$5:$D$363,"運用")</f>
        <v/>
      </c>
      <c r="M115" s="99">
        <f>IF(K115=0,0,L115/K115)</f>
        <v/>
      </c>
      <c r="N115" s="100">
        <f>SUM($K$6:K115)</f>
        <v/>
      </c>
      <c r="O115" s="98">
        <f>SUM($L$6:L115)</f>
        <v/>
      </c>
      <c r="P115" s="99">
        <f>IF(N115=0,"",O115/N115)</f>
        <v/>
      </c>
      <c r="Q115" s="101">
        <f>IF(A115&gt;$S$2,"予定",IF(N115=0,"－",IF(P115&gt;=1,"完了",IF(O115&gt;=N115,"順調","遅延"))))</f>
        <v/>
      </c>
      <c r="R115" s="97">
        <f>D115+K115</f>
        <v/>
      </c>
      <c r="S115" s="102">
        <f>E115+L115</f>
        <v/>
      </c>
    </row>
    <row r="116">
      <c r="A116" s="94" t="n">
        <v>46115</v>
      </c>
      <c r="B116" s="95">
        <f>CHOOSE(WEEKDAY(A116,2),"月","火","水","木","金","土","日")</f>
        <v/>
      </c>
      <c r="C116" s="96">
        <f>IF(OR(WEEKDAY(A116,2)&gt;=6,COUNTIF(祝日マスタ!$A:$A,A116)&gt;0),"非営業日","営業日")</f>
        <v/>
      </c>
      <c r="D116" s="97">
        <f>COUNTIFS(明細!$F$5:$F$363,A116,明細!$D$5:$D$363,"運用")</f>
        <v/>
      </c>
      <c r="E116" s="98">
        <f>COUNTIFS(明細!$G$5:$G$363,A116,明細!$D$5:$D$363,"運用")</f>
        <v/>
      </c>
      <c r="F116" s="99">
        <f>IF(D116=0,0,E116/D116)</f>
        <v/>
      </c>
      <c r="G116" s="100">
        <f>SUM($D$6:D116)</f>
        <v/>
      </c>
      <c r="H116" s="98">
        <f>SUM($E$6:E116)</f>
        <v/>
      </c>
      <c r="I116" s="99">
        <f>IF(G116=0,"",H116/G116)</f>
        <v/>
      </c>
      <c r="J116" s="101">
        <f>IF(A116&gt;$S$2,"予定",IF(G116=0,"－",IF(I116&gt;=1,"完了",IF(H116&gt;=G116,"順調","遅延"))))</f>
        <v/>
      </c>
      <c r="K116" s="97">
        <f>COUNTIFS(明細!$I$5:$I$363,A116,明細!$D$5:$D$363,"運用")</f>
        <v/>
      </c>
      <c r="L116" s="98">
        <f>COUNTIFS(明細!$J$5:$J$363,A116,明細!$D$5:$D$363,"運用")</f>
        <v/>
      </c>
      <c r="M116" s="99">
        <f>IF(K116=0,0,L116/K116)</f>
        <v/>
      </c>
      <c r="N116" s="100">
        <f>SUM($K$6:K116)</f>
        <v/>
      </c>
      <c r="O116" s="98">
        <f>SUM($L$6:L116)</f>
        <v/>
      </c>
      <c r="P116" s="99">
        <f>IF(N116=0,"",O116/N116)</f>
        <v/>
      </c>
      <c r="Q116" s="101">
        <f>IF(A116&gt;$S$2,"予定",IF(N116=0,"－",IF(P116&gt;=1,"完了",IF(O116&gt;=N116,"順調","遅延"))))</f>
        <v/>
      </c>
      <c r="R116" s="97">
        <f>D116+K116</f>
        <v/>
      </c>
      <c r="S116" s="102">
        <f>E116+L116</f>
        <v/>
      </c>
    </row>
    <row r="117">
      <c r="A117" s="94" t="n">
        <v>46116</v>
      </c>
      <c r="B117" s="95">
        <f>CHOOSE(WEEKDAY(A117,2),"月","火","水","木","金","土","日")</f>
        <v/>
      </c>
      <c r="C117" s="96">
        <f>IF(OR(WEEKDAY(A117,2)&gt;=6,COUNTIF(祝日マスタ!$A:$A,A117)&gt;0),"非営業日","営業日")</f>
        <v/>
      </c>
      <c r="D117" s="97">
        <f>COUNTIFS(明細!$F$5:$F$363,A117,明細!$D$5:$D$363,"運用")</f>
        <v/>
      </c>
      <c r="E117" s="98">
        <f>COUNTIFS(明細!$G$5:$G$363,A117,明細!$D$5:$D$363,"運用")</f>
        <v/>
      </c>
      <c r="F117" s="99">
        <f>IF(D117=0,0,E117/D117)</f>
        <v/>
      </c>
      <c r="G117" s="100">
        <f>SUM($D$6:D117)</f>
        <v/>
      </c>
      <c r="H117" s="98">
        <f>SUM($E$6:E117)</f>
        <v/>
      </c>
      <c r="I117" s="99">
        <f>IF(G117=0,"",H117/G117)</f>
        <v/>
      </c>
      <c r="J117" s="101">
        <f>IF(A117&gt;$S$2,"予定",IF(G117=0,"－",IF(I117&gt;=1,"完了",IF(H117&gt;=G117,"順調","遅延"))))</f>
        <v/>
      </c>
      <c r="K117" s="97">
        <f>COUNTIFS(明細!$I$5:$I$363,A117,明細!$D$5:$D$363,"運用")</f>
        <v/>
      </c>
      <c r="L117" s="98">
        <f>COUNTIFS(明細!$J$5:$J$363,A117,明細!$D$5:$D$363,"運用")</f>
        <v/>
      </c>
      <c r="M117" s="99">
        <f>IF(K117=0,0,L117/K117)</f>
        <v/>
      </c>
      <c r="N117" s="100">
        <f>SUM($K$6:K117)</f>
        <v/>
      </c>
      <c r="O117" s="98">
        <f>SUM($L$6:L117)</f>
        <v/>
      </c>
      <c r="P117" s="99">
        <f>IF(N117=0,"",O117/N117)</f>
        <v/>
      </c>
      <c r="Q117" s="101">
        <f>IF(A117&gt;$S$2,"予定",IF(N117=0,"－",IF(P117&gt;=1,"完了",IF(O117&gt;=N117,"順調","遅延"))))</f>
        <v/>
      </c>
      <c r="R117" s="97">
        <f>D117+K117</f>
        <v/>
      </c>
      <c r="S117" s="102">
        <f>E117+L117</f>
        <v/>
      </c>
    </row>
    <row r="118">
      <c r="A118" s="94" t="n">
        <v>46117</v>
      </c>
      <c r="B118" s="95">
        <f>CHOOSE(WEEKDAY(A118,2),"月","火","水","木","金","土","日")</f>
        <v/>
      </c>
      <c r="C118" s="96">
        <f>IF(OR(WEEKDAY(A118,2)&gt;=6,COUNTIF(祝日マスタ!$A:$A,A118)&gt;0),"非営業日","営業日")</f>
        <v/>
      </c>
      <c r="D118" s="97">
        <f>COUNTIFS(明細!$F$5:$F$363,A118,明細!$D$5:$D$363,"運用")</f>
        <v/>
      </c>
      <c r="E118" s="98">
        <f>COUNTIFS(明細!$G$5:$G$363,A118,明細!$D$5:$D$363,"運用")</f>
        <v/>
      </c>
      <c r="F118" s="99">
        <f>IF(D118=0,0,E118/D118)</f>
        <v/>
      </c>
      <c r="G118" s="100">
        <f>SUM($D$6:D118)</f>
        <v/>
      </c>
      <c r="H118" s="98">
        <f>SUM($E$6:E118)</f>
        <v/>
      </c>
      <c r="I118" s="99">
        <f>IF(G118=0,"",H118/G118)</f>
        <v/>
      </c>
      <c r="J118" s="101">
        <f>IF(A118&gt;$S$2,"予定",IF(G118=0,"－",IF(I118&gt;=1,"完了",IF(H118&gt;=G118,"順調","遅延"))))</f>
        <v/>
      </c>
      <c r="K118" s="97">
        <f>COUNTIFS(明細!$I$5:$I$363,A118,明細!$D$5:$D$363,"運用")</f>
        <v/>
      </c>
      <c r="L118" s="98">
        <f>COUNTIFS(明細!$J$5:$J$363,A118,明細!$D$5:$D$363,"運用")</f>
        <v/>
      </c>
      <c r="M118" s="99">
        <f>IF(K118=0,0,L118/K118)</f>
        <v/>
      </c>
      <c r="N118" s="100">
        <f>SUM($K$6:K118)</f>
        <v/>
      </c>
      <c r="O118" s="98">
        <f>SUM($L$6:L118)</f>
        <v/>
      </c>
      <c r="P118" s="99">
        <f>IF(N118=0,"",O118/N118)</f>
        <v/>
      </c>
      <c r="Q118" s="101">
        <f>IF(A118&gt;$S$2,"予定",IF(N118=0,"－",IF(P118&gt;=1,"完了",IF(O118&gt;=N118,"順調","遅延"))))</f>
        <v/>
      </c>
      <c r="R118" s="97">
        <f>D118+K118</f>
        <v/>
      </c>
      <c r="S118" s="102">
        <f>E118+L118</f>
        <v/>
      </c>
    </row>
    <row r="119">
      <c r="A119" s="94" t="n">
        <v>46118</v>
      </c>
      <c r="B119" s="95">
        <f>CHOOSE(WEEKDAY(A119,2),"月","火","水","木","金","土","日")</f>
        <v/>
      </c>
      <c r="C119" s="96">
        <f>IF(OR(WEEKDAY(A119,2)&gt;=6,COUNTIF(祝日マスタ!$A:$A,A119)&gt;0),"非営業日","営業日")</f>
        <v/>
      </c>
      <c r="D119" s="97">
        <f>COUNTIFS(明細!$F$5:$F$363,A119,明細!$D$5:$D$363,"運用")</f>
        <v/>
      </c>
      <c r="E119" s="98">
        <f>COUNTIFS(明細!$G$5:$G$363,A119,明細!$D$5:$D$363,"運用")</f>
        <v/>
      </c>
      <c r="F119" s="99">
        <f>IF(D119=0,0,E119/D119)</f>
        <v/>
      </c>
      <c r="G119" s="100">
        <f>SUM($D$6:D119)</f>
        <v/>
      </c>
      <c r="H119" s="98">
        <f>SUM($E$6:E119)</f>
        <v/>
      </c>
      <c r="I119" s="99">
        <f>IF(G119=0,"",H119/G119)</f>
        <v/>
      </c>
      <c r="J119" s="101">
        <f>IF(A119&gt;$S$2,"予定",IF(G119=0,"－",IF(I119&gt;=1,"完了",IF(H119&gt;=G119,"順調","遅延"))))</f>
        <v/>
      </c>
      <c r="K119" s="97">
        <f>COUNTIFS(明細!$I$5:$I$363,A119,明細!$D$5:$D$363,"運用")</f>
        <v/>
      </c>
      <c r="L119" s="98">
        <f>COUNTIFS(明細!$J$5:$J$363,A119,明細!$D$5:$D$363,"運用")</f>
        <v/>
      </c>
      <c r="M119" s="99">
        <f>IF(K119=0,0,L119/K119)</f>
        <v/>
      </c>
      <c r="N119" s="100">
        <f>SUM($K$6:K119)</f>
        <v/>
      </c>
      <c r="O119" s="98">
        <f>SUM($L$6:L119)</f>
        <v/>
      </c>
      <c r="P119" s="99">
        <f>IF(N119=0,"",O119/N119)</f>
        <v/>
      </c>
      <c r="Q119" s="101">
        <f>IF(A119&gt;$S$2,"予定",IF(N119=0,"－",IF(P119&gt;=1,"完了",IF(O119&gt;=N119,"順調","遅延"))))</f>
        <v/>
      </c>
      <c r="R119" s="97">
        <f>D119+K119</f>
        <v/>
      </c>
      <c r="S119" s="102">
        <f>E119+L119</f>
        <v/>
      </c>
    </row>
    <row r="120">
      <c r="A120" s="94" t="n">
        <v>46119</v>
      </c>
      <c r="B120" s="95">
        <f>CHOOSE(WEEKDAY(A120,2),"月","火","水","木","金","土","日")</f>
        <v/>
      </c>
      <c r="C120" s="96">
        <f>IF(OR(WEEKDAY(A120,2)&gt;=6,COUNTIF(祝日マスタ!$A:$A,A120)&gt;0),"非営業日","営業日")</f>
        <v/>
      </c>
      <c r="D120" s="97">
        <f>COUNTIFS(明細!$F$5:$F$363,A120,明細!$D$5:$D$363,"運用")</f>
        <v/>
      </c>
      <c r="E120" s="98">
        <f>COUNTIFS(明細!$G$5:$G$363,A120,明細!$D$5:$D$363,"運用")</f>
        <v/>
      </c>
      <c r="F120" s="99">
        <f>IF(D120=0,0,E120/D120)</f>
        <v/>
      </c>
      <c r="G120" s="100">
        <f>SUM($D$6:D120)</f>
        <v/>
      </c>
      <c r="H120" s="98">
        <f>SUM($E$6:E120)</f>
        <v/>
      </c>
      <c r="I120" s="99">
        <f>IF(G120=0,"",H120/G120)</f>
        <v/>
      </c>
      <c r="J120" s="101">
        <f>IF(A120&gt;$S$2,"予定",IF(G120=0,"－",IF(I120&gt;=1,"完了",IF(H120&gt;=G120,"順調","遅延"))))</f>
        <v/>
      </c>
      <c r="K120" s="97">
        <f>COUNTIFS(明細!$I$5:$I$363,A120,明細!$D$5:$D$363,"運用")</f>
        <v/>
      </c>
      <c r="L120" s="98">
        <f>COUNTIFS(明細!$J$5:$J$363,A120,明細!$D$5:$D$363,"運用")</f>
        <v/>
      </c>
      <c r="M120" s="99">
        <f>IF(K120=0,0,L120/K120)</f>
        <v/>
      </c>
      <c r="N120" s="100">
        <f>SUM($K$6:K120)</f>
        <v/>
      </c>
      <c r="O120" s="98">
        <f>SUM($L$6:L120)</f>
        <v/>
      </c>
      <c r="P120" s="99">
        <f>IF(N120=0,"",O120/N120)</f>
        <v/>
      </c>
      <c r="Q120" s="101">
        <f>IF(A120&gt;$S$2,"予定",IF(N120=0,"－",IF(P120&gt;=1,"完了",IF(O120&gt;=N120,"順調","遅延"))))</f>
        <v/>
      </c>
      <c r="R120" s="97">
        <f>D120+K120</f>
        <v/>
      </c>
      <c r="S120" s="102">
        <f>E120+L120</f>
        <v/>
      </c>
    </row>
    <row r="121">
      <c r="A121" s="94" t="n">
        <v>46120</v>
      </c>
      <c r="B121" s="95">
        <f>CHOOSE(WEEKDAY(A121,2),"月","火","水","木","金","土","日")</f>
        <v/>
      </c>
      <c r="C121" s="96">
        <f>IF(OR(WEEKDAY(A121,2)&gt;=6,COUNTIF(祝日マスタ!$A:$A,A121)&gt;0),"非営業日","営業日")</f>
        <v/>
      </c>
      <c r="D121" s="97">
        <f>COUNTIFS(明細!$F$5:$F$363,A121,明細!$D$5:$D$363,"運用")</f>
        <v/>
      </c>
      <c r="E121" s="98">
        <f>COUNTIFS(明細!$G$5:$G$363,A121,明細!$D$5:$D$363,"運用")</f>
        <v/>
      </c>
      <c r="F121" s="99">
        <f>IF(D121=0,0,E121/D121)</f>
        <v/>
      </c>
      <c r="G121" s="100">
        <f>SUM($D$6:D121)</f>
        <v/>
      </c>
      <c r="H121" s="98">
        <f>SUM($E$6:E121)</f>
        <v/>
      </c>
      <c r="I121" s="99">
        <f>IF(G121=0,"",H121/G121)</f>
        <v/>
      </c>
      <c r="J121" s="101">
        <f>IF(A121&gt;$S$2,"予定",IF(G121=0,"－",IF(I121&gt;=1,"完了",IF(H121&gt;=G121,"順調","遅延"))))</f>
        <v/>
      </c>
      <c r="K121" s="97">
        <f>COUNTIFS(明細!$I$5:$I$363,A121,明細!$D$5:$D$363,"運用")</f>
        <v/>
      </c>
      <c r="L121" s="98">
        <f>COUNTIFS(明細!$J$5:$J$363,A121,明細!$D$5:$D$363,"運用")</f>
        <v/>
      </c>
      <c r="M121" s="99">
        <f>IF(K121=0,0,L121/K121)</f>
        <v/>
      </c>
      <c r="N121" s="100">
        <f>SUM($K$6:K121)</f>
        <v/>
      </c>
      <c r="O121" s="98">
        <f>SUM($L$6:L121)</f>
        <v/>
      </c>
      <c r="P121" s="99">
        <f>IF(N121=0,"",O121/N121)</f>
        <v/>
      </c>
      <c r="Q121" s="101">
        <f>IF(A121&gt;$S$2,"予定",IF(N121=0,"－",IF(P121&gt;=1,"完了",IF(O121&gt;=N121,"順調","遅延"))))</f>
        <v/>
      </c>
      <c r="R121" s="97">
        <f>D121+K121</f>
        <v/>
      </c>
      <c r="S121" s="102">
        <f>E121+L121</f>
        <v/>
      </c>
    </row>
    <row r="122">
      <c r="A122" s="94" t="n">
        <v>46121</v>
      </c>
      <c r="B122" s="95">
        <f>CHOOSE(WEEKDAY(A122,2),"月","火","水","木","金","土","日")</f>
        <v/>
      </c>
      <c r="C122" s="96">
        <f>IF(OR(WEEKDAY(A122,2)&gt;=6,COUNTIF(祝日マスタ!$A:$A,A122)&gt;0),"非営業日","営業日")</f>
        <v/>
      </c>
      <c r="D122" s="97">
        <f>COUNTIFS(明細!$F$5:$F$363,A122,明細!$D$5:$D$363,"運用")</f>
        <v/>
      </c>
      <c r="E122" s="98">
        <f>COUNTIFS(明細!$G$5:$G$363,A122,明細!$D$5:$D$363,"運用")</f>
        <v/>
      </c>
      <c r="F122" s="99">
        <f>IF(D122=0,0,E122/D122)</f>
        <v/>
      </c>
      <c r="G122" s="100">
        <f>SUM($D$6:D122)</f>
        <v/>
      </c>
      <c r="H122" s="98">
        <f>SUM($E$6:E122)</f>
        <v/>
      </c>
      <c r="I122" s="99">
        <f>IF(G122=0,"",H122/G122)</f>
        <v/>
      </c>
      <c r="J122" s="101">
        <f>IF(A122&gt;$S$2,"予定",IF(G122=0,"－",IF(I122&gt;=1,"完了",IF(H122&gt;=G122,"順調","遅延"))))</f>
        <v/>
      </c>
      <c r="K122" s="97">
        <f>COUNTIFS(明細!$I$5:$I$363,A122,明細!$D$5:$D$363,"運用")</f>
        <v/>
      </c>
      <c r="L122" s="98">
        <f>COUNTIFS(明細!$J$5:$J$363,A122,明細!$D$5:$D$363,"運用")</f>
        <v/>
      </c>
      <c r="M122" s="99">
        <f>IF(K122=0,0,L122/K122)</f>
        <v/>
      </c>
      <c r="N122" s="100">
        <f>SUM($K$6:K122)</f>
        <v/>
      </c>
      <c r="O122" s="98">
        <f>SUM($L$6:L122)</f>
        <v/>
      </c>
      <c r="P122" s="99">
        <f>IF(N122=0,"",O122/N122)</f>
        <v/>
      </c>
      <c r="Q122" s="101">
        <f>IF(A122&gt;$S$2,"予定",IF(N122=0,"－",IF(P122&gt;=1,"完了",IF(O122&gt;=N122,"順調","遅延"))))</f>
        <v/>
      </c>
      <c r="R122" s="97">
        <f>D122+K122</f>
        <v/>
      </c>
      <c r="S122" s="102">
        <f>E122+L122</f>
        <v/>
      </c>
    </row>
    <row r="123">
      <c r="A123" s="94" t="n">
        <v>46122</v>
      </c>
      <c r="B123" s="95">
        <f>CHOOSE(WEEKDAY(A123,2),"月","火","水","木","金","土","日")</f>
        <v/>
      </c>
      <c r="C123" s="96">
        <f>IF(OR(WEEKDAY(A123,2)&gt;=6,COUNTIF(祝日マスタ!$A:$A,A123)&gt;0),"非営業日","営業日")</f>
        <v/>
      </c>
      <c r="D123" s="97">
        <f>COUNTIFS(明細!$F$5:$F$363,A123,明細!$D$5:$D$363,"運用")</f>
        <v/>
      </c>
      <c r="E123" s="98">
        <f>COUNTIFS(明細!$G$5:$G$363,A123,明細!$D$5:$D$363,"運用")</f>
        <v/>
      </c>
      <c r="F123" s="99">
        <f>IF(D123=0,0,E123/D123)</f>
        <v/>
      </c>
      <c r="G123" s="100">
        <f>SUM($D$6:D123)</f>
        <v/>
      </c>
      <c r="H123" s="98">
        <f>SUM($E$6:E123)</f>
        <v/>
      </c>
      <c r="I123" s="99">
        <f>IF(G123=0,"",H123/G123)</f>
        <v/>
      </c>
      <c r="J123" s="101">
        <f>IF(A123&gt;$S$2,"予定",IF(G123=0,"－",IF(I123&gt;=1,"完了",IF(H123&gt;=G123,"順調","遅延"))))</f>
        <v/>
      </c>
      <c r="K123" s="97">
        <f>COUNTIFS(明細!$I$5:$I$363,A123,明細!$D$5:$D$363,"運用")</f>
        <v/>
      </c>
      <c r="L123" s="98">
        <f>COUNTIFS(明細!$J$5:$J$363,A123,明細!$D$5:$D$363,"運用")</f>
        <v/>
      </c>
      <c r="M123" s="99">
        <f>IF(K123=0,0,L123/K123)</f>
        <v/>
      </c>
      <c r="N123" s="100">
        <f>SUM($K$6:K123)</f>
        <v/>
      </c>
      <c r="O123" s="98">
        <f>SUM($L$6:L123)</f>
        <v/>
      </c>
      <c r="P123" s="99">
        <f>IF(N123=0,"",O123/N123)</f>
        <v/>
      </c>
      <c r="Q123" s="101">
        <f>IF(A123&gt;$S$2,"予定",IF(N123=0,"－",IF(P123&gt;=1,"完了",IF(O123&gt;=N123,"順調","遅延"))))</f>
        <v/>
      </c>
      <c r="R123" s="97">
        <f>D123+K123</f>
        <v/>
      </c>
      <c r="S123" s="102">
        <f>E123+L123</f>
        <v/>
      </c>
    </row>
    <row r="124">
      <c r="A124" s="94" t="n">
        <v>46123</v>
      </c>
      <c r="B124" s="95">
        <f>CHOOSE(WEEKDAY(A124,2),"月","火","水","木","金","土","日")</f>
        <v/>
      </c>
      <c r="C124" s="96">
        <f>IF(OR(WEEKDAY(A124,2)&gt;=6,COUNTIF(祝日マスタ!$A:$A,A124)&gt;0),"非営業日","営業日")</f>
        <v/>
      </c>
      <c r="D124" s="97">
        <f>COUNTIFS(明細!$F$5:$F$363,A124,明細!$D$5:$D$363,"運用")</f>
        <v/>
      </c>
      <c r="E124" s="98">
        <f>COUNTIFS(明細!$G$5:$G$363,A124,明細!$D$5:$D$363,"運用")</f>
        <v/>
      </c>
      <c r="F124" s="99">
        <f>IF(D124=0,0,E124/D124)</f>
        <v/>
      </c>
      <c r="G124" s="100">
        <f>SUM($D$6:D124)</f>
        <v/>
      </c>
      <c r="H124" s="98">
        <f>SUM($E$6:E124)</f>
        <v/>
      </c>
      <c r="I124" s="99">
        <f>IF(G124=0,"",H124/G124)</f>
        <v/>
      </c>
      <c r="J124" s="101">
        <f>IF(A124&gt;$S$2,"予定",IF(G124=0,"－",IF(I124&gt;=1,"完了",IF(H124&gt;=G124,"順調","遅延"))))</f>
        <v/>
      </c>
      <c r="K124" s="97">
        <f>COUNTIFS(明細!$I$5:$I$363,A124,明細!$D$5:$D$363,"運用")</f>
        <v/>
      </c>
      <c r="L124" s="98">
        <f>COUNTIFS(明細!$J$5:$J$363,A124,明細!$D$5:$D$363,"運用")</f>
        <v/>
      </c>
      <c r="M124" s="99">
        <f>IF(K124=0,0,L124/K124)</f>
        <v/>
      </c>
      <c r="N124" s="100">
        <f>SUM($K$6:K124)</f>
        <v/>
      </c>
      <c r="O124" s="98">
        <f>SUM($L$6:L124)</f>
        <v/>
      </c>
      <c r="P124" s="99">
        <f>IF(N124=0,"",O124/N124)</f>
        <v/>
      </c>
      <c r="Q124" s="101">
        <f>IF(A124&gt;$S$2,"予定",IF(N124=0,"－",IF(P124&gt;=1,"完了",IF(O124&gt;=N124,"順調","遅延"))))</f>
        <v/>
      </c>
      <c r="R124" s="97">
        <f>D124+K124</f>
        <v/>
      </c>
      <c r="S124" s="102">
        <f>E124+L124</f>
        <v/>
      </c>
    </row>
    <row r="125">
      <c r="A125" s="94" t="n">
        <v>46124</v>
      </c>
      <c r="B125" s="95">
        <f>CHOOSE(WEEKDAY(A125,2),"月","火","水","木","金","土","日")</f>
        <v/>
      </c>
      <c r="C125" s="96">
        <f>IF(OR(WEEKDAY(A125,2)&gt;=6,COUNTIF(祝日マスタ!$A:$A,A125)&gt;0),"非営業日","営業日")</f>
        <v/>
      </c>
      <c r="D125" s="97">
        <f>COUNTIFS(明細!$F$5:$F$363,A125,明細!$D$5:$D$363,"運用")</f>
        <v/>
      </c>
      <c r="E125" s="98">
        <f>COUNTIFS(明細!$G$5:$G$363,A125,明細!$D$5:$D$363,"運用")</f>
        <v/>
      </c>
      <c r="F125" s="99">
        <f>IF(D125=0,0,E125/D125)</f>
        <v/>
      </c>
      <c r="G125" s="100">
        <f>SUM($D$6:D125)</f>
        <v/>
      </c>
      <c r="H125" s="98">
        <f>SUM($E$6:E125)</f>
        <v/>
      </c>
      <c r="I125" s="99">
        <f>IF(G125=0,"",H125/G125)</f>
        <v/>
      </c>
      <c r="J125" s="101">
        <f>IF(A125&gt;$S$2,"予定",IF(G125=0,"－",IF(I125&gt;=1,"完了",IF(H125&gt;=G125,"順調","遅延"))))</f>
        <v/>
      </c>
      <c r="K125" s="97">
        <f>COUNTIFS(明細!$I$5:$I$363,A125,明細!$D$5:$D$363,"運用")</f>
        <v/>
      </c>
      <c r="L125" s="98">
        <f>COUNTIFS(明細!$J$5:$J$363,A125,明細!$D$5:$D$363,"運用")</f>
        <v/>
      </c>
      <c r="M125" s="99">
        <f>IF(K125=0,0,L125/K125)</f>
        <v/>
      </c>
      <c r="N125" s="100">
        <f>SUM($K$6:K125)</f>
        <v/>
      </c>
      <c r="O125" s="98">
        <f>SUM($L$6:L125)</f>
        <v/>
      </c>
      <c r="P125" s="99">
        <f>IF(N125=0,"",O125/N125)</f>
        <v/>
      </c>
      <c r="Q125" s="101">
        <f>IF(A125&gt;$S$2,"予定",IF(N125=0,"－",IF(P125&gt;=1,"完了",IF(O125&gt;=N125,"順調","遅延"))))</f>
        <v/>
      </c>
      <c r="R125" s="97">
        <f>D125+K125</f>
        <v/>
      </c>
      <c r="S125" s="102">
        <f>E125+L125</f>
        <v/>
      </c>
    </row>
    <row r="126">
      <c r="A126" s="94" t="n">
        <v>46125</v>
      </c>
      <c r="B126" s="95">
        <f>CHOOSE(WEEKDAY(A126,2),"月","火","水","木","金","土","日")</f>
        <v/>
      </c>
      <c r="C126" s="96">
        <f>IF(OR(WEEKDAY(A126,2)&gt;=6,COUNTIF(祝日マスタ!$A:$A,A126)&gt;0),"非営業日","営業日")</f>
        <v/>
      </c>
      <c r="D126" s="97">
        <f>COUNTIFS(明細!$F$5:$F$363,A126,明細!$D$5:$D$363,"運用")</f>
        <v/>
      </c>
      <c r="E126" s="98">
        <f>COUNTIFS(明細!$G$5:$G$363,A126,明細!$D$5:$D$363,"運用")</f>
        <v/>
      </c>
      <c r="F126" s="99">
        <f>IF(D126=0,0,E126/D126)</f>
        <v/>
      </c>
      <c r="G126" s="100">
        <f>SUM($D$6:D126)</f>
        <v/>
      </c>
      <c r="H126" s="98">
        <f>SUM($E$6:E126)</f>
        <v/>
      </c>
      <c r="I126" s="99">
        <f>IF(G126=0,"",H126/G126)</f>
        <v/>
      </c>
      <c r="J126" s="101">
        <f>IF(A126&gt;$S$2,"予定",IF(G126=0,"－",IF(I126&gt;=1,"完了",IF(H126&gt;=G126,"順調","遅延"))))</f>
        <v/>
      </c>
      <c r="K126" s="97">
        <f>COUNTIFS(明細!$I$5:$I$363,A126,明細!$D$5:$D$363,"運用")</f>
        <v/>
      </c>
      <c r="L126" s="98">
        <f>COUNTIFS(明細!$J$5:$J$363,A126,明細!$D$5:$D$363,"運用")</f>
        <v/>
      </c>
      <c r="M126" s="99">
        <f>IF(K126=0,0,L126/K126)</f>
        <v/>
      </c>
      <c r="N126" s="100">
        <f>SUM($K$6:K126)</f>
        <v/>
      </c>
      <c r="O126" s="98">
        <f>SUM($L$6:L126)</f>
        <v/>
      </c>
      <c r="P126" s="99">
        <f>IF(N126=0,"",O126/N126)</f>
        <v/>
      </c>
      <c r="Q126" s="101">
        <f>IF(A126&gt;$S$2,"予定",IF(N126=0,"－",IF(P126&gt;=1,"完了",IF(O126&gt;=N126,"順調","遅延"))))</f>
        <v/>
      </c>
      <c r="R126" s="97">
        <f>D126+K126</f>
        <v/>
      </c>
      <c r="S126" s="102">
        <f>E126+L126</f>
        <v/>
      </c>
    </row>
    <row r="127">
      <c r="A127" s="94" t="n">
        <v>46126</v>
      </c>
      <c r="B127" s="95">
        <f>CHOOSE(WEEKDAY(A127,2),"月","火","水","木","金","土","日")</f>
        <v/>
      </c>
      <c r="C127" s="96">
        <f>IF(OR(WEEKDAY(A127,2)&gt;=6,COUNTIF(祝日マスタ!$A:$A,A127)&gt;0),"非営業日","営業日")</f>
        <v/>
      </c>
      <c r="D127" s="97">
        <f>COUNTIFS(明細!$F$5:$F$363,A127,明細!$D$5:$D$363,"運用")</f>
        <v/>
      </c>
      <c r="E127" s="98">
        <f>COUNTIFS(明細!$G$5:$G$363,A127,明細!$D$5:$D$363,"運用")</f>
        <v/>
      </c>
      <c r="F127" s="99">
        <f>IF(D127=0,0,E127/D127)</f>
        <v/>
      </c>
      <c r="G127" s="100">
        <f>SUM($D$6:D127)</f>
        <v/>
      </c>
      <c r="H127" s="98">
        <f>SUM($E$6:E127)</f>
        <v/>
      </c>
      <c r="I127" s="99">
        <f>IF(G127=0,"",H127/G127)</f>
        <v/>
      </c>
      <c r="J127" s="101">
        <f>IF(A127&gt;$S$2,"予定",IF(G127=0,"－",IF(I127&gt;=1,"完了",IF(H127&gt;=G127,"順調","遅延"))))</f>
        <v/>
      </c>
      <c r="K127" s="97">
        <f>COUNTIFS(明細!$I$5:$I$363,A127,明細!$D$5:$D$363,"運用")</f>
        <v/>
      </c>
      <c r="L127" s="98">
        <f>COUNTIFS(明細!$J$5:$J$363,A127,明細!$D$5:$D$363,"運用")</f>
        <v/>
      </c>
      <c r="M127" s="99">
        <f>IF(K127=0,0,L127/K127)</f>
        <v/>
      </c>
      <c r="N127" s="100">
        <f>SUM($K$6:K127)</f>
        <v/>
      </c>
      <c r="O127" s="98">
        <f>SUM($L$6:L127)</f>
        <v/>
      </c>
      <c r="P127" s="99">
        <f>IF(N127=0,"",O127/N127)</f>
        <v/>
      </c>
      <c r="Q127" s="101">
        <f>IF(A127&gt;$S$2,"予定",IF(N127=0,"－",IF(P127&gt;=1,"完了",IF(O127&gt;=N127,"順調","遅延"))))</f>
        <v/>
      </c>
      <c r="R127" s="97">
        <f>D127+K127</f>
        <v/>
      </c>
      <c r="S127" s="102">
        <f>E127+L127</f>
        <v/>
      </c>
    </row>
    <row r="128">
      <c r="A128" s="94" t="n">
        <v>46127</v>
      </c>
      <c r="B128" s="95">
        <f>CHOOSE(WEEKDAY(A128,2),"月","火","水","木","金","土","日")</f>
        <v/>
      </c>
      <c r="C128" s="96">
        <f>IF(OR(WEEKDAY(A128,2)&gt;=6,COUNTIF(祝日マスタ!$A:$A,A128)&gt;0),"非営業日","営業日")</f>
        <v/>
      </c>
      <c r="D128" s="97">
        <f>COUNTIFS(明細!$F$5:$F$363,A128,明細!$D$5:$D$363,"運用")</f>
        <v/>
      </c>
      <c r="E128" s="98">
        <f>COUNTIFS(明細!$G$5:$G$363,A128,明細!$D$5:$D$363,"運用")</f>
        <v/>
      </c>
      <c r="F128" s="99">
        <f>IF(D128=0,0,E128/D128)</f>
        <v/>
      </c>
      <c r="G128" s="100">
        <f>SUM($D$6:D128)</f>
        <v/>
      </c>
      <c r="H128" s="98">
        <f>SUM($E$6:E128)</f>
        <v/>
      </c>
      <c r="I128" s="99">
        <f>IF(G128=0,"",H128/G128)</f>
        <v/>
      </c>
      <c r="J128" s="101">
        <f>IF(A128&gt;$S$2,"予定",IF(G128=0,"－",IF(I128&gt;=1,"完了",IF(H128&gt;=G128,"順調","遅延"))))</f>
        <v/>
      </c>
      <c r="K128" s="97">
        <f>COUNTIFS(明細!$I$5:$I$363,A128,明細!$D$5:$D$363,"運用")</f>
        <v/>
      </c>
      <c r="L128" s="98">
        <f>COUNTIFS(明細!$J$5:$J$363,A128,明細!$D$5:$D$363,"運用")</f>
        <v/>
      </c>
      <c r="M128" s="99">
        <f>IF(K128=0,0,L128/K128)</f>
        <v/>
      </c>
      <c r="N128" s="100">
        <f>SUM($K$6:K128)</f>
        <v/>
      </c>
      <c r="O128" s="98">
        <f>SUM($L$6:L128)</f>
        <v/>
      </c>
      <c r="P128" s="99">
        <f>IF(N128=0,"",O128/N128)</f>
        <v/>
      </c>
      <c r="Q128" s="101">
        <f>IF(A128&gt;$S$2,"予定",IF(N128=0,"－",IF(P128&gt;=1,"完了",IF(O128&gt;=N128,"順調","遅延"))))</f>
        <v/>
      </c>
      <c r="R128" s="97">
        <f>D128+K128</f>
        <v/>
      </c>
      <c r="S128" s="102">
        <f>E128+L128</f>
        <v/>
      </c>
    </row>
    <row r="129">
      <c r="A129" s="94" t="n">
        <v>46128</v>
      </c>
      <c r="B129" s="95">
        <f>CHOOSE(WEEKDAY(A129,2),"月","火","水","木","金","土","日")</f>
        <v/>
      </c>
      <c r="C129" s="96">
        <f>IF(OR(WEEKDAY(A129,2)&gt;=6,COUNTIF(祝日マスタ!$A:$A,A129)&gt;0),"非営業日","営業日")</f>
        <v/>
      </c>
      <c r="D129" s="97">
        <f>COUNTIFS(明細!$F$5:$F$363,A129,明細!$D$5:$D$363,"運用")</f>
        <v/>
      </c>
      <c r="E129" s="98">
        <f>COUNTIFS(明細!$G$5:$G$363,A129,明細!$D$5:$D$363,"運用")</f>
        <v/>
      </c>
      <c r="F129" s="99">
        <f>IF(D129=0,0,E129/D129)</f>
        <v/>
      </c>
      <c r="G129" s="100">
        <f>SUM($D$6:D129)</f>
        <v/>
      </c>
      <c r="H129" s="98">
        <f>SUM($E$6:E129)</f>
        <v/>
      </c>
      <c r="I129" s="99">
        <f>IF(G129=0,"",H129/G129)</f>
        <v/>
      </c>
      <c r="J129" s="101">
        <f>IF(A129&gt;$S$2,"予定",IF(G129=0,"－",IF(I129&gt;=1,"完了",IF(H129&gt;=G129,"順調","遅延"))))</f>
        <v/>
      </c>
      <c r="K129" s="97">
        <f>COUNTIFS(明細!$I$5:$I$363,A129,明細!$D$5:$D$363,"運用")</f>
        <v/>
      </c>
      <c r="L129" s="98">
        <f>COUNTIFS(明細!$J$5:$J$363,A129,明細!$D$5:$D$363,"運用")</f>
        <v/>
      </c>
      <c r="M129" s="99">
        <f>IF(K129=0,0,L129/K129)</f>
        <v/>
      </c>
      <c r="N129" s="100">
        <f>SUM($K$6:K129)</f>
        <v/>
      </c>
      <c r="O129" s="98">
        <f>SUM($L$6:L129)</f>
        <v/>
      </c>
      <c r="P129" s="99">
        <f>IF(N129=0,"",O129/N129)</f>
        <v/>
      </c>
      <c r="Q129" s="101">
        <f>IF(A129&gt;$S$2,"予定",IF(N129=0,"－",IF(P129&gt;=1,"完了",IF(O129&gt;=N129,"順調","遅延"))))</f>
        <v/>
      </c>
      <c r="R129" s="97">
        <f>D129+K129</f>
        <v/>
      </c>
      <c r="S129" s="102">
        <f>E129+L129</f>
        <v/>
      </c>
    </row>
    <row r="130">
      <c r="A130" s="94" t="n">
        <v>46129</v>
      </c>
      <c r="B130" s="95">
        <f>CHOOSE(WEEKDAY(A130,2),"月","火","水","木","金","土","日")</f>
        <v/>
      </c>
      <c r="C130" s="96">
        <f>IF(OR(WEEKDAY(A130,2)&gt;=6,COUNTIF(祝日マスタ!$A:$A,A130)&gt;0),"非営業日","営業日")</f>
        <v/>
      </c>
      <c r="D130" s="97">
        <f>COUNTIFS(明細!$F$5:$F$363,A130,明細!$D$5:$D$363,"運用")</f>
        <v/>
      </c>
      <c r="E130" s="98">
        <f>COUNTIFS(明細!$G$5:$G$363,A130,明細!$D$5:$D$363,"運用")</f>
        <v/>
      </c>
      <c r="F130" s="99">
        <f>IF(D130=0,0,E130/D130)</f>
        <v/>
      </c>
      <c r="G130" s="100">
        <f>SUM($D$6:D130)</f>
        <v/>
      </c>
      <c r="H130" s="98">
        <f>SUM($E$6:E130)</f>
        <v/>
      </c>
      <c r="I130" s="99">
        <f>IF(G130=0,"",H130/G130)</f>
        <v/>
      </c>
      <c r="J130" s="101">
        <f>IF(A130&gt;$S$2,"予定",IF(G130=0,"－",IF(I130&gt;=1,"完了",IF(H130&gt;=G130,"順調","遅延"))))</f>
        <v/>
      </c>
      <c r="K130" s="97">
        <f>COUNTIFS(明細!$I$5:$I$363,A130,明細!$D$5:$D$363,"運用")</f>
        <v/>
      </c>
      <c r="L130" s="98">
        <f>COUNTIFS(明細!$J$5:$J$363,A130,明細!$D$5:$D$363,"運用")</f>
        <v/>
      </c>
      <c r="M130" s="99">
        <f>IF(K130=0,0,L130/K130)</f>
        <v/>
      </c>
      <c r="N130" s="100">
        <f>SUM($K$6:K130)</f>
        <v/>
      </c>
      <c r="O130" s="98">
        <f>SUM($L$6:L130)</f>
        <v/>
      </c>
      <c r="P130" s="99">
        <f>IF(N130=0,"",O130/N130)</f>
        <v/>
      </c>
      <c r="Q130" s="101">
        <f>IF(A130&gt;$S$2,"予定",IF(N130=0,"－",IF(P130&gt;=1,"完了",IF(O130&gt;=N130,"順調","遅延"))))</f>
        <v/>
      </c>
      <c r="R130" s="97">
        <f>D130+K130</f>
        <v/>
      </c>
      <c r="S130" s="102">
        <f>E130+L130</f>
        <v/>
      </c>
    </row>
    <row r="131">
      <c r="A131" s="94" t="n">
        <v>46130</v>
      </c>
      <c r="B131" s="95">
        <f>CHOOSE(WEEKDAY(A131,2),"月","火","水","木","金","土","日")</f>
        <v/>
      </c>
      <c r="C131" s="96">
        <f>IF(OR(WEEKDAY(A131,2)&gt;=6,COUNTIF(祝日マスタ!$A:$A,A131)&gt;0),"非営業日","営業日")</f>
        <v/>
      </c>
      <c r="D131" s="97">
        <f>COUNTIFS(明細!$F$5:$F$363,A131,明細!$D$5:$D$363,"運用")</f>
        <v/>
      </c>
      <c r="E131" s="98">
        <f>COUNTIFS(明細!$G$5:$G$363,A131,明細!$D$5:$D$363,"運用")</f>
        <v/>
      </c>
      <c r="F131" s="99">
        <f>IF(D131=0,0,E131/D131)</f>
        <v/>
      </c>
      <c r="G131" s="100">
        <f>SUM($D$6:D131)</f>
        <v/>
      </c>
      <c r="H131" s="98">
        <f>SUM($E$6:E131)</f>
        <v/>
      </c>
      <c r="I131" s="99">
        <f>IF(G131=0,"",H131/G131)</f>
        <v/>
      </c>
      <c r="J131" s="101">
        <f>IF(A131&gt;$S$2,"予定",IF(G131=0,"－",IF(I131&gt;=1,"完了",IF(H131&gt;=G131,"順調","遅延"))))</f>
        <v/>
      </c>
      <c r="K131" s="97">
        <f>COUNTIFS(明細!$I$5:$I$363,A131,明細!$D$5:$D$363,"運用")</f>
        <v/>
      </c>
      <c r="L131" s="98">
        <f>COUNTIFS(明細!$J$5:$J$363,A131,明細!$D$5:$D$363,"運用")</f>
        <v/>
      </c>
      <c r="M131" s="99">
        <f>IF(K131=0,0,L131/K131)</f>
        <v/>
      </c>
      <c r="N131" s="100">
        <f>SUM($K$6:K131)</f>
        <v/>
      </c>
      <c r="O131" s="98">
        <f>SUM($L$6:L131)</f>
        <v/>
      </c>
      <c r="P131" s="99">
        <f>IF(N131=0,"",O131/N131)</f>
        <v/>
      </c>
      <c r="Q131" s="101">
        <f>IF(A131&gt;$S$2,"予定",IF(N131=0,"－",IF(P131&gt;=1,"完了",IF(O131&gt;=N131,"順調","遅延"))))</f>
        <v/>
      </c>
      <c r="R131" s="97">
        <f>D131+K131</f>
        <v/>
      </c>
      <c r="S131" s="102">
        <f>E131+L131</f>
        <v/>
      </c>
    </row>
    <row r="132">
      <c r="A132" s="94" t="n">
        <v>46131</v>
      </c>
      <c r="B132" s="95">
        <f>CHOOSE(WEEKDAY(A132,2),"月","火","水","木","金","土","日")</f>
        <v/>
      </c>
      <c r="C132" s="96">
        <f>IF(OR(WEEKDAY(A132,2)&gt;=6,COUNTIF(祝日マスタ!$A:$A,A132)&gt;0),"非営業日","営業日")</f>
        <v/>
      </c>
      <c r="D132" s="97">
        <f>COUNTIFS(明細!$F$5:$F$363,A132,明細!$D$5:$D$363,"運用")</f>
        <v/>
      </c>
      <c r="E132" s="98">
        <f>COUNTIFS(明細!$G$5:$G$363,A132,明細!$D$5:$D$363,"運用")</f>
        <v/>
      </c>
      <c r="F132" s="99">
        <f>IF(D132=0,0,E132/D132)</f>
        <v/>
      </c>
      <c r="G132" s="100">
        <f>SUM($D$6:D132)</f>
        <v/>
      </c>
      <c r="H132" s="98">
        <f>SUM($E$6:E132)</f>
        <v/>
      </c>
      <c r="I132" s="99">
        <f>IF(G132=0,"",H132/G132)</f>
        <v/>
      </c>
      <c r="J132" s="101">
        <f>IF(A132&gt;$S$2,"予定",IF(G132=0,"－",IF(I132&gt;=1,"完了",IF(H132&gt;=G132,"順調","遅延"))))</f>
        <v/>
      </c>
      <c r="K132" s="97">
        <f>COUNTIFS(明細!$I$5:$I$363,A132,明細!$D$5:$D$363,"運用")</f>
        <v/>
      </c>
      <c r="L132" s="98">
        <f>COUNTIFS(明細!$J$5:$J$363,A132,明細!$D$5:$D$363,"運用")</f>
        <v/>
      </c>
      <c r="M132" s="99">
        <f>IF(K132=0,0,L132/K132)</f>
        <v/>
      </c>
      <c r="N132" s="100">
        <f>SUM($K$6:K132)</f>
        <v/>
      </c>
      <c r="O132" s="98">
        <f>SUM($L$6:L132)</f>
        <v/>
      </c>
      <c r="P132" s="99">
        <f>IF(N132=0,"",O132/N132)</f>
        <v/>
      </c>
      <c r="Q132" s="101">
        <f>IF(A132&gt;$S$2,"予定",IF(N132=0,"－",IF(P132&gt;=1,"完了",IF(O132&gt;=N132,"順調","遅延"))))</f>
        <v/>
      </c>
      <c r="R132" s="97">
        <f>D132+K132</f>
        <v/>
      </c>
      <c r="S132" s="102">
        <f>E132+L132</f>
        <v/>
      </c>
    </row>
    <row r="133">
      <c r="A133" s="94" t="n">
        <v>46132</v>
      </c>
      <c r="B133" s="95">
        <f>CHOOSE(WEEKDAY(A133,2),"月","火","水","木","金","土","日")</f>
        <v/>
      </c>
      <c r="C133" s="96">
        <f>IF(OR(WEEKDAY(A133,2)&gt;=6,COUNTIF(祝日マスタ!$A:$A,A133)&gt;0),"非営業日","営業日")</f>
        <v/>
      </c>
      <c r="D133" s="97">
        <f>COUNTIFS(明細!$F$5:$F$363,A133,明細!$D$5:$D$363,"運用")</f>
        <v/>
      </c>
      <c r="E133" s="98">
        <f>COUNTIFS(明細!$G$5:$G$363,A133,明細!$D$5:$D$363,"運用")</f>
        <v/>
      </c>
      <c r="F133" s="99">
        <f>IF(D133=0,0,E133/D133)</f>
        <v/>
      </c>
      <c r="G133" s="100">
        <f>SUM($D$6:D133)</f>
        <v/>
      </c>
      <c r="H133" s="98">
        <f>SUM($E$6:E133)</f>
        <v/>
      </c>
      <c r="I133" s="99">
        <f>IF(G133=0,"",H133/G133)</f>
        <v/>
      </c>
      <c r="J133" s="101">
        <f>IF(A133&gt;$S$2,"予定",IF(G133=0,"－",IF(I133&gt;=1,"完了",IF(H133&gt;=G133,"順調","遅延"))))</f>
        <v/>
      </c>
      <c r="K133" s="97">
        <f>COUNTIFS(明細!$I$5:$I$363,A133,明細!$D$5:$D$363,"運用")</f>
        <v/>
      </c>
      <c r="L133" s="98">
        <f>COUNTIFS(明細!$J$5:$J$363,A133,明細!$D$5:$D$363,"運用")</f>
        <v/>
      </c>
      <c r="M133" s="99">
        <f>IF(K133=0,0,L133/K133)</f>
        <v/>
      </c>
      <c r="N133" s="100">
        <f>SUM($K$6:K133)</f>
        <v/>
      </c>
      <c r="O133" s="98">
        <f>SUM($L$6:L133)</f>
        <v/>
      </c>
      <c r="P133" s="99">
        <f>IF(N133=0,"",O133/N133)</f>
        <v/>
      </c>
      <c r="Q133" s="101">
        <f>IF(A133&gt;$S$2,"予定",IF(N133=0,"－",IF(P133&gt;=1,"完了",IF(O133&gt;=N133,"順調","遅延"))))</f>
        <v/>
      </c>
      <c r="R133" s="97">
        <f>D133+K133</f>
        <v/>
      </c>
      <c r="S133" s="102">
        <f>E133+L133</f>
        <v/>
      </c>
    </row>
    <row r="134">
      <c r="A134" s="94" t="n">
        <v>46133</v>
      </c>
      <c r="B134" s="95">
        <f>CHOOSE(WEEKDAY(A134,2),"月","火","水","木","金","土","日")</f>
        <v/>
      </c>
      <c r="C134" s="96">
        <f>IF(OR(WEEKDAY(A134,2)&gt;=6,COUNTIF(祝日マスタ!$A:$A,A134)&gt;0),"非営業日","営業日")</f>
        <v/>
      </c>
      <c r="D134" s="97">
        <f>COUNTIFS(明細!$F$5:$F$363,A134,明細!$D$5:$D$363,"運用")</f>
        <v/>
      </c>
      <c r="E134" s="98">
        <f>COUNTIFS(明細!$G$5:$G$363,A134,明細!$D$5:$D$363,"運用")</f>
        <v/>
      </c>
      <c r="F134" s="99">
        <f>IF(D134=0,0,E134/D134)</f>
        <v/>
      </c>
      <c r="G134" s="100">
        <f>SUM($D$6:D134)</f>
        <v/>
      </c>
      <c r="H134" s="98">
        <f>SUM($E$6:E134)</f>
        <v/>
      </c>
      <c r="I134" s="99">
        <f>IF(G134=0,"",H134/G134)</f>
        <v/>
      </c>
      <c r="J134" s="101">
        <f>IF(A134&gt;$S$2,"予定",IF(G134=0,"－",IF(I134&gt;=1,"完了",IF(H134&gt;=G134,"順調","遅延"))))</f>
        <v/>
      </c>
      <c r="K134" s="97">
        <f>COUNTIFS(明細!$I$5:$I$363,A134,明細!$D$5:$D$363,"運用")</f>
        <v/>
      </c>
      <c r="L134" s="98">
        <f>COUNTIFS(明細!$J$5:$J$363,A134,明細!$D$5:$D$363,"運用")</f>
        <v/>
      </c>
      <c r="M134" s="99">
        <f>IF(K134=0,0,L134/K134)</f>
        <v/>
      </c>
      <c r="N134" s="100">
        <f>SUM($K$6:K134)</f>
        <v/>
      </c>
      <c r="O134" s="98">
        <f>SUM($L$6:L134)</f>
        <v/>
      </c>
      <c r="P134" s="99">
        <f>IF(N134=0,"",O134/N134)</f>
        <v/>
      </c>
      <c r="Q134" s="101">
        <f>IF(A134&gt;$S$2,"予定",IF(N134=0,"－",IF(P134&gt;=1,"完了",IF(O134&gt;=N134,"順調","遅延"))))</f>
        <v/>
      </c>
      <c r="R134" s="97">
        <f>D134+K134</f>
        <v/>
      </c>
      <c r="S134" s="102">
        <f>E134+L134</f>
        <v/>
      </c>
    </row>
    <row r="135">
      <c r="A135" s="94" t="n">
        <v>46134</v>
      </c>
      <c r="B135" s="95">
        <f>CHOOSE(WEEKDAY(A135,2),"月","火","水","木","金","土","日")</f>
        <v/>
      </c>
      <c r="C135" s="96">
        <f>IF(OR(WEEKDAY(A135,2)&gt;=6,COUNTIF(祝日マスタ!$A:$A,A135)&gt;0),"非営業日","営業日")</f>
        <v/>
      </c>
      <c r="D135" s="97">
        <f>COUNTIFS(明細!$F$5:$F$363,A135,明細!$D$5:$D$363,"運用")</f>
        <v/>
      </c>
      <c r="E135" s="98">
        <f>COUNTIFS(明細!$G$5:$G$363,A135,明細!$D$5:$D$363,"運用")</f>
        <v/>
      </c>
      <c r="F135" s="99">
        <f>IF(D135=0,0,E135/D135)</f>
        <v/>
      </c>
      <c r="G135" s="100">
        <f>SUM($D$6:D135)</f>
        <v/>
      </c>
      <c r="H135" s="98">
        <f>SUM($E$6:E135)</f>
        <v/>
      </c>
      <c r="I135" s="99">
        <f>IF(G135=0,"",H135/G135)</f>
        <v/>
      </c>
      <c r="J135" s="101">
        <f>IF(A135&gt;$S$2,"予定",IF(G135=0,"－",IF(I135&gt;=1,"完了",IF(H135&gt;=G135,"順調","遅延"))))</f>
        <v/>
      </c>
      <c r="K135" s="97">
        <f>COUNTIFS(明細!$I$5:$I$363,A135,明細!$D$5:$D$363,"運用")</f>
        <v/>
      </c>
      <c r="L135" s="98">
        <f>COUNTIFS(明細!$J$5:$J$363,A135,明細!$D$5:$D$363,"運用")</f>
        <v/>
      </c>
      <c r="M135" s="99">
        <f>IF(K135=0,0,L135/K135)</f>
        <v/>
      </c>
      <c r="N135" s="100">
        <f>SUM($K$6:K135)</f>
        <v/>
      </c>
      <c r="O135" s="98">
        <f>SUM($L$6:L135)</f>
        <v/>
      </c>
      <c r="P135" s="99">
        <f>IF(N135=0,"",O135/N135)</f>
        <v/>
      </c>
      <c r="Q135" s="101">
        <f>IF(A135&gt;$S$2,"予定",IF(N135=0,"－",IF(P135&gt;=1,"完了",IF(O135&gt;=N135,"順調","遅延"))))</f>
        <v/>
      </c>
      <c r="R135" s="97">
        <f>D135+K135</f>
        <v/>
      </c>
      <c r="S135" s="102">
        <f>E135+L135</f>
        <v/>
      </c>
    </row>
    <row r="136">
      <c r="A136" s="94" t="n">
        <v>46135</v>
      </c>
      <c r="B136" s="95">
        <f>CHOOSE(WEEKDAY(A136,2),"月","火","水","木","金","土","日")</f>
        <v/>
      </c>
      <c r="C136" s="96">
        <f>IF(OR(WEEKDAY(A136,2)&gt;=6,COUNTIF(祝日マスタ!$A:$A,A136)&gt;0),"非営業日","営業日")</f>
        <v/>
      </c>
      <c r="D136" s="97">
        <f>COUNTIFS(明細!$F$5:$F$363,A136,明細!$D$5:$D$363,"運用")</f>
        <v/>
      </c>
      <c r="E136" s="98">
        <f>COUNTIFS(明細!$G$5:$G$363,A136,明細!$D$5:$D$363,"運用")</f>
        <v/>
      </c>
      <c r="F136" s="99">
        <f>IF(D136=0,0,E136/D136)</f>
        <v/>
      </c>
      <c r="G136" s="100">
        <f>SUM($D$6:D136)</f>
        <v/>
      </c>
      <c r="H136" s="98">
        <f>SUM($E$6:E136)</f>
        <v/>
      </c>
      <c r="I136" s="99">
        <f>IF(G136=0,"",H136/G136)</f>
        <v/>
      </c>
      <c r="J136" s="101">
        <f>IF(A136&gt;$S$2,"予定",IF(G136=0,"－",IF(I136&gt;=1,"完了",IF(H136&gt;=G136,"順調","遅延"))))</f>
        <v/>
      </c>
      <c r="K136" s="97">
        <f>COUNTIFS(明細!$I$5:$I$363,A136,明細!$D$5:$D$363,"運用")</f>
        <v/>
      </c>
      <c r="L136" s="98">
        <f>COUNTIFS(明細!$J$5:$J$363,A136,明細!$D$5:$D$363,"運用")</f>
        <v/>
      </c>
      <c r="M136" s="99">
        <f>IF(K136=0,0,L136/K136)</f>
        <v/>
      </c>
      <c r="N136" s="100">
        <f>SUM($K$6:K136)</f>
        <v/>
      </c>
      <c r="O136" s="98">
        <f>SUM($L$6:L136)</f>
        <v/>
      </c>
      <c r="P136" s="99">
        <f>IF(N136=0,"",O136/N136)</f>
        <v/>
      </c>
      <c r="Q136" s="101">
        <f>IF(A136&gt;$S$2,"予定",IF(N136=0,"－",IF(P136&gt;=1,"完了",IF(O136&gt;=N136,"順調","遅延"))))</f>
        <v/>
      </c>
      <c r="R136" s="97">
        <f>D136+K136</f>
        <v/>
      </c>
      <c r="S136" s="102">
        <f>E136+L136</f>
        <v/>
      </c>
    </row>
    <row r="137">
      <c r="A137" s="94" t="n">
        <v>46136</v>
      </c>
      <c r="B137" s="95">
        <f>CHOOSE(WEEKDAY(A137,2),"月","火","水","木","金","土","日")</f>
        <v/>
      </c>
      <c r="C137" s="96">
        <f>IF(OR(WEEKDAY(A137,2)&gt;=6,COUNTIF(祝日マスタ!$A:$A,A137)&gt;0),"非営業日","営業日")</f>
        <v/>
      </c>
      <c r="D137" s="97">
        <f>COUNTIFS(明細!$F$5:$F$363,A137,明細!$D$5:$D$363,"運用")</f>
        <v/>
      </c>
      <c r="E137" s="98">
        <f>COUNTIFS(明細!$G$5:$G$363,A137,明細!$D$5:$D$363,"運用")</f>
        <v/>
      </c>
      <c r="F137" s="99">
        <f>IF(D137=0,0,E137/D137)</f>
        <v/>
      </c>
      <c r="G137" s="100">
        <f>SUM($D$6:D137)</f>
        <v/>
      </c>
      <c r="H137" s="98">
        <f>SUM($E$6:E137)</f>
        <v/>
      </c>
      <c r="I137" s="99">
        <f>IF(G137=0,"",H137/G137)</f>
        <v/>
      </c>
      <c r="J137" s="101">
        <f>IF(A137&gt;$S$2,"予定",IF(G137=0,"－",IF(I137&gt;=1,"完了",IF(H137&gt;=G137,"順調","遅延"))))</f>
        <v/>
      </c>
      <c r="K137" s="97">
        <f>COUNTIFS(明細!$I$5:$I$363,A137,明細!$D$5:$D$363,"運用")</f>
        <v/>
      </c>
      <c r="L137" s="98">
        <f>COUNTIFS(明細!$J$5:$J$363,A137,明細!$D$5:$D$363,"運用")</f>
        <v/>
      </c>
      <c r="M137" s="99">
        <f>IF(K137=0,0,L137/K137)</f>
        <v/>
      </c>
      <c r="N137" s="100">
        <f>SUM($K$6:K137)</f>
        <v/>
      </c>
      <c r="O137" s="98">
        <f>SUM($L$6:L137)</f>
        <v/>
      </c>
      <c r="P137" s="99">
        <f>IF(N137=0,"",O137/N137)</f>
        <v/>
      </c>
      <c r="Q137" s="101">
        <f>IF(A137&gt;$S$2,"予定",IF(N137=0,"－",IF(P137&gt;=1,"完了",IF(O137&gt;=N137,"順調","遅延"))))</f>
        <v/>
      </c>
      <c r="R137" s="97">
        <f>D137+K137</f>
        <v/>
      </c>
      <c r="S137" s="102">
        <f>E137+L137</f>
        <v/>
      </c>
    </row>
    <row r="138">
      <c r="A138" s="94" t="n">
        <v>46137</v>
      </c>
      <c r="B138" s="95">
        <f>CHOOSE(WEEKDAY(A138,2),"月","火","水","木","金","土","日")</f>
        <v/>
      </c>
      <c r="C138" s="96">
        <f>IF(OR(WEEKDAY(A138,2)&gt;=6,COUNTIF(祝日マスタ!$A:$A,A138)&gt;0),"非営業日","営業日")</f>
        <v/>
      </c>
      <c r="D138" s="97">
        <f>COUNTIFS(明細!$F$5:$F$363,A138,明細!$D$5:$D$363,"運用")</f>
        <v/>
      </c>
      <c r="E138" s="98">
        <f>COUNTIFS(明細!$G$5:$G$363,A138,明細!$D$5:$D$363,"運用")</f>
        <v/>
      </c>
      <c r="F138" s="99">
        <f>IF(D138=0,0,E138/D138)</f>
        <v/>
      </c>
      <c r="G138" s="100">
        <f>SUM($D$6:D138)</f>
        <v/>
      </c>
      <c r="H138" s="98">
        <f>SUM($E$6:E138)</f>
        <v/>
      </c>
      <c r="I138" s="99">
        <f>IF(G138=0,"",H138/G138)</f>
        <v/>
      </c>
      <c r="J138" s="101">
        <f>IF(A138&gt;$S$2,"予定",IF(G138=0,"－",IF(I138&gt;=1,"完了",IF(H138&gt;=G138,"順調","遅延"))))</f>
        <v/>
      </c>
      <c r="K138" s="97">
        <f>COUNTIFS(明細!$I$5:$I$363,A138,明細!$D$5:$D$363,"運用")</f>
        <v/>
      </c>
      <c r="L138" s="98">
        <f>COUNTIFS(明細!$J$5:$J$363,A138,明細!$D$5:$D$363,"運用")</f>
        <v/>
      </c>
      <c r="M138" s="99">
        <f>IF(K138=0,0,L138/K138)</f>
        <v/>
      </c>
      <c r="N138" s="100">
        <f>SUM($K$6:K138)</f>
        <v/>
      </c>
      <c r="O138" s="98">
        <f>SUM($L$6:L138)</f>
        <v/>
      </c>
      <c r="P138" s="99">
        <f>IF(N138=0,"",O138/N138)</f>
        <v/>
      </c>
      <c r="Q138" s="101">
        <f>IF(A138&gt;$S$2,"予定",IF(N138=0,"－",IF(P138&gt;=1,"完了",IF(O138&gt;=N138,"順調","遅延"))))</f>
        <v/>
      </c>
      <c r="R138" s="97">
        <f>D138+K138</f>
        <v/>
      </c>
      <c r="S138" s="102">
        <f>E138+L138</f>
        <v/>
      </c>
    </row>
    <row r="139">
      <c r="A139" s="94" t="n">
        <v>46138</v>
      </c>
      <c r="B139" s="95">
        <f>CHOOSE(WEEKDAY(A139,2),"月","火","水","木","金","土","日")</f>
        <v/>
      </c>
      <c r="C139" s="96">
        <f>IF(OR(WEEKDAY(A139,2)&gt;=6,COUNTIF(祝日マスタ!$A:$A,A139)&gt;0),"非営業日","営業日")</f>
        <v/>
      </c>
      <c r="D139" s="97">
        <f>COUNTIFS(明細!$F$5:$F$363,A139,明細!$D$5:$D$363,"運用")</f>
        <v/>
      </c>
      <c r="E139" s="98">
        <f>COUNTIFS(明細!$G$5:$G$363,A139,明細!$D$5:$D$363,"運用")</f>
        <v/>
      </c>
      <c r="F139" s="99">
        <f>IF(D139=0,0,E139/D139)</f>
        <v/>
      </c>
      <c r="G139" s="100">
        <f>SUM($D$6:D139)</f>
        <v/>
      </c>
      <c r="H139" s="98">
        <f>SUM($E$6:E139)</f>
        <v/>
      </c>
      <c r="I139" s="99">
        <f>IF(G139=0,"",H139/G139)</f>
        <v/>
      </c>
      <c r="J139" s="101">
        <f>IF(A139&gt;$S$2,"予定",IF(G139=0,"－",IF(I139&gt;=1,"完了",IF(H139&gt;=G139,"順調","遅延"))))</f>
        <v/>
      </c>
      <c r="K139" s="97">
        <f>COUNTIFS(明細!$I$5:$I$363,A139,明細!$D$5:$D$363,"運用")</f>
        <v/>
      </c>
      <c r="L139" s="98">
        <f>COUNTIFS(明細!$J$5:$J$363,A139,明細!$D$5:$D$363,"運用")</f>
        <v/>
      </c>
      <c r="M139" s="99">
        <f>IF(K139=0,0,L139/K139)</f>
        <v/>
      </c>
      <c r="N139" s="100">
        <f>SUM($K$6:K139)</f>
        <v/>
      </c>
      <c r="O139" s="98">
        <f>SUM($L$6:L139)</f>
        <v/>
      </c>
      <c r="P139" s="99">
        <f>IF(N139=0,"",O139/N139)</f>
        <v/>
      </c>
      <c r="Q139" s="101">
        <f>IF(A139&gt;$S$2,"予定",IF(N139=0,"－",IF(P139&gt;=1,"完了",IF(O139&gt;=N139,"順調","遅延"))))</f>
        <v/>
      </c>
      <c r="R139" s="97">
        <f>D139+K139</f>
        <v/>
      </c>
      <c r="S139" s="102">
        <f>E139+L139</f>
        <v/>
      </c>
    </row>
    <row r="140">
      <c r="A140" s="94" t="n">
        <v>46139</v>
      </c>
      <c r="B140" s="95">
        <f>CHOOSE(WEEKDAY(A140,2),"月","火","水","木","金","土","日")</f>
        <v/>
      </c>
      <c r="C140" s="96">
        <f>IF(OR(WEEKDAY(A140,2)&gt;=6,COUNTIF(祝日マスタ!$A:$A,A140)&gt;0),"非営業日","営業日")</f>
        <v/>
      </c>
      <c r="D140" s="97">
        <f>COUNTIFS(明細!$F$5:$F$363,A140,明細!$D$5:$D$363,"運用")</f>
        <v/>
      </c>
      <c r="E140" s="98">
        <f>COUNTIFS(明細!$G$5:$G$363,A140,明細!$D$5:$D$363,"運用")</f>
        <v/>
      </c>
      <c r="F140" s="99">
        <f>IF(D140=0,0,E140/D140)</f>
        <v/>
      </c>
      <c r="G140" s="100">
        <f>SUM($D$6:D140)</f>
        <v/>
      </c>
      <c r="H140" s="98">
        <f>SUM($E$6:E140)</f>
        <v/>
      </c>
      <c r="I140" s="99">
        <f>IF(G140=0,"",H140/G140)</f>
        <v/>
      </c>
      <c r="J140" s="101">
        <f>IF(A140&gt;$S$2,"予定",IF(G140=0,"－",IF(I140&gt;=1,"完了",IF(H140&gt;=G140,"順調","遅延"))))</f>
        <v/>
      </c>
      <c r="K140" s="97">
        <f>COUNTIFS(明細!$I$5:$I$363,A140,明細!$D$5:$D$363,"運用")</f>
        <v/>
      </c>
      <c r="L140" s="98">
        <f>COUNTIFS(明細!$J$5:$J$363,A140,明細!$D$5:$D$363,"運用")</f>
        <v/>
      </c>
      <c r="M140" s="99">
        <f>IF(K140=0,0,L140/K140)</f>
        <v/>
      </c>
      <c r="N140" s="100">
        <f>SUM($K$6:K140)</f>
        <v/>
      </c>
      <c r="O140" s="98">
        <f>SUM($L$6:L140)</f>
        <v/>
      </c>
      <c r="P140" s="99">
        <f>IF(N140=0,"",O140/N140)</f>
        <v/>
      </c>
      <c r="Q140" s="101">
        <f>IF(A140&gt;$S$2,"予定",IF(N140=0,"－",IF(P140&gt;=1,"完了",IF(O140&gt;=N140,"順調","遅延"))))</f>
        <v/>
      </c>
      <c r="R140" s="97">
        <f>D140+K140</f>
        <v/>
      </c>
      <c r="S140" s="102">
        <f>E140+L140</f>
        <v/>
      </c>
    </row>
    <row r="141">
      <c r="A141" s="94" t="n">
        <v>46140</v>
      </c>
      <c r="B141" s="95">
        <f>CHOOSE(WEEKDAY(A141,2),"月","火","水","木","金","土","日")</f>
        <v/>
      </c>
      <c r="C141" s="96">
        <f>IF(OR(WEEKDAY(A141,2)&gt;=6,COUNTIF(祝日マスタ!$A:$A,A141)&gt;0),"非営業日","営業日")</f>
        <v/>
      </c>
      <c r="D141" s="97">
        <f>COUNTIFS(明細!$F$5:$F$363,A141,明細!$D$5:$D$363,"運用")</f>
        <v/>
      </c>
      <c r="E141" s="98">
        <f>COUNTIFS(明細!$G$5:$G$363,A141,明細!$D$5:$D$363,"運用")</f>
        <v/>
      </c>
      <c r="F141" s="99">
        <f>IF(D141=0,0,E141/D141)</f>
        <v/>
      </c>
      <c r="G141" s="100">
        <f>SUM($D$6:D141)</f>
        <v/>
      </c>
      <c r="H141" s="98">
        <f>SUM($E$6:E141)</f>
        <v/>
      </c>
      <c r="I141" s="99">
        <f>IF(G141=0,"",H141/G141)</f>
        <v/>
      </c>
      <c r="J141" s="101">
        <f>IF(A141&gt;$S$2,"予定",IF(G141=0,"－",IF(I141&gt;=1,"完了",IF(H141&gt;=G141,"順調","遅延"))))</f>
        <v/>
      </c>
      <c r="K141" s="97">
        <f>COUNTIFS(明細!$I$5:$I$363,A141,明細!$D$5:$D$363,"運用")</f>
        <v/>
      </c>
      <c r="L141" s="98">
        <f>COUNTIFS(明細!$J$5:$J$363,A141,明細!$D$5:$D$363,"運用")</f>
        <v/>
      </c>
      <c r="M141" s="99">
        <f>IF(K141=0,0,L141/K141)</f>
        <v/>
      </c>
      <c r="N141" s="100">
        <f>SUM($K$6:K141)</f>
        <v/>
      </c>
      <c r="O141" s="98">
        <f>SUM($L$6:L141)</f>
        <v/>
      </c>
      <c r="P141" s="99">
        <f>IF(N141=0,"",O141/N141)</f>
        <v/>
      </c>
      <c r="Q141" s="101">
        <f>IF(A141&gt;$S$2,"予定",IF(N141=0,"－",IF(P141&gt;=1,"完了",IF(O141&gt;=N141,"順調","遅延"))))</f>
        <v/>
      </c>
      <c r="R141" s="97">
        <f>D141+K141</f>
        <v/>
      </c>
      <c r="S141" s="102">
        <f>E141+L141</f>
        <v/>
      </c>
    </row>
    <row r="142">
      <c r="A142" s="94" t="n">
        <v>46141</v>
      </c>
      <c r="B142" s="95">
        <f>CHOOSE(WEEKDAY(A142,2),"月","火","水","木","金","土","日")</f>
        <v/>
      </c>
      <c r="C142" s="96">
        <f>IF(OR(WEEKDAY(A142,2)&gt;=6,COUNTIF(祝日マスタ!$A:$A,A142)&gt;0),"非営業日","営業日")</f>
        <v/>
      </c>
      <c r="D142" s="97">
        <f>COUNTIFS(明細!$F$5:$F$363,A142,明細!$D$5:$D$363,"運用")</f>
        <v/>
      </c>
      <c r="E142" s="98">
        <f>COUNTIFS(明細!$G$5:$G$363,A142,明細!$D$5:$D$363,"運用")</f>
        <v/>
      </c>
      <c r="F142" s="99">
        <f>IF(D142=0,0,E142/D142)</f>
        <v/>
      </c>
      <c r="G142" s="100">
        <f>SUM($D$6:D142)</f>
        <v/>
      </c>
      <c r="H142" s="98">
        <f>SUM($E$6:E142)</f>
        <v/>
      </c>
      <c r="I142" s="99">
        <f>IF(G142=0,"",H142/G142)</f>
        <v/>
      </c>
      <c r="J142" s="101">
        <f>IF(A142&gt;$S$2,"予定",IF(G142=0,"－",IF(I142&gt;=1,"完了",IF(H142&gt;=G142,"順調","遅延"))))</f>
        <v/>
      </c>
      <c r="K142" s="97">
        <f>COUNTIFS(明細!$I$5:$I$363,A142,明細!$D$5:$D$363,"運用")</f>
        <v/>
      </c>
      <c r="L142" s="98">
        <f>COUNTIFS(明細!$J$5:$J$363,A142,明細!$D$5:$D$363,"運用")</f>
        <v/>
      </c>
      <c r="M142" s="99">
        <f>IF(K142=0,0,L142/K142)</f>
        <v/>
      </c>
      <c r="N142" s="100">
        <f>SUM($K$6:K142)</f>
        <v/>
      </c>
      <c r="O142" s="98">
        <f>SUM($L$6:L142)</f>
        <v/>
      </c>
      <c r="P142" s="99">
        <f>IF(N142=0,"",O142/N142)</f>
        <v/>
      </c>
      <c r="Q142" s="101">
        <f>IF(A142&gt;$S$2,"予定",IF(N142=0,"－",IF(P142&gt;=1,"完了",IF(O142&gt;=N142,"順調","遅延"))))</f>
        <v/>
      </c>
      <c r="R142" s="97">
        <f>D142+K142</f>
        <v/>
      </c>
      <c r="S142" s="102">
        <f>E142+L142</f>
        <v/>
      </c>
    </row>
    <row r="143">
      <c r="A143" s="94" t="n">
        <v>46142</v>
      </c>
      <c r="B143" s="95">
        <f>CHOOSE(WEEKDAY(A143,2),"月","火","水","木","金","土","日")</f>
        <v/>
      </c>
      <c r="C143" s="96">
        <f>IF(OR(WEEKDAY(A143,2)&gt;=6,COUNTIF(祝日マスタ!$A:$A,A143)&gt;0),"非営業日","営業日")</f>
        <v/>
      </c>
      <c r="D143" s="97">
        <f>COUNTIFS(明細!$F$5:$F$363,A143,明細!$D$5:$D$363,"運用")</f>
        <v/>
      </c>
      <c r="E143" s="98">
        <f>COUNTIFS(明細!$G$5:$G$363,A143,明細!$D$5:$D$363,"運用")</f>
        <v/>
      </c>
      <c r="F143" s="99">
        <f>IF(D143=0,0,E143/D143)</f>
        <v/>
      </c>
      <c r="G143" s="100">
        <f>SUM($D$6:D143)</f>
        <v/>
      </c>
      <c r="H143" s="98">
        <f>SUM($E$6:E143)</f>
        <v/>
      </c>
      <c r="I143" s="99">
        <f>IF(G143=0,"",H143/G143)</f>
        <v/>
      </c>
      <c r="J143" s="101">
        <f>IF(A143&gt;$S$2,"予定",IF(G143=0,"－",IF(I143&gt;=1,"完了",IF(H143&gt;=G143,"順調","遅延"))))</f>
        <v/>
      </c>
      <c r="K143" s="97">
        <f>COUNTIFS(明細!$I$5:$I$363,A143,明細!$D$5:$D$363,"運用")</f>
        <v/>
      </c>
      <c r="L143" s="98">
        <f>COUNTIFS(明細!$J$5:$J$363,A143,明細!$D$5:$D$363,"運用")</f>
        <v/>
      </c>
      <c r="M143" s="99">
        <f>IF(K143=0,0,L143/K143)</f>
        <v/>
      </c>
      <c r="N143" s="100">
        <f>SUM($K$6:K143)</f>
        <v/>
      </c>
      <c r="O143" s="98">
        <f>SUM($L$6:L143)</f>
        <v/>
      </c>
      <c r="P143" s="99">
        <f>IF(N143=0,"",O143/N143)</f>
        <v/>
      </c>
      <c r="Q143" s="101">
        <f>IF(A143&gt;$S$2,"予定",IF(N143=0,"－",IF(P143&gt;=1,"完了",IF(O143&gt;=N143,"順調","遅延"))))</f>
        <v/>
      </c>
      <c r="R143" s="97">
        <f>D143+K143</f>
        <v/>
      </c>
      <c r="S143" s="102">
        <f>E143+L143</f>
        <v/>
      </c>
    </row>
    <row r="144">
      <c r="A144" s="94" t="n">
        <v>46143</v>
      </c>
      <c r="B144" s="95">
        <f>CHOOSE(WEEKDAY(A144,2),"月","火","水","木","金","土","日")</f>
        <v/>
      </c>
      <c r="C144" s="96">
        <f>IF(OR(WEEKDAY(A144,2)&gt;=6,COUNTIF(祝日マスタ!$A:$A,A144)&gt;0),"非営業日","営業日")</f>
        <v/>
      </c>
      <c r="D144" s="97">
        <f>COUNTIFS(明細!$F$5:$F$363,A144,明細!$D$5:$D$363,"運用")</f>
        <v/>
      </c>
      <c r="E144" s="98">
        <f>COUNTIFS(明細!$G$5:$G$363,A144,明細!$D$5:$D$363,"運用")</f>
        <v/>
      </c>
      <c r="F144" s="99">
        <f>IF(D144=0,0,E144/D144)</f>
        <v/>
      </c>
      <c r="G144" s="100">
        <f>SUM($D$6:D144)</f>
        <v/>
      </c>
      <c r="H144" s="98">
        <f>SUM($E$6:E144)</f>
        <v/>
      </c>
      <c r="I144" s="99">
        <f>IF(G144=0,"",H144/G144)</f>
        <v/>
      </c>
      <c r="J144" s="101">
        <f>IF(A144&gt;$S$2,"予定",IF(G144=0,"－",IF(I144&gt;=1,"完了",IF(H144&gt;=G144,"順調","遅延"))))</f>
        <v/>
      </c>
      <c r="K144" s="97">
        <f>COUNTIFS(明細!$I$5:$I$363,A144,明細!$D$5:$D$363,"運用")</f>
        <v/>
      </c>
      <c r="L144" s="98">
        <f>COUNTIFS(明細!$J$5:$J$363,A144,明細!$D$5:$D$363,"運用")</f>
        <v/>
      </c>
      <c r="M144" s="99">
        <f>IF(K144=0,0,L144/K144)</f>
        <v/>
      </c>
      <c r="N144" s="100">
        <f>SUM($K$6:K144)</f>
        <v/>
      </c>
      <c r="O144" s="98">
        <f>SUM($L$6:L144)</f>
        <v/>
      </c>
      <c r="P144" s="99">
        <f>IF(N144=0,"",O144/N144)</f>
        <v/>
      </c>
      <c r="Q144" s="101">
        <f>IF(A144&gt;$S$2,"予定",IF(N144=0,"－",IF(P144&gt;=1,"完了",IF(O144&gt;=N144,"順調","遅延"))))</f>
        <v/>
      </c>
      <c r="R144" s="97">
        <f>D144+K144</f>
        <v/>
      </c>
      <c r="S144" s="102">
        <f>E144+L144</f>
        <v/>
      </c>
    </row>
    <row r="145">
      <c r="A145" s="94" t="n">
        <v>46144</v>
      </c>
      <c r="B145" s="95">
        <f>CHOOSE(WEEKDAY(A145,2),"月","火","水","木","金","土","日")</f>
        <v/>
      </c>
      <c r="C145" s="96">
        <f>IF(OR(WEEKDAY(A145,2)&gt;=6,COUNTIF(祝日マスタ!$A:$A,A145)&gt;0),"非営業日","営業日")</f>
        <v/>
      </c>
      <c r="D145" s="97">
        <f>COUNTIFS(明細!$F$5:$F$363,A145,明細!$D$5:$D$363,"運用")</f>
        <v/>
      </c>
      <c r="E145" s="98">
        <f>COUNTIFS(明細!$G$5:$G$363,A145,明細!$D$5:$D$363,"運用")</f>
        <v/>
      </c>
      <c r="F145" s="99">
        <f>IF(D145=0,0,E145/D145)</f>
        <v/>
      </c>
      <c r="G145" s="100">
        <f>SUM($D$6:D145)</f>
        <v/>
      </c>
      <c r="H145" s="98">
        <f>SUM($E$6:E145)</f>
        <v/>
      </c>
      <c r="I145" s="99">
        <f>IF(G145=0,"",H145/G145)</f>
        <v/>
      </c>
      <c r="J145" s="101">
        <f>IF(A145&gt;$S$2,"予定",IF(G145=0,"－",IF(I145&gt;=1,"完了",IF(H145&gt;=G145,"順調","遅延"))))</f>
        <v/>
      </c>
      <c r="K145" s="97">
        <f>COUNTIFS(明細!$I$5:$I$363,A145,明細!$D$5:$D$363,"運用")</f>
        <v/>
      </c>
      <c r="L145" s="98">
        <f>COUNTIFS(明細!$J$5:$J$363,A145,明細!$D$5:$D$363,"運用")</f>
        <v/>
      </c>
      <c r="M145" s="99">
        <f>IF(K145=0,0,L145/K145)</f>
        <v/>
      </c>
      <c r="N145" s="100">
        <f>SUM($K$6:K145)</f>
        <v/>
      </c>
      <c r="O145" s="98">
        <f>SUM($L$6:L145)</f>
        <v/>
      </c>
      <c r="P145" s="99">
        <f>IF(N145=0,"",O145/N145)</f>
        <v/>
      </c>
      <c r="Q145" s="101">
        <f>IF(A145&gt;$S$2,"予定",IF(N145=0,"－",IF(P145&gt;=1,"完了",IF(O145&gt;=N145,"順調","遅延"))))</f>
        <v/>
      </c>
      <c r="R145" s="97">
        <f>D145+K145</f>
        <v/>
      </c>
      <c r="S145" s="102">
        <f>E145+L145</f>
        <v/>
      </c>
    </row>
    <row r="146">
      <c r="A146" s="94" t="n">
        <v>46145</v>
      </c>
      <c r="B146" s="95">
        <f>CHOOSE(WEEKDAY(A146,2),"月","火","水","木","金","土","日")</f>
        <v/>
      </c>
      <c r="C146" s="96">
        <f>IF(OR(WEEKDAY(A146,2)&gt;=6,COUNTIF(祝日マスタ!$A:$A,A146)&gt;0),"非営業日","営業日")</f>
        <v/>
      </c>
      <c r="D146" s="97">
        <f>COUNTIFS(明細!$F$5:$F$363,A146,明細!$D$5:$D$363,"運用")</f>
        <v/>
      </c>
      <c r="E146" s="98">
        <f>COUNTIFS(明細!$G$5:$G$363,A146,明細!$D$5:$D$363,"運用")</f>
        <v/>
      </c>
      <c r="F146" s="99">
        <f>IF(D146=0,0,E146/D146)</f>
        <v/>
      </c>
      <c r="G146" s="100">
        <f>SUM($D$6:D146)</f>
        <v/>
      </c>
      <c r="H146" s="98">
        <f>SUM($E$6:E146)</f>
        <v/>
      </c>
      <c r="I146" s="99">
        <f>IF(G146=0,"",H146/G146)</f>
        <v/>
      </c>
      <c r="J146" s="101">
        <f>IF(A146&gt;$S$2,"予定",IF(G146=0,"－",IF(I146&gt;=1,"完了",IF(H146&gt;=G146,"順調","遅延"))))</f>
        <v/>
      </c>
      <c r="K146" s="97">
        <f>COUNTIFS(明細!$I$5:$I$363,A146,明細!$D$5:$D$363,"運用")</f>
        <v/>
      </c>
      <c r="L146" s="98">
        <f>COUNTIFS(明細!$J$5:$J$363,A146,明細!$D$5:$D$363,"運用")</f>
        <v/>
      </c>
      <c r="M146" s="99">
        <f>IF(K146=0,0,L146/K146)</f>
        <v/>
      </c>
      <c r="N146" s="100">
        <f>SUM($K$6:K146)</f>
        <v/>
      </c>
      <c r="O146" s="98">
        <f>SUM($L$6:L146)</f>
        <v/>
      </c>
      <c r="P146" s="99">
        <f>IF(N146=0,"",O146/N146)</f>
        <v/>
      </c>
      <c r="Q146" s="101">
        <f>IF(A146&gt;$S$2,"予定",IF(N146=0,"－",IF(P146&gt;=1,"完了",IF(O146&gt;=N146,"順調","遅延"))))</f>
        <v/>
      </c>
      <c r="R146" s="97">
        <f>D146+K146</f>
        <v/>
      </c>
      <c r="S146" s="102">
        <f>E146+L146</f>
        <v/>
      </c>
    </row>
    <row r="147">
      <c r="A147" s="94" t="n">
        <v>46146</v>
      </c>
      <c r="B147" s="95">
        <f>CHOOSE(WEEKDAY(A147,2),"月","火","水","木","金","土","日")</f>
        <v/>
      </c>
      <c r="C147" s="96">
        <f>IF(OR(WEEKDAY(A147,2)&gt;=6,COUNTIF(祝日マスタ!$A:$A,A147)&gt;0),"非営業日","営業日")</f>
        <v/>
      </c>
      <c r="D147" s="97">
        <f>COUNTIFS(明細!$F$5:$F$363,A147,明細!$D$5:$D$363,"運用")</f>
        <v/>
      </c>
      <c r="E147" s="98">
        <f>COUNTIFS(明細!$G$5:$G$363,A147,明細!$D$5:$D$363,"運用")</f>
        <v/>
      </c>
      <c r="F147" s="99">
        <f>IF(D147=0,0,E147/D147)</f>
        <v/>
      </c>
      <c r="G147" s="100">
        <f>SUM($D$6:D147)</f>
        <v/>
      </c>
      <c r="H147" s="98">
        <f>SUM($E$6:E147)</f>
        <v/>
      </c>
      <c r="I147" s="99">
        <f>IF(G147=0,"",H147/G147)</f>
        <v/>
      </c>
      <c r="J147" s="101">
        <f>IF(A147&gt;$S$2,"予定",IF(G147=0,"－",IF(I147&gt;=1,"完了",IF(H147&gt;=G147,"順調","遅延"))))</f>
        <v/>
      </c>
      <c r="K147" s="97">
        <f>COUNTIFS(明細!$I$5:$I$363,A147,明細!$D$5:$D$363,"運用")</f>
        <v/>
      </c>
      <c r="L147" s="98">
        <f>COUNTIFS(明細!$J$5:$J$363,A147,明細!$D$5:$D$363,"運用")</f>
        <v/>
      </c>
      <c r="M147" s="99">
        <f>IF(K147=0,0,L147/K147)</f>
        <v/>
      </c>
      <c r="N147" s="100">
        <f>SUM($K$6:K147)</f>
        <v/>
      </c>
      <c r="O147" s="98">
        <f>SUM($L$6:L147)</f>
        <v/>
      </c>
      <c r="P147" s="99">
        <f>IF(N147=0,"",O147/N147)</f>
        <v/>
      </c>
      <c r="Q147" s="101">
        <f>IF(A147&gt;$S$2,"予定",IF(N147=0,"－",IF(P147&gt;=1,"完了",IF(O147&gt;=N147,"順調","遅延"))))</f>
        <v/>
      </c>
      <c r="R147" s="97">
        <f>D147+K147</f>
        <v/>
      </c>
      <c r="S147" s="102">
        <f>E147+L147</f>
        <v/>
      </c>
    </row>
    <row r="148">
      <c r="A148" s="94" t="n">
        <v>46147</v>
      </c>
      <c r="B148" s="95">
        <f>CHOOSE(WEEKDAY(A148,2),"月","火","水","木","金","土","日")</f>
        <v/>
      </c>
      <c r="C148" s="96">
        <f>IF(OR(WEEKDAY(A148,2)&gt;=6,COUNTIF(祝日マスタ!$A:$A,A148)&gt;0),"非営業日","営業日")</f>
        <v/>
      </c>
      <c r="D148" s="97">
        <f>COUNTIFS(明細!$F$5:$F$363,A148,明細!$D$5:$D$363,"運用")</f>
        <v/>
      </c>
      <c r="E148" s="98">
        <f>COUNTIFS(明細!$G$5:$G$363,A148,明細!$D$5:$D$363,"運用")</f>
        <v/>
      </c>
      <c r="F148" s="99">
        <f>IF(D148=0,0,E148/D148)</f>
        <v/>
      </c>
      <c r="G148" s="100">
        <f>SUM($D$6:D148)</f>
        <v/>
      </c>
      <c r="H148" s="98">
        <f>SUM($E$6:E148)</f>
        <v/>
      </c>
      <c r="I148" s="99">
        <f>IF(G148=0,"",H148/G148)</f>
        <v/>
      </c>
      <c r="J148" s="101">
        <f>IF(A148&gt;$S$2,"予定",IF(G148=0,"－",IF(I148&gt;=1,"完了",IF(H148&gt;=G148,"順調","遅延"))))</f>
        <v/>
      </c>
      <c r="K148" s="97">
        <f>COUNTIFS(明細!$I$5:$I$363,A148,明細!$D$5:$D$363,"運用")</f>
        <v/>
      </c>
      <c r="L148" s="98">
        <f>COUNTIFS(明細!$J$5:$J$363,A148,明細!$D$5:$D$363,"運用")</f>
        <v/>
      </c>
      <c r="M148" s="99">
        <f>IF(K148=0,0,L148/K148)</f>
        <v/>
      </c>
      <c r="N148" s="100">
        <f>SUM($K$6:K148)</f>
        <v/>
      </c>
      <c r="O148" s="98">
        <f>SUM($L$6:L148)</f>
        <v/>
      </c>
      <c r="P148" s="99">
        <f>IF(N148=0,"",O148/N148)</f>
        <v/>
      </c>
      <c r="Q148" s="101">
        <f>IF(A148&gt;$S$2,"予定",IF(N148=0,"－",IF(P148&gt;=1,"完了",IF(O148&gt;=N148,"順調","遅延"))))</f>
        <v/>
      </c>
      <c r="R148" s="97">
        <f>D148+K148</f>
        <v/>
      </c>
      <c r="S148" s="102">
        <f>E148+L148</f>
        <v/>
      </c>
    </row>
    <row r="149">
      <c r="A149" s="94" t="n">
        <v>46148</v>
      </c>
      <c r="B149" s="95">
        <f>CHOOSE(WEEKDAY(A149,2),"月","火","水","木","金","土","日")</f>
        <v/>
      </c>
      <c r="C149" s="96">
        <f>IF(OR(WEEKDAY(A149,2)&gt;=6,COUNTIF(祝日マスタ!$A:$A,A149)&gt;0),"非営業日","営業日")</f>
        <v/>
      </c>
      <c r="D149" s="97">
        <f>COUNTIFS(明細!$F$5:$F$363,A149,明細!$D$5:$D$363,"運用")</f>
        <v/>
      </c>
      <c r="E149" s="98">
        <f>COUNTIFS(明細!$G$5:$G$363,A149,明細!$D$5:$D$363,"運用")</f>
        <v/>
      </c>
      <c r="F149" s="99">
        <f>IF(D149=0,0,E149/D149)</f>
        <v/>
      </c>
      <c r="G149" s="100">
        <f>SUM($D$6:D149)</f>
        <v/>
      </c>
      <c r="H149" s="98">
        <f>SUM($E$6:E149)</f>
        <v/>
      </c>
      <c r="I149" s="99">
        <f>IF(G149=0,"",H149/G149)</f>
        <v/>
      </c>
      <c r="J149" s="101">
        <f>IF(A149&gt;$S$2,"予定",IF(G149=0,"－",IF(I149&gt;=1,"完了",IF(H149&gt;=G149,"順調","遅延"))))</f>
        <v/>
      </c>
      <c r="K149" s="97">
        <f>COUNTIFS(明細!$I$5:$I$363,A149,明細!$D$5:$D$363,"運用")</f>
        <v/>
      </c>
      <c r="L149" s="98">
        <f>COUNTIFS(明細!$J$5:$J$363,A149,明細!$D$5:$D$363,"運用")</f>
        <v/>
      </c>
      <c r="M149" s="99">
        <f>IF(K149=0,0,L149/K149)</f>
        <v/>
      </c>
      <c r="N149" s="100">
        <f>SUM($K$6:K149)</f>
        <v/>
      </c>
      <c r="O149" s="98">
        <f>SUM($L$6:L149)</f>
        <v/>
      </c>
      <c r="P149" s="99">
        <f>IF(N149=0,"",O149/N149)</f>
        <v/>
      </c>
      <c r="Q149" s="101">
        <f>IF(A149&gt;$S$2,"予定",IF(N149=0,"－",IF(P149&gt;=1,"完了",IF(O149&gt;=N149,"順調","遅延"))))</f>
        <v/>
      </c>
      <c r="R149" s="97">
        <f>D149+K149</f>
        <v/>
      </c>
      <c r="S149" s="102">
        <f>E149+L149</f>
        <v/>
      </c>
    </row>
    <row r="150">
      <c r="A150" s="94" t="n">
        <v>46149</v>
      </c>
      <c r="B150" s="95">
        <f>CHOOSE(WEEKDAY(A150,2),"月","火","水","木","金","土","日")</f>
        <v/>
      </c>
      <c r="C150" s="96">
        <f>IF(OR(WEEKDAY(A150,2)&gt;=6,COUNTIF(祝日マスタ!$A:$A,A150)&gt;0),"非営業日","営業日")</f>
        <v/>
      </c>
      <c r="D150" s="97">
        <f>COUNTIFS(明細!$F$5:$F$363,A150,明細!$D$5:$D$363,"運用")</f>
        <v/>
      </c>
      <c r="E150" s="98">
        <f>COUNTIFS(明細!$G$5:$G$363,A150,明細!$D$5:$D$363,"運用")</f>
        <v/>
      </c>
      <c r="F150" s="99">
        <f>IF(D150=0,0,E150/D150)</f>
        <v/>
      </c>
      <c r="G150" s="100">
        <f>SUM($D$6:D150)</f>
        <v/>
      </c>
      <c r="H150" s="98">
        <f>SUM($E$6:E150)</f>
        <v/>
      </c>
      <c r="I150" s="99">
        <f>IF(G150=0,"",H150/G150)</f>
        <v/>
      </c>
      <c r="J150" s="101">
        <f>IF(A150&gt;$S$2,"予定",IF(G150=0,"－",IF(I150&gt;=1,"完了",IF(H150&gt;=G150,"順調","遅延"))))</f>
        <v/>
      </c>
      <c r="K150" s="97">
        <f>COUNTIFS(明細!$I$5:$I$363,A150,明細!$D$5:$D$363,"運用")</f>
        <v/>
      </c>
      <c r="L150" s="98">
        <f>COUNTIFS(明細!$J$5:$J$363,A150,明細!$D$5:$D$363,"運用")</f>
        <v/>
      </c>
      <c r="M150" s="99">
        <f>IF(K150=0,0,L150/K150)</f>
        <v/>
      </c>
      <c r="N150" s="100">
        <f>SUM($K$6:K150)</f>
        <v/>
      </c>
      <c r="O150" s="98">
        <f>SUM($L$6:L150)</f>
        <v/>
      </c>
      <c r="P150" s="99">
        <f>IF(N150=0,"",O150/N150)</f>
        <v/>
      </c>
      <c r="Q150" s="101">
        <f>IF(A150&gt;$S$2,"予定",IF(N150=0,"－",IF(P150&gt;=1,"完了",IF(O150&gt;=N150,"順調","遅延"))))</f>
        <v/>
      </c>
      <c r="R150" s="97">
        <f>D150+K150</f>
        <v/>
      </c>
      <c r="S150" s="102">
        <f>E150+L150</f>
        <v/>
      </c>
    </row>
    <row r="151">
      <c r="A151" s="94" t="n">
        <v>46150</v>
      </c>
      <c r="B151" s="95">
        <f>CHOOSE(WEEKDAY(A151,2),"月","火","水","木","金","土","日")</f>
        <v/>
      </c>
      <c r="C151" s="96">
        <f>IF(OR(WEEKDAY(A151,2)&gt;=6,COUNTIF(祝日マスタ!$A:$A,A151)&gt;0),"非営業日","営業日")</f>
        <v/>
      </c>
      <c r="D151" s="97">
        <f>COUNTIFS(明細!$F$5:$F$363,A151,明細!$D$5:$D$363,"運用")</f>
        <v/>
      </c>
      <c r="E151" s="98">
        <f>COUNTIFS(明細!$G$5:$G$363,A151,明細!$D$5:$D$363,"運用")</f>
        <v/>
      </c>
      <c r="F151" s="99">
        <f>IF(D151=0,0,E151/D151)</f>
        <v/>
      </c>
      <c r="G151" s="100">
        <f>SUM($D$6:D151)</f>
        <v/>
      </c>
      <c r="H151" s="98">
        <f>SUM($E$6:E151)</f>
        <v/>
      </c>
      <c r="I151" s="99">
        <f>IF(G151=0,"",H151/G151)</f>
        <v/>
      </c>
      <c r="J151" s="101">
        <f>IF(A151&gt;$S$2,"予定",IF(G151=0,"－",IF(I151&gt;=1,"完了",IF(H151&gt;=G151,"順調","遅延"))))</f>
        <v/>
      </c>
      <c r="K151" s="97">
        <f>COUNTIFS(明細!$I$5:$I$363,A151,明細!$D$5:$D$363,"運用")</f>
        <v/>
      </c>
      <c r="L151" s="98">
        <f>COUNTIFS(明細!$J$5:$J$363,A151,明細!$D$5:$D$363,"運用")</f>
        <v/>
      </c>
      <c r="M151" s="99">
        <f>IF(K151=0,0,L151/K151)</f>
        <v/>
      </c>
      <c r="N151" s="100">
        <f>SUM($K$6:K151)</f>
        <v/>
      </c>
      <c r="O151" s="98">
        <f>SUM($L$6:L151)</f>
        <v/>
      </c>
      <c r="P151" s="99">
        <f>IF(N151=0,"",O151/N151)</f>
        <v/>
      </c>
      <c r="Q151" s="101">
        <f>IF(A151&gt;$S$2,"予定",IF(N151=0,"－",IF(P151&gt;=1,"完了",IF(O151&gt;=N151,"順調","遅延"))))</f>
        <v/>
      </c>
      <c r="R151" s="97">
        <f>D151+K151</f>
        <v/>
      </c>
      <c r="S151" s="102">
        <f>E151+L151</f>
        <v/>
      </c>
    </row>
    <row r="152">
      <c r="A152" s="94" t="n">
        <v>46151</v>
      </c>
      <c r="B152" s="95">
        <f>CHOOSE(WEEKDAY(A152,2),"月","火","水","木","金","土","日")</f>
        <v/>
      </c>
      <c r="C152" s="96">
        <f>IF(OR(WEEKDAY(A152,2)&gt;=6,COUNTIF(祝日マスタ!$A:$A,A152)&gt;0),"非営業日","営業日")</f>
        <v/>
      </c>
      <c r="D152" s="97">
        <f>COUNTIFS(明細!$F$5:$F$363,A152,明細!$D$5:$D$363,"運用")</f>
        <v/>
      </c>
      <c r="E152" s="98">
        <f>COUNTIFS(明細!$G$5:$G$363,A152,明細!$D$5:$D$363,"運用")</f>
        <v/>
      </c>
      <c r="F152" s="99">
        <f>IF(D152=0,0,E152/D152)</f>
        <v/>
      </c>
      <c r="G152" s="100">
        <f>SUM($D$6:D152)</f>
        <v/>
      </c>
      <c r="H152" s="98">
        <f>SUM($E$6:E152)</f>
        <v/>
      </c>
      <c r="I152" s="99">
        <f>IF(G152=0,"",H152/G152)</f>
        <v/>
      </c>
      <c r="J152" s="101">
        <f>IF(A152&gt;$S$2,"予定",IF(G152=0,"－",IF(I152&gt;=1,"完了",IF(H152&gt;=G152,"順調","遅延"))))</f>
        <v/>
      </c>
      <c r="K152" s="97">
        <f>COUNTIFS(明細!$I$5:$I$363,A152,明細!$D$5:$D$363,"運用")</f>
        <v/>
      </c>
      <c r="L152" s="98">
        <f>COUNTIFS(明細!$J$5:$J$363,A152,明細!$D$5:$D$363,"運用")</f>
        <v/>
      </c>
      <c r="M152" s="99">
        <f>IF(K152=0,0,L152/K152)</f>
        <v/>
      </c>
      <c r="N152" s="100">
        <f>SUM($K$6:K152)</f>
        <v/>
      </c>
      <c r="O152" s="98">
        <f>SUM($L$6:L152)</f>
        <v/>
      </c>
      <c r="P152" s="99">
        <f>IF(N152=0,"",O152/N152)</f>
        <v/>
      </c>
      <c r="Q152" s="101">
        <f>IF(A152&gt;$S$2,"予定",IF(N152=0,"－",IF(P152&gt;=1,"完了",IF(O152&gt;=N152,"順調","遅延"))))</f>
        <v/>
      </c>
      <c r="R152" s="97">
        <f>D152+K152</f>
        <v/>
      </c>
      <c r="S152" s="102">
        <f>E152+L152</f>
        <v/>
      </c>
    </row>
    <row r="153">
      <c r="A153" s="94" t="n">
        <v>46152</v>
      </c>
      <c r="B153" s="95">
        <f>CHOOSE(WEEKDAY(A153,2),"月","火","水","木","金","土","日")</f>
        <v/>
      </c>
      <c r="C153" s="96">
        <f>IF(OR(WEEKDAY(A153,2)&gt;=6,COUNTIF(祝日マスタ!$A:$A,A153)&gt;0),"非営業日","営業日")</f>
        <v/>
      </c>
      <c r="D153" s="97">
        <f>COUNTIFS(明細!$F$5:$F$363,A153,明細!$D$5:$D$363,"運用")</f>
        <v/>
      </c>
      <c r="E153" s="98">
        <f>COUNTIFS(明細!$G$5:$G$363,A153,明細!$D$5:$D$363,"運用")</f>
        <v/>
      </c>
      <c r="F153" s="99">
        <f>IF(D153=0,0,E153/D153)</f>
        <v/>
      </c>
      <c r="G153" s="100">
        <f>SUM($D$6:D153)</f>
        <v/>
      </c>
      <c r="H153" s="98">
        <f>SUM($E$6:E153)</f>
        <v/>
      </c>
      <c r="I153" s="99">
        <f>IF(G153=0,"",H153/G153)</f>
        <v/>
      </c>
      <c r="J153" s="101">
        <f>IF(A153&gt;$S$2,"予定",IF(G153=0,"－",IF(I153&gt;=1,"完了",IF(H153&gt;=G153,"順調","遅延"))))</f>
        <v/>
      </c>
      <c r="K153" s="97">
        <f>COUNTIFS(明細!$I$5:$I$363,A153,明細!$D$5:$D$363,"運用")</f>
        <v/>
      </c>
      <c r="L153" s="98">
        <f>COUNTIFS(明細!$J$5:$J$363,A153,明細!$D$5:$D$363,"運用")</f>
        <v/>
      </c>
      <c r="M153" s="99">
        <f>IF(K153=0,0,L153/K153)</f>
        <v/>
      </c>
      <c r="N153" s="100">
        <f>SUM($K$6:K153)</f>
        <v/>
      </c>
      <c r="O153" s="98">
        <f>SUM($L$6:L153)</f>
        <v/>
      </c>
      <c r="P153" s="99">
        <f>IF(N153=0,"",O153/N153)</f>
        <v/>
      </c>
      <c r="Q153" s="101">
        <f>IF(A153&gt;$S$2,"予定",IF(N153=0,"－",IF(P153&gt;=1,"完了",IF(O153&gt;=N153,"順調","遅延"))))</f>
        <v/>
      </c>
      <c r="R153" s="97">
        <f>D153+K153</f>
        <v/>
      </c>
      <c r="S153" s="102">
        <f>E153+L153</f>
        <v/>
      </c>
    </row>
    <row r="154">
      <c r="A154" s="94" t="n">
        <v>46153</v>
      </c>
      <c r="B154" s="95">
        <f>CHOOSE(WEEKDAY(A154,2),"月","火","水","木","金","土","日")</f>
        <v/>
      </c>
      <c r="C154" s="96">
        <f>IF(OR(WEEKDAY(A154,2)&gt;=6,COUNTIF(祝日マスタ!$A:$A,A154)&gt;0),"非営業日","営業日")</f>
        <v/>
      </c>
      <c r="D154" s="97">
        <f>COUNTIFS(明細!$F$5:$F$363,A154,明細!$D$5:$D$363,"運用")</f>
        <v/>
      </c>
      <c r="E154" s="98">
        <f>COUNTIFS(明細!$G$5:$G$363,A154,明細!$D$5:$D$363,"運用")</f>
        <v/>
      </c>
      <c r="F154" s="99">
        <f>IF(D154=0,0,E154/D154)</f>
        <v/>
      </c>
      <c r="G154" s="100">
        <f>SUM($D$6:D154)</f>
        <v/>
      </c>
      <c r="H154" s="98">
        <f>SUM($E$6:E154)</f>
        <v/>
      </c>
      <c r="I154" s="99">
        <f>IF(G154=0,"",H154/G154)</f>
        <v/>
      </c>
      <c r="J154" s="101">
        <f>IF(A154&gt;$S$2,"予定",IF(G154=0,"－",IF(I154&gt;=1,"完了",IF(H154&gt;=G154,"順調","遅延"))))</f>
        <v/>
      </c>
      <c r="K154" s="97">
        <f>COUNTIFS(明細!$I$5:$I$363,A154,明細!$D$5:$D$363,"運用")</f>
        <v/>
      </c>
      <c r="L154" s="98">
        <f>COUNTIFS(明細!$J$5:$J$363,A154,明細!$D$5:$D$363,"運用")</f>
        <v/>
      </c>
      <c r="M154" s="99">
        <f>IF(K154=0,0,L154/K154)</f>
        <v/>
      </c>
      <c r="N154" s="100">
        <f>SUM($K$6:K154)</f>
        <v/>
      </c>
      <c r="O154" s="98">
        <f>SUM($L$6:L154)</f>
        <v/>
      </c>
      <c r="P154" s="99">
        <f>IF(N154=0,"",O154/N154)</f>
        <v/>
      </c>
      <c r="Q154" s="101">
        <f>IF(A154&gt;$S$2,"予定",IF(N154=0,"－",IF(P154&gt;=1,"完了",IF(O154&gt;=N154,"順調","遅延"))))</f>
        <v/>
      </c>
      <c r="R154" s="97">
        <f>D154+K154</f>
        <v/>
      </c>
      <c r="S154" s="102">
        <f>E154+L154</f>
        <v/>
      </c>
    </row>
    <row r="155">
      <c r="A155" s="94" t="n">
        <v>46154</v>
      </c>
      <c r="B155" s="95">
        <f>CHOOSE(WEEKDAY(A155,2),"月","火","水","木","金","土","日")</f>
        <v/>
      </c>
      <c r="C155" s="96">
        <f>IF(OR(WEEKDAY(A155,2)&gt;=6,COUNTIF(祝日マスタ!$A:$A,A155)&gt;0),"非営業日","営業日")</f>
        <v/>
      </c>
      <c r="D155" s="97">
        <f>COUNTIFS(明細!$F$5:$F$363,A155,明細!$D$5:$D$363,"運用")</f>
        <v/>
      </c>
      <c r="E155" s="98">
        <f>COUNTIFS(明細!$G$5:$G$363,A155,明細!$D$5:$D$363,"運用")</f>
        <v/>
      </c>
      <c r="F155" s="99">
        <f>IF(D155=0,0,E155/D155)</f>
        <v/>
      </c>
      <c r="G155" s="100">
        <f>SUM($D$6:D155)</f>
        <v/>
      </c>
      <c r="H155" s="98">
        <f>SUM($E$6:E155)</f>
        <v/>
      </c>
      <c r="I155" s="99">
        <f>IF(G155=0,"",H155/G155)</f>
        <v/>
      </c>
      <c r="J155" s="101">
        <f>IF(A155&gt;$S$2,"予定",IF(G155=0,"－",IF(I155&gt;=1,"完了",IF(H155&gt;=G155,"順調","遅延"))))</f>
        <v/>
      </c>
      <c r="K155" s="97">
        <f>COUNTIFS(明細!$I$5:$I$363,A155,明細!$D$5:$D$363,"運用")</f>
        <v/>
      </c>
      <c r="L155" s="98">
        <f>COUNTIFS(明細!$J$5:$J$363,A155,明細!$D$5:$D$363,"運用")</f>
        <v/>
      </c>
      <c r="M155" s="99">
        <f>IF(K155=0,0,L155/K155)</f>
        <v/>
      </c>
      <c r="N155" s="100">
        <f>SUM($K$6:K155)</f>
        <v/>
      </c>
      <c r="O155" s="98">
        <f>SUM($L$6:L155)</f>
        <v/>
      </c>
      <c r="P155" s="99">
        <f>IF(N155=0,"",O155/N155)</f>
        <v/>
      </c>
      <c r="Q155" s="101">
        <f>IF(A155&gt;$S$2,"予定",IF(N155=0,"－",IF(P155&gt;=1,"完了",IF(O155&gt;=N155,"順調","遅延"))))</f>
        <v/>
      </c>
      <c r="R155" s="97">
        <f>D155+K155</f>
        <v/>
      </c>
      <c r="S155" s="102">
        <f>E155+L155</f>
        <v/>
      </c>
    </row>
    <row r="156">
      <c r="A156" s="94" t="n">
        <v>46155</v>
      </c>
      <c r="B156" s="95">
        <f>CHOOSE(WEEKDAY(A156,2),"月","火","水","木","金","土","日")</f>
        <v/>
      </c>
      <c r="C156" s="96">
        <f>IF(OR(WEEKDAY(A156,2)&gt;=6,COUNTIF(祝日マスタ!$A:$A,A156)&gt;0),"非営業日","営業日")</f>
        <v/>
      </c>
      <c r="D156" s="97">
        <f>COUNTIFS(明細!$F$5:$F$363,A156,明細!$D$5:$D$363,"運用")</f>
        <v/>
      </c>
      <c r="E156" s="98">
        <f>COUNTIFS(明細!$G$5:$G$363,A156,明細!$D$5:$D$363,"運用")</f>
        <v/>
      </c>
      <c r="F156" s="99">
        <f>IF(D156=0,0,E156/D156)</f>
        <v/>
      </c>
      <c r="G156" s="100">
        <f>SUM($D$6:D156)</f>
        <v/>
      </c>
      <c r="H156" s="98">
        <f>SUM($E$6:E156)</f>
        <v/>
      </c>
      <c r="I156" s="99">
        <f>IF(G156=0,"",H156/G156)</f>
        <v/>
      </c>
      <c r="J156" s="101">
        <f>IF(A156&gt;$S$2,"予定",IF(G156=0,"－",IF(I156&gt;=1,"完了",IF(H156&gt;=G156,"順調","遅延"))))</f>
        <v/>
      </c>
      <c r="K156" s="97">
        <f>COUNTIFS(明細!$I$5:$I$363,A156,明細!$D$5:$D$363,"運用")</f>
        <v/>
      </c>
      <c r="L156" s="98">
        <f>COUNTIFS(明細!$J$5:$J$363,A156,明細!$D$5:$D$363,"運用")</f>
        <v/>
      </c>
      <c r="M156" s="99">
        <f>IF(K156=0,0,L156/K156)</f>
        <v/>
      </c>
      <c r="N156" s="100">
        <f>SUM($K$6:K156)</f>
        <v/>
      </c>
      <c r="O156" s="98">
        <f>SUM($L$6:L156)</f>
        <v/>
      </c>
      <c r="P156" s="99">
        <f>IF(N156=0,"",O156/N156)</f>
        <v/>
      </c>
      <c r="Q156" s="101">
        <f>IF(A156&gt;$S$2,"予定",IF(N156=0,"－",IF(P156&gt;=1,"完了",IF(O156&gt;=N156,"順調","遅延"))))</f>
        <v/>
      </c>
      <c r="R156" s="97">
        <f>D156+K156</f>
        <v/>
      </c>
      <c r="S156" s="102">
        <f>E156+L156</f>
        <v/>
      </c>
    </row>
    <row r="157">
      <c r="A157" s="94" t="n">
        <v>46156</v>
      </c>
      <c r="B157" s="95">
        <f>CHOOSE(WEEKDAY(A157,2),"月","火","水","木","金","土","日")</f>
        <v/>
      </c>
      <c r="C157" s="96">
        <f>IF(OR(WEEKDAY(A157,2)&gt;=6,COUNTIF(祝日マスタ!$A:$A,A157)&gt;0),"非営業日","営業日")</f>
        <v/>
      </c>
      <c r="D157" s="97">
        <f>COUNTIFS(明細!$F$5:$F$363,A157,明細!$D$5:$D$363,"運用")</f>
        <v/>
      </c>
      <c r="E157" s="98">
        <f>COUNTIFS(明細!$G$5:$G$363,A157,明細!$D$5:$D$363,"運用")</f>
        <v/>
      </c>
      <c r="F157" s="99">
        <f>IF(D157=0,0,E157/D157)</f>
        <v/>
      </c>
      <c r="G157" s="100">
        <f>SUM($D$6:D157)</f>
        <v/>
      </c>
      <c r="H157" s="98">
        <f>SUM($E$6:E157)</f>
        <v/>
      </c>
      <c r="I157" s="99">
        <f>IF(G157=0,"",H157/G157)</f>
        <v/>
      </c>
      <c r="J157" s="101">
        <f>IF(A157&gt;$S$2,"予定",IF(G157=0,"－",IF(I157&gt;=1,"完了",IF(H157&gt;=G157,"順調","遅延"))))</f>
        <v/>
      </c>
      <c r="K157" s="97">
        <f>COUNTIFS(明細!$I$5:$I$363,A157,明細!$D$5:$D$363,"運用")</f>
        <v/>
      </c>
      <c r="L157" s="98">
        <f>COUNTIFS(明細!$J$5:$J$363,A157,明細!$D$5:$D$363,"運用")</f>
        <v/>
      </c>
      <c r="M157" s="99">
        <f>IF(K157=0,0,L157/K157)</f>
        <v/>
      </c>
      <c r="N157" s="100">
        <f>SUM($K$6:K157)</f>
        <v/>
      </c>
      <c r="O157" s="98">
        <f>SUM($L$6:L157)</f>
        <v/>
      </c>
      <c r="P157" s="99">
        <f>IF(N157=0,"",O157/N157)</f>
        <v/>
      </c>
      <c r="Q157" s="101">
        <f>IF(A157&gt;$S$2,"予定",IF(N157=0,"－",IF(P157&gt;=1,"完了",IF(O157&gt;=N157,"順調","遅延"))))</f>
        <v/>
      </c>
      <c r="R157" s="97">
        <f>D157+K157</f>
        <v/>
      </c>
      <c r="S157" s="102">
        <f>E157+L157</f>
        <v/>
      </c>
    </row>
    <row r="158">
      <c r="A158" s="94" t="n">
        <v>46157</v>
      </c>
      <c r="B158" s="95">
        <f>CHOOSE(WEEKDAY(A158,2),"月","火","水","木","金","土","日")</f>
        <v/>
      </c>
      <c r="C158" s="96">
        <f>IF(OR(WEEKDAY(A158,2)&gt;=6,COUNTIF(祝日マスタ!$A:$A,A158)&gt;0),"非営業日","営業日")</f>
        <v/>
      </c>
      <c r="D158" s="97">
        <f>COUNTIFS(明細!$F$5:$F$363,A158,明細!$D$5:$D$363,"運用")</f>
        <v/>
      </c>
      <c r="E158" s="98">
        <f>COUNTIFS(明細!$G$5:$G$363,A158,明細!$D$5:$D$363,"運用")</f>
        <v/>
      </c>
      <c r="F158" s="99">
        <f>IF(D158=0,0,E158/D158)</f>
        <v/>
      </c>
      <c r="G158" s="100">
        <f>SUM($D$6:D158)</f>
        <v/>
      </c>
      <c r="H158" s="98">
        <f>SUM($E$6:E158)</f>
        <v/>
      </c>
      <c r="I158" s="99">
        <f>IF(G158=0,"",H158/G158)</f>
        <v/>
      </c>
      <c r="J158" s="101">
        <f>IF(A158&gt;$S$2,"予定",IF(G158=0,"－",IF(I158&gt;=1,"完了",IF(H158&gt;=G158,"順調","遅延"))))</f>
        <v/>
      </c>
      <c r="K158" s="97">
        <f>COUNTIFS(明細!$I$5:$I$363,A158,明細!$D$5:$D$363,"運用")</f>
        <v/>
      </c>
      <c r="L158" s="98">
        <f>COUNTIFS(明細!$J$5:$J$363,A158,明細!$D$5:$D$363,"運用")</f>
        <v/>
      </c>
      <c r="M158" s="99">
        <f>IF(K158=0,0,L158/K158)</f>
        <v/>
      </c>
      <c r="N158" s="100">
        <f>SUM($K$6:K158)</f>
        <v/>
      </c>
      <c r="O158" s="98">
        <f>SUM($L$6:L158)</f>
        <v/>
      </c>
      <c r="P158" s="99">
        <f>IF(N158=0,"",O158/N158)</f>
        <v/>
      </c>
      <c r="Q158" s="101">
        <f>IF(A158&gt;$S$2,"予定",IF(N158=0,"－",IF(P158&gt;=1,"完了",IF(O158&gt;=N158,"順調","遅延"))))</f>
        <v/>
      </c>
      <c r="R158" s="97">
        <f>D158+K158</f>
        <v/>
      </c>
      <c r="S158" s="102">
        <f>E158+L158</f>
        <v/>
      </c>
    </row>
    <row r="159">
      <c r="A159" s="94" t="n">
        <v>46158</v>
      </c>
      <c r="B159" s="95">
        <f>CHOOSE(WEEKDAY(A159,2),"月","火","水","木","金","土","日")</f>
        <v/>
      </c>
      <c r="C159" s="96">
        <f>IF(OR(WEEKDAY(A159,2)&gt;=6,COUNTIF(祝日マスタ!$A:$A,A159)&gt;0),"非営業日","営業日")</f>
        <v/>
      </c>
      <c r="D159" s="97">
        <f>COUNTIFS(明細!$F$5:$F$363,A159,明細!$D$5:$D$363,"運用")</f>
        <v/>
      </c>
      <c r="E159" s="98">
        <f>COUNTIFS(明細!$G$5:$G$363,A159,明細!$D$5:$D$363,"運用")</f>
        <v/>
      </c>
      <c r="F159" s="99">
        <f>IF(D159=0,0,E159/D159)</f>
        <v/>
      </c>
      <c r="G159" s="100">
        <f>SUM($D$6:D159)</f>
        <v/>
      </c>
      <c r="H159" s="98">
        <f>SUM($E$6:E159)</f>
        <v/>
      </c>
      <c r="I159" s="99">
        <f>IF(G159=0,"",H159/G159)</f>
        <v/>
      </c>
      <c r="J159" s="101">
        <f>IF(A159&gt;$S$2,"予定",IF(G159=0,"－",IF(I159&gt;=1,"完了",IF(H159&gt;=G159,"順調","遅延"))))</f>
        <v/>
      </c>
      <c r="K159" s="97">
        <f>COUNTIFS(明細!$I$5:$I$363,A159,明細!$D$5:$D$363,"運用")</f>
        <v/>
      </c>
      <c r="L159" s="98">
        <f>COUNTIFS(明細!$J$5:$J$363,A159,明細!$D$5:$D$363,"運用")</f>
        <v/>
      </c>
      <c r="M159" s="99">
        <f>IF(K159=0,0,L159/K159)</f>
        <v/>
      </c>
      <c r="N159" s="100">
        <f>SUM($K$6:K159)</f>
        <v/>
      </c>
      <c r="O159" s="98">
        <f>SUM($L$6:L159)</f>
        <v/>
      </c>
      <c r="P159" s="99">
        <f>IF(N159=0,"",O159/N159)</f>
        <v/>
      </c>
      <c r="Q159" s="101">
        <f>IF(A159&gt;$S$2,"予定",IF(N159=0,"－",IF(P159&gt;=1,"完了",IF(O159&gt;=N159,"順調","遅延"))))</f>
        <v/>
      </c>
      <c r="R159" s="97">
        <f>D159+K159</f>
        <v/>
      </c>
      <c r="S159" s="102">
        <f>E159+L159</f>
        <v/>
      </c>
    </row>
    <row r="160">
      <c r="A160" s="94" t="n">
        <v>46159</v>
      </c>
      <c r="B160" s="95">
        <f>CHOOSE(WEEKDAY(A160,2),"月","火","水","木","金","土","日")</f>
        <v/>
      </c>
      <c r="C160" s="96">
        <f>IF(OR(WEEKDAY(A160,2)&gt;=6,COUNTIF(祝日マスタ!$A:$A,A160)&gt;0),"非営業日","営業日")</f>
        <v/>
      </c>
      <c r="D160" s="97">
        <f>COUNTIFS(明細!$F$5:$F$363,A160,明細!$D$5:$D$363,"運用")</f>
        <v/>
      </c>
      <c r="E160" s="98">
        <f>COUNTIFS(明細!$G$5:$G$363,A160,明細!$D$5:$D$363,"運用")</f>
        <v/>
      </c>
      <c r="F160" s="99">
        <f>IF(D160=0,0,E160/D160)</f>
        <v/>
      </c>
      <c r="G160" s="100">
        <f>SUM($D$6:D160)</f>
        <v/>
      </c>
      <c r="H160" s="98">
        <f>SUM($E$6:E160)</f>
        <v/>
      </c>
      <c r="I160" s="99">
        <f>IF(G160=0,"",H160/G160)</f>
        <v/>
      </c>
      <c r="J160" s="101">
        <f>IF(A160&gt;$S$2,"予定",IF(G160=0,"－",IF(I160&gt;=1,"完了",IF(H160&gt;=G160,"順調","遅延"))))</f>
        <v/>
      </c>
      <c r="K160" s="97">
        <f>COUNTIFS(明細!$I$5:$I$363,A160,明細!$D$5:$D$363,"運用")</f>
        <v/>
      </c>
      <c r="L160" s="98">
        <f>COUNTIFS(明細!$J$5:$J$363,A160,明細!$D$5:$D$363,"運用")</f>
        <v/>
      </c>
      <c r="M160" s="99">
        <f>IF(K160=0,0,L160/K160)</f>
        <v/>
      </c>
      <c r="N160" s="100">
        <f>SUM($K$6:K160)</f>
        <v/>
      </c>
      <c r="O160" s="98">
        <f>SUM($L$6:L160)</f>
        <v/>
      </c>
      <c r="P160" s="99">
        <f>IF(N160=0,"",O160/N160)</f>
        <v/>
      </c>
      <c r="Q160" s="101">
        <f>IF(A160&gt;$S$2,"予定",IF(N160=0,"－",IF(P160&gt;=1,"完了",IF(O160&gt;=N160,"順調","遅延"))))</f>
        <v/>
      </c>
      <c r="R160" s="97">
        <f>D160+K160</f>
        <v/>
      </c>
      <c r="S160" s="102">
        <f>E160+L160</f>
        <v/>
      </c>
    </row>
    <row r="161">
      <c r="A161" s="94" t="n">
        <v>46160</v>
      </c>
      <c r="B161" s="95">
        <f>CHOOSE(WEEKDAY(A161,2),"月","火","水","木","金","土","日")</f>
        <v/>
      </c>
      <c r="C161" s="96">
        <f>IF(OR(WEEKDAY(A161,2)&gt;=6,COUNTIF(祝日マスタ!$A:$A,A161)&gt;0),"非営業日","営業日")</f>
        <v/>
      </c>
      <c r="D161" s="97">
        <f>COUNTIFS(明細!$F$5:$F$363,A161,明細!$D$5:$D$363,"運用")</f>
        <v/>
      </c>
      <c r="E161" s="98">
        <f>COUNTIFS(明細!$G$5:$G$363,A161,明細!$D$5:$D$363,"運用")</f>
        <v/>
      </c>
      <c r="F161" s="99">
        <f>IF(D161=0,0,E161/D161)</f>
        <v/>
      </c>
      <c r="G161" s="100">
        <f>SUM($D$6:D161)</f>
        <v/>
      </c>
      <c r="H161" s="98">
        <f>SUM($E$6:E161)</f>
        <v/>
      </c>
      <c r="I161" s="99">
        <f>IF(G161=0,"",H161/G161)</f>
        <v/>
      </c>
      <c r="J161" s="101">
        <f>IF(A161&gt;$S$2,"予定",IF(G161=0,"－",IF(I161&gt;=1,"完了",IF(H161&gt;=G161,"順調","遅延"))))</f>
        <v/>
      </c>
      <c r="K161" s="97">
        <f>COUNTIFS(明細!$I$5:$I$363,A161,明細!$D$5:$D$363,"運用")</f>
        <v/>
      </c>
      <c r="L161" s="98">
        <f>COUNTIFS(明細!$J$5:$J$363,A161,明細!$D$5:$D$363,"運用")</f>
        <v/>
      </c>
      <c r="M161" s="99">
        <f>IF(K161=0,0,L161/K161)</f>
        <v/>
      </c>
      <c r="N161" s="100">
        <f>SUM($K$6:K161)</f>
        <v/>
      </c>
      <c r="O161" s="98">
        <f>SUM($L$6:L161)</f>
        <v/>
      </c>
      <c r="P161" s="99">
        <f>IF(N161=0,"",O161/N161)</f>
        <v/>
      </c>
      <c r="Q161" s="101">
        <f>IF(A161&gt;$S$2,"予定",IF(N161=0,"－",IF(P161&gt;=1,"完了",IF(O161&gt;=N161,"順調","遅延"))))</f>
        <v/>
      </c>
      <c r="R161" s="97">
        <f>D161+K161</f>
        <v/>
      </c>
      <c r="S161" s="102">
        <f>E161+L161</f>
        <v/>
      </c>
    </row>
    <row r="162">
      <c r="A162" s="94" t="n">
        <v>46161</v>
      </c>
      <c r="B162" s="95">
        <f>CHOOSE(WEEKDAY(A162,2),"月","火","水","木","金","土","日")</f>
        <v/>
      </c>
      <c r="C162" s="96">
        <f>IF(OR(WEEKDAY(A162,2)&gt;=6,COUNTIF(祝日マスタ!$A:$A,A162)&gt;0),"非営業日","営業日")</f>
        <v/>
      </c>
      <c r="D162" s="97">
        <f>COUNTIFS(明細!$F$5:$F$363,A162,明細!$D$5:$D$363,"運用")</f>
        <v/>
      </c>
      <c r="E162" s="98">
        <f>COUNTIFS(明細!$G$5:$G$363,A162,明細!$D$5:$D$363,"運用")</f>
        <v/>
      </c>
      <c r="F162" s="99">
        <f>IF(D162=0,0,E162/D162)</f>
        <v/>
      </c>
      <c r="G162" s="100">
        <f>SUM($D$6:D162)</f>
        <v/>
      </c>
      <c r="H162" s="98">
        <f>SUM($E$6:E162)</f>
        <v/>
      </c>
      <c r="I162" s="99">
        <f>IF(G162=0,"",H162/G162)</f>
        <v/>
      </c>
      <c r="J162" s="101">
        <f>IF(A162&gt;$S$2,"予定",IF(G162=0,"－",IF(I162&gt;=1,"完了",IF(H162&gt;=G162,"順調","遅延"))))</f>
        <v/>
      </c>
      <c r="K162" s="97">
        <f>COUNTIFS(明細!$I$5:$I$363,A162,明細!$D$5:$D$363,"運用")</f>
        <v/>
      </c>
      <c r="L162" s="98">
        <f>COUNTIFS(明細!$J$5:$J$363,A162,明細!$D$5:$D$363,"運用")</f>
        <v/>
      </c>
      <c r="M162" s="99">
        <f>IF(K162=0,0,L162/K162)</f>
        <v/>
      </c>
      <c r="N162" s="100">
        <f>SUM($K$6:K162)</f>
        <v/>
      </c>
      <c r="O162" s="98">
        <f>SUM($L$6:L162)</f>
        <v/>
      </c>
      <c r="P162" s="99">
        <f>IF(N162=0,"",O162/N162)</f>
        <v/>
      </c>
      <c r="Q162" s="101">
        <f>IF(A162&gt;$S$2,"予定",IF(N162=0,"－",IF(P162&gt;=1,"完了",IF(O162&gt;=N162,"順調","遅延"))))</f>
        <v/>
      </c>
      <c r="R162" s="97">
        <f>D162+K162</f>
        <v/>
      </c>
      <c r="S162" s="102">
        <f>E162+L162</f>
        <v/>
      </c>
    </row>
    <row r="163">
      <c r="A163" s="94" t="n">
        <v>46162</v>
      </c>
      <c r="B163" s="95">
        <f>CHOOSE(WEEKDAY(A163,2),"月","火","水","木","金","土","日")</f>
        <v/>
      </c>
      <c r="C163" s="96">
        <f>IF(OR(WEEKDAY(A163,2)&gt;=6,COUNTIF(祝日マスタ!$A:$A,A163)&gt;0),"非営業日","営業日")</f>
        <v/>
      </c>
      <c r="D163" s="97">
        <f>COUNTIFS(明細!$F$5:$F$363,A163,明細!$D$5:$D$363,"運用")</f>
        <v/>
      </c>
      <c r="E163" s="98">
        <f>COUNTIFS(明細!$G$5:$G$363,A163,明細!$D$5:$D$363,"運用")</f>
        <v/>
      </c>
      <c r="F163" s="99">
        <f>IF(D163=0,0,E163/D163)</f>
        <v/>
      </c>
      <c r="G163" s="100">
        <f>SUM($D$6:D163)</f>
        <v/>
      </c>
      <c r="H163" s="98">
        <f>SUM($E$6:E163)</f>
        <v/>
      </c>
      <c r="I163" s="99">
        <f>IF(G163=0,"",H163/G163)</f>
        <v/>
      </c>
      <c r="J163" s="101">
        <f>IF(A163&gt;$S$2,"予定",IF(G163=0,"－",IF(I163&gt;=1,"完了",IF(H163&gt;=G163,"順調","遅延"))))</f>
        <v/>
      </c>
      <c r="K163" s="97">
        <f>COUNTIFS(明細!$I$5:$I$363,A163,明細!$D$5:$D$363,"運用")</f>
        <v/>
      </c>
      <c r="L163" s="98">
        <f>COUNTIFS(明細!$J$5:$J$363,A163,明細!$D$5:$D$363,"運用")</f>
        <v/>
      </c>
      <c r="M163" s="99">
        <f>IF(K163=0,0,L163/K163)</f>
        <v/>
      </c>
      <c r="N163" s="100">
        <f>SUM($K$6:K163)</f>
        <v/>
      </c>
      <c r="O163" s="98">
        <f>SUM($L$6:L163)</f>
        <v/>
      </c>
      <c r="P163" s="99">
        <f>IF(N163=0,"",O163/N163)</f>
        <v/>
      </c>
      <c r="Q163" s="101">
        <f>IF(A163&gt;$S$2,"予定",IF(N163=0,"－",IF(P163&gt;=1,"完了",IF(O163&gt;=N163,"順調","遅延"))))</f>
        <v/>
      </c>
      <c r="R163" s="97">
        <f>D163+K163</f>
        <v/>
      </c>
      <c r="S163" s="102">
        <f>E163+L163</f>
        <v/>
      </c>
    </row>
    <row r="164">
      <c r="A164" s="94" t="n">
        <v>46163</v>
      </c>
      <c r="B164" s="95">
        <f>CHOOSE(WEEKDAY(A164,2),"月","火","水","木","金","土","日")</f>
        <v/>
      </c>
      <c r="C164" s="96">
        <f>IF(OR(WEEKDAY(A164,2)&gt;=6,COUNTIF(祝日マスタ!$A:$A,A164)&gt;0),"非営業日","営業日")</f>
        <v/>
      </c>
      <c r="D164" s="97">
        <f>COUNTIFS(明細!$F$5:$F$363,A164,明細!$D$5:$D$363,"運用")</f>
        <v/>
      </c>
      <c r="E164" s="98">
        <f>COUNTIFS(明細!$G$5:$G$363,A164,明細!$D$5:$D$363,"運用")</f>
        <v/>
      </c>
      <c r="F164" s="99">
        <f>IF(D164=0,0,E164/D164)</f>
        <v/>
      </c>
      <c r="G164" s="100">
        <f>SUM($D$6:D164)</f>
        <v/>
      </c>
      <c r="H164" s="98">
        <f>SUM($E$6:E164)</f>
        <v/>
      </c>
      <c r="I164" s="99">
        <f>IF(G164=0,"",H164/G164)</f>
        <v/>
      </c>
      <c r="J164" s="101">
        <f>IF(A164&gt;$S$2,"予定",IF(G164=0,"－",IF(I164&gt;=1,"完了",IF(H164&gt;=G164,"順調","遅延"))))</f>
        <v/>
      </c>
      <c r="K164" s="97">
        <f>COUNTIFS(明細!$I$5:$I$363,A164,明細!$D$5:$D$363,"運用")</f>
        <v/>
      </c>
      <c r="L164" s="98">
        <f>COUNTIFS(明細!$J$5:$J$363,A164,明細!$D$5:$D$363,"運用")</f>
        <v/>
      </c>
      <c r="M164" s="99">
        <f>IF(K164=0,0,L164/K164)</f>
        <v/>
      </c>
      <c r="N164" s="100">
        <f>SUM($K$6:K164)</f>
        <v/>
      </c>
      <c r="O164" s="98">
        <f>SUM($L$6:L164)</f>
        <v/>
      </c>
      <c r="P164" s="99">
        <f>IF(N164=0,"",O164/N164)</f>
        <v/>
      </c>
      <c r="Q164" s="101">
        <f>IF(A164&gt;$S$2,"予定",IF(N164=0,"－",IF(P164&gt;=1,"完了",IF(O164&gt;=N164,"順調","遅延"))))</f>
        <v/>
      </c>
      <c r="R164" s="97">
        <f>D164+K164</f>
        <v/>
      </c>
      <c r="S164" s="102">
        <f>E164+L164</f>
        <v/>
      </c>
    </row>
    <row r="165">
      <c r="A165" s="94" t="n">
        <v>46164</v>
      </c>
      <c r="B165" s="95">
        <f>CHOOSE(WEEKDAY(A165,2),"月","火","水","木","金","土","日")</f>
        <v/>
      </c>
      <c r="C165" s="96">
        <f>IF(OR(WEEKDAY(A165,2)&gt;=6,COUNTIF(祝日マスタ!$A:$A,A165)&gt;0),"非営業日","営業日")</f>
        <v/>
      </c>
      <c r="D165" s="97">
        <f>COUNTIFS(明細!$F$5:$F$363,A165,明細!$D$5:$D$363,"運用")</f>
        <v/>
      </c>
      <c r="E165" s="98">
        <f>COUNTIFS(明細!$G$5:$G$363,A165,明細!$D$5:$D$363,"運用")</f>
        <v/>
      </c>
      <c r="F165" s="99">
        <f>IF(D165=0,0,E165/D165)</f>
        <v/>
      </c>
      <c r="G165" s="100">
        <f>SUM($D$6:D165)</f>
        <v/>
      </c>
      <c r="H165" s="98">
        <f>SUM($E$6:E165)</f>
        <v/>
      </c>
      <c r="I165" s="99">
        <f>IF(G165=0,"",H165/G165)</f>
        <v/>
      </c>
      <c r="J165" s="101">
        <f>IF(A165&gt;$S$2,"予定",IF(G165=0,"－",IF(I165&gt;=1,"完了",IF(H165&gt;=G165,"順調","遅延"))))</f>
        <v/>
      </c>
      <c r="K165" s="97">
        <f>COUNTIFS(明細!$I$5:$I$363,A165,明細!$D$5:$D$363,"運用")</f>
        <v/>
      </c>
      <c r="L165" s="98">
        <f>COUNTIFS(明細!$J$5:$J$363,A165,明細!$D$5:$D$363,"運用")</f>
        <v/>
      </c>
      <c r="M165" s="99">
        <f>IF(K165=0,0,L165/K165)</f>
        <v/>
      </c>
      <c r="N165" s="100">
        <f>SUM($K$6:K165)</f>
        <v/>
      </c>
      <c r="O165" s="98">
        <f>SUM($L$6:L165)</f>
        <v/>
      </c>
      <c r="P165" s="99">
        <f>IF(N165=0,"",O165/N165)</f>
        <v/>
      </c>
      <c r="Q165" s="101">
        <f>IF(A165&gt;$S$2,"予定",IF(N165=0,"－",IF(P165&gt;=1,"完了",IF(O165&gt;=N165,"順調","遅延"))))</f>
        <v/>
      </c>
      <c r="R165" s="97">
        <f>D165+K165</f>
        <v/>
      </c>
      <c r="S165" s="102">
        <f>E165+L165</f>
        <v/>
      </c>
    </row>
    <row r="166">
      <c r="A166" s="94" t="n">
        <v>46165</v>
      </c>
      <c r="B166" s="95">
        <f>CHOOSE(WEEKDAY(A166,2),"月","火","水","木","金","土","日")</f>
        <v/>
      </c>
      <c r="C166" s="96">
        <f>IF(OR(WEEKDAY(A166,2)&gt;=6,COUNTIF(祝日マスタ!$A:$A,A166)&gt;0),"非営業日","営業日")</f>
        <v/>
      </c>
      <c r="D166" s="97">
        <f>COUNTIFS(明細!$F$5:$F$363,A166,明細!$D$5:$D$363,"運用")</f>
        <v/>
      </c>
      <c r="E166" s="98">
        <f>COUNTIFS(明細!$G$5:$G$363,A166,明細!$D$5:$D$363,"運用")</f>
        <v/>
      </c>
      <c r="F166" s="99">
        <f>IF(D166=0,0,E166/D166)</f>
        <v/>
      </c>
      <c r="G166" s="100">
        <f>SUM($D$6:D166)</f>
        <v/>
      </c>
      <c r="H166" s="98">
        <f>SUM($E$6:E166)</f>
        <v/>
      </c>
      <c r="I166" s="99">
        <f>IF(G166=0,"",H166/G166)</f>
        <v/>
      </c>
      <c r="J166" s="101">
        <f>IF(A166&gt;$S$2,"予定",IF(G166=0,"－",IF(I166&gt;=1,"完了",IF(H166&gt;=G166,"順調","遅延"))))</f>
        <v/>
      </c>
      <c r="K166" s="97">
        <f>COUNTIFS(明細!$I$5:$I$363,A166,明細!$D$5:$D$363,"運用")</f>
        <v/>
      </c>
      <c r="L166" s="98">
        <f>COUNTIFS(明細!$J$5:$J$363,A166,明細!$D$5:$D$363,"運用")</f>
        <v/>
      </c>
      <c r="M166" s="99">
        <f>IF(K166=0,0,L166/K166)</f>
        <v/>
      </c>
      <c r="N166" s="100">
        <f>SUM($K$6:K166)</f>
        <v/>
      </c>
      <c r="O166" s="98">
        <f>SUM($L$6:L166)</f>
        <v/>
      </c>
      <c r="P166" s="99">
        <f>IF(N166=0,"",O166/N166)</f>
        <v/>
      </c>
      <c r="Q166" s="101">
        <f>IF(A166&gt;$S$2,"予定",IF(N166=0,"－",IF(P166&gt;=1,"完了",IF(O166&gt;=N166,"順調","遅延"))))</f>
        <v/>
      </c>
      <c r="R166" s="97">
        <f>D166+K166</f>
        <v/>
      </c>
      <c r="S166" s="102">
        <f>E166+L166</f>
        <v/>
      </c>
    </row>
    <row r="167">
      <c r="A167" s="94" t="n">
        <v>46166</v>
      </c>
      <c r="B167" s="95">
        <f>CHOOSE(WEEKDAY(A167,2),"月","火","水","木","金","土","日")</f>
        <v/>
      </c>
      <c r="C167" s="96">
        <f>IF(OR(WEEKDAY(A167,2)&gt;=6,COUNTIF(祝日マスタ!$A:$A,A167)&gt;0),"非営業日","営業日")</f>
        <v/>
      </c>
      <c r="D167" s="97">
        <f>COUNTIFS(明細!$F$5:$F$363,A167,明細!$D$5:$D$363,"運用")</f>
        <v/>
      </c>
      <c r="E167" s="98">
        <f>COUNTIFS(明細!$G$5:$G$363,A167,明細!$D$5:$D$363,"運用")</f>
        <v/>
      </c>
      <c r="F167" s="99">
        <f>IF(D167=0,0,E167/D167)</f>
        <v/>
      </c>
      <c r="G167" s="100">
        <f>SUM($D$6:D167)</f>
        <v/>
      </c>
      <c r="H167" s="98">
        <f>SUM($E$6:E167)</f>
        <v/>
      </c>
      <c r="I167" s="99">
        <f>IF(G167=0,"",H167/G167)</f>
        <v/>
      </c>
      <c r="J167" s="101">
        <f>IF(A167&gt;$S$2,"予定",IF(G167=0,"－",IF(I167&gt;=1,"完了",IF(H167&gt;=G167,"順調","遅延"))))</f>
        <v/>
      </c>
      <c r="K167" s="97">
        <f>COUNTIFS(明細!$I$5:$I$363,A167,明細!$D$5:$D$363,"運用")</f>
        <v/>
      </c>
      <c r="L167" s="98">
        <f>COUNTIFS(明細!$J$5:$J$363,A167,明細!$D$5:$D$363,"運用")</f>
        <v/>
      </c>
      <c r="M167" s="99">
        <f>IF(K167=0,0,L167/K167)</f>
        <v/>
      </c>
      <c r="N167" s="100">
        <f>SUM($K$6:K167)</f>
        <v/>
      </c>
      <c r="O167" s="98">
        <f>SUM($L$6:L167)</f>
        <v/>
      </c>
      <c r="P167" s="99">
        <f>IF(N167=0,"",O167/N167)</f>
        <v/>
      </c>
      <c r="Q167" s="101">
        <f>IF(A167&gt;$S$2,"予定",IF(N167=0,"－",IF(P167&gt;=1,"完了",IF(O167&gt;=N167,"順調","遅延"))))</f>
        <v/>
      </c>
      <c r="R167" s="97">
        <f>D167+K167</f>
        <v/>
      </c>
      <c r="S167" s="102">
        <f>E167+L167</f>
        <v/>
      </c>
    </row>
    <row r="168">
      <c r="A168" s="94" t="n">
        <v>46167</v>
      </c>
      <c r="B168" s="95">
        <f>CHOOSE(WEEKDAY(A168,2),"月","火","水","木","金","土","日")</f>
        <v/>
      </c>
      <c r="C168" s="96">
        <f>IF(OR(WEEKDAY(A168,2)&gt;=6,COUNTIF(祝日マスタ!$A:$A,A168)&gt;0),"非営業日","営業日")</f>
        <v/>
      </c>
      <c r="D168" s="97">
        <f>COUNTIFS(明細!$F$5:$F$363,A168,明細!$D$5:$D$363,"運用")</f>
        <v/>
      </c>
      <c r="E168" s="98">
        <f>COUNTIFS(明細!$G$5:$G$363,A168,明細!$D$5:$D$363,"運用")</f>
        <v/>
      </c>
      <c r="F168" s="99">
        <f>IF(D168=0,0,E168/D168)</f>
        <v/>
      </c>
      <c r="G168" s="100">
        <f>SUM($D$6:D168)</f>
        <v/>
      </c>
      <c r="H168" s="98">
        <f>SUM($E$6:E168)</f>
        <v/>
      </c>
      <c r="I168" s="99">
        <f>IF(G168=0,"",H168/G168)</f>
        <v/>
      </c>
      <c r="J168" s="101">
        <f>IF(A168&gt;$S$2,"予定",IF(G168=0,"－",IF(I168&gt;=1,"完了",IF(H168&gt;=G168,"順調","遅延"))))</f>
        <v/>
      </c>
      <c r="K168" s="97">
        <f>COUNTIFS(明細!$I$5:$I$363,A168,明細!$D$5:$D$363,"運用")</f>
        <v/>
      </c>
      <c r="L168" s="98">
        <f>COUNTIFS(明細!$J$5:$J$363,A168,明細!$D$5:$D$363,"運用")</f>
        <v/>
      </c>
      <c r="M168" s="99">
        <f>IF(K168=0,0,L168/K168)</f>
        <v/>
      </c>
      <c r="N168" s="100">
        <f>SUM($K$6:K168)</f>
        <v/>
      </c>
      <c r="O168" s="98">
        <f>SUM($L$6:L168)</f>
        <v/>
      </c>
      <c r="P168" s="99">
        <f>IF(N168=0,"",O168/N168)</f>
        <v/>
      </c>
      <c r="Q168" s="101">
        <f>IF(A168&gt;$S$2,"予定",IF(N168=0,"－",IF(P168&gt;=1,"完了",IF(O168&gt;=N168,"順調","遅延"))))</f>
        <v/>
      </c>
      <c r="R168" s="97">
        <f>D168+K168</f>
        <v/>
      </c>
      <c r="S168" s="102">
        <f>E168+L168</f>
        <v/>
      </c>
    </row>
    <row r="169">
      <c r="A169" s="94" t="n">
        <v>46168</v>
      </c>
      <c r="B169" s="95">
        <f>CHOOSE(WEEKDAY(A169,2),"月","火","水","木","金","土","日")</f>
        <v/>
      </c>
      <c r="C169" s="96">
        <f>IF(OR(WEEKDAY(A169,2)&gt;=6,COUNTIF(祝日マスタ!$A:$A,A169)&gt;0),"非営業日","営業日")</f>
        <v/>
      </c>
      <c r="D169" s="97">
        <f>COUNTIFS(明細!$F$5:$F$363,A169,明細!$D$5:$D$363,"運用")</f>
        <v/>
      </c>
      <c r="E169" s="98">
        <f>COUNTIFS(明細!$G$5:$G$363,A169,明細!$D$5:$D$363,"運用")</f>
        <v/>
      </c>
      <c r="F169" s="99">
        <f>IF(D169=0,0,E169/D169)</f>
        <v/>
      </c>
      <c r="G169" s="100">
        <f>SUM($D$6:D169)</f>
        <v/>
      </c>
      <c r="H169" s="98">
        <f>SUM($E$6:E169)</f>
        <v/>
      </c>
      <c r="I169" s="99">
        <f>IF(G169=0,"",H169/G169)</f>
        <v/>
      </c>
      <c r="J169" s="101">
        <f>IF(A169&gt;$S$2,"予定",IF(G169=0,"－",IF(I169&gt;=1,"完了",IF(H169&gt;=G169,"順調","遅延"))))</f>
        <v/>
      </c>
      <c r="K169" s="97">
        <f>COUNTIFS(明細!$I$5:$I$363,A169,明細!$D$5:$D$363,"運用")</f>
        <v/>
      </c>
      <c r="L169" s="98">
        <f>COUNTIFS(明細!$J$5:$J$363,A169,明細!$D$5:$D$363,"運用")</f>
        <v/>
      </c>
      <c r="M169" s="99">
        <f>IF(K169=0,0,L169/K169)</f>
        <v/>
      </c>
      <c r="N169" s="100">
        <f>SUM($K$6:K169)</f>
        <v/>
      </c>
      <c r="O169" s="98">
        <f>SUM($L$6:L169)</f>
        <v/>
      </c>
      <c r="P169" s="99">
        <f>IF(N169=0,"",O169/N169)</f>
        <v/>
      </c>
      <c r="Q169" s="101">
        <f>IF(A169&gt;$S$2,"予定",IF(N169=0,"－",IF(P169&gt;=1,"完了",IF(O169&gt;=N169,"順調","遅延"))))</f>
        <v/>
      </c>
      <c r="R169" s="97">
        <f>D169+K169</f>
        <v/>
      </c>
      <c r="S169" s="102">
        <f>E169+L169</f>
        <v/>
      </c>
    </row>
    <row r="170">
      <c r="A170" s="94" t="n">
        <v>46169</v>
      </c>
      <c r="B170" s="95">
        <f>CHOOSE(WEEKDAY(A170,2),"月","火","水","木","金","土","日")</f>
        <v/>
      </c>
      <c r="C170" s="96">
        <f>IF(OR(WEEKDAY(A170,2)&gt;=6,COUNTIF(祝日マスタ!$A:$A,A170)&gt;0),"非営業日","営業日")</f>
        <v/>
      </c>
      <c r="D170" s="97">
        <f>COUNTIFS(明細!$F$5:$F$363,A170,明細!$D$5:$D$363,"運用")</f>
        <v/>
      </c>
      <c r="E170" s="98">
        <f>COUNTIFS(明細!$G$5:$G$363,A170,明細!$D$5:$D$363,"運用")</f>
        <v/>
      </c>
      <c r="F170" s="99">
        <f>IF(D170=0,0,E170/D170)</f>
        <v/>
      </c>
      <c r="G170" s="100">
        <f>SUM($D$6:D170)</f>
        <v/>
      </c>
      <c r="H170" s="98">
        <f>SUM($E$6:E170)</f>
        <v/>
      </c>
      <c r="I170" s="99">
        <f>IF(G170=0,"",H170/G170)</f>
        <v/>
      </c>
      <c r="J170" s="101">
        <f>IF(A170&gt;$S$2,"予定",IF(G170=0,"－",IF(I170&gt;=1,"完了",IF(H170&gt;=G170,"順調","遅延"))))</f>
        <v/>
      </c>
      <c r="K170" s="97">
        <f>COUNTIFS(明細!$I$5:$I$363,A170,明細!$D$5:$D$363,"運用")</f>
        <v/>
      </c>
      <c r="L170" s="98">
        <f>COUNTIFS(明細!$J$5:$J$363,A170,明細!$D$5:$D$363,"運用")</f>
        <v/>
      </c>
      <c r="M170" s="99">
        <f>IF(K170=0,0,L170/K170)</f>
        <v/>
      </c>
      <c r="N170" s="100">
        <f>SUM($K$6:K170)</f>
        <v/>
      </c>
      <c r="O170" s="98">
        <f>SUM($L$6:L170)</f>
        <v/>
      </c>
      <c r="P170" s="99">
        <f>IF(N170=0,"",O170/N170)</f>
        <v/>
      </c>
      <c r="Q170" s="101">
        <f>IF(A170&gt;$S$2,"予定",IF(N170=0,"－",IF(P170&gt;=1,"完了",IF(O170&gt;=N170,"順調","遅延"))))</f>
        <v/>
      </c>
      <c r="R170" s="97">
        <f>D170+K170</f>
        <v/>
      </c>
      <c r="S170" s="102">
        <f>E170+L170</f>
        <v/>
      </c>
    </row>
    <row r="171">
      <c r="A171" s="94" t="n">
        <v>46170</v>
      </c>
      <c r="B171" s="95">
        <f>CHOOSE(WEEKDAY(A171,2),"月","火","水","木","金","土","日")</f>
        <v/>
      </c>
      <c r="C171" s="96">
        <f>IF(OR(WEEKDAY(A171,2)&gt;=6,COUNTIF(祝日マスタ!$A:$A,A171)&gt;0),"非営業日","営業日")</f>
        <v/>
      </c>
      <c r="D171" s="97">
        <f>COUNTIFS(明細!$F$5:$F$363,A171,明細!$D$5:$D$363,"運用")</f>
        <v/>
      </c>
      <c r="E171" s="98">
        <f>COUNTIFS(明細!$G$5:$G$363,A171,明細!$D$5:$D$363,"運用")</f>
        <v/>
      </c>
      <c r="F171" s="99">
        <f>IF(D171=0,0,E171/D171)</f>
        <v/>
      </c>
      <c r="G171" s="100">
        <f>SUM($D$6:D171)</f>
        <v/>
      </c>
      <c r="H171" s="98">
        <f>SUM($E$6:E171)</f>
        <v/>
      </c>
      <c r="I171" s="99">
        <f>IF(G171=0,"",H171/G171)</f>
        <v/>
      </c>
      <c r="J171" s="101">
        <f>IF(A171&gt;$S$2,"予定",IF(G171=0,"－",IF(I171&gt;=1,"完了",IF(H171&gt;=G171,"順調","遅延"))))</f>
        <v/>
      </c>
      <c r="K171" s="97">
        <f>COUNTIFS(明細!$I$5:$I$363,A171,明細!$D$5:$D$363,"運用")</f>
        <v/>
      </c>
      <c r="L171" s="98">
        <f>COUNTIFS(明細!$J$5:$J$363,A171,明細!$D$5:$D$363,"運用")</f>
        <v/>
      </c>
      <c r="M171" s="99">
        <f>IF(K171=0,0,L171/K171)</f>
        <v/>
      </c>
      <c r="N171" s="100">
        <f>SUM($K$6:K171)</f>
        <v/>
      </c>
      <c r="O171" s="98">
        <f>SUM($L$6:L171)</f>
        <v/>
      </c>
      <c r="P171" s="99">
        <f>IF(N171=0,"",O171/N171)</f>
        <v/>
      </c>
      <c r="Q171" s="101">
        <f>IF(A171&gt;$S$2,"予定",IF(N171=0,"－",IF(P171&gt;=1,"完了",IF(O171&gt;=N171,"順調","遅延"))))</f>
        <v/>
      </c>
      <c r="R171" s="97">
        <f>D171+K171</f>
        <v/>
      </c>
      <c r="S171" s="102">
        <f>E171+L171</f>
        <v/>
      </c>
    </row>
    <row r="172">
      <c r="A172" s="94" t="n">
        <v>46171</v>
      </c>
      <c r="B172" s="95">
        <f>CHOOSE(WEEKDAY(A172,2),"月","火","水","木","金","土","日")</f>
        <v/>
      </c>
      <c r="C172" s="96">
        <f>IF(OR(WEEKDAY(A172,2)&gt;=6,COUNTIF(祝日マスタ!$A:$A,A172)&gt;0),"非営業日","営業日")</f>
        <v/>
      </c>
      <c r="D172" s="97">
        <f>COUNTIFS(明細!$F$5:$F$363,A172,明細!$D$5:$D$363,"運用")</f>
        <v/>
      </c>
      <c r="E172" s="98">
        <f>COUNTIFS(明細!$G$5:$G$363,A172,明細!$D$5:$D$363,"運用")</f>
        <v/>
      </c>
      <c r="F172" s="99">
        <f>IF(D172=0,0,E172/D172)</f>
        <v/>
      </c>
      <c r="G172" s="100">
        <f>SUM($D$6:D172)</f>
        <v/>
      </c>
      <c r="H172" s="98">
        <f>SUM($E$6:E172)</f>
        <v/>
      </c>
      <c r="I172" s="99">
        <f>IF(G172=0,"",H172/G172)</f>
        <v/>
      </c>
      <c r="J172" s="101">
        <f>IF(A172&gt;$S$2,"予定",IF(G172=0,"－",IF(I172&gt;=1,"完了",IF(H172&gt;=G172,"順調","遅延"))))</f>
        <v/>
      </c>
      <c r="K172" s="97">
        <f>COUNTIFS(明細!$I$5:$I$363,A172,明細!$D$5:$D$363,"運用")</f>
        <v/>
      </c>
      <c r="L172" s="98">
        <f>COUNTIFS(明細!$J$5:$J$363,A172,明細!$D$5:$D$363,"運用")</f>
        <v/>
      </c>
      <c r="M172" s="99">
        <f>IF(K172=0,0,L172/K172)</f>
        <v/>
      </c>
      <c r="N172" s="100">
        <f>SUM($K$6:K172)</f>
        <v/>
      </c>
      <c r="O172" s="98">
        <f>SUM($L$6:L172)</f>
        <v/>
      </c>
      <c r="P172" s="99">
        <f>IF(N172=0,"",O172/N172)</f>
        <v/>
      </c>
      <c r="Q172" s="101">
        <f>IF(A172&gt;$S$2,"予定",IF(N172=0,"－",IF(P172&gt;=1,"完了",IF(O172&gt;=N172,"順調","遅延"))))</f>
        <v/>
      </c>
      <c r="R172" s="97">
        <f>D172+K172</f>
        <v/>
      </c>
      <c r="S172" s="102">
        <f>E172+L172</f>
        <v/>
      </c>
    </row>
    <row r="173">
      <c r="A173" s="94" t="n">
        <v>46172</v>
      </c>
      <c r="B173" s="95">
        <f>CHOOSE(WEEKDAY(A173,2),"月","火","水","木","金","土","日")</f>
        <v/>
      </c>
      <c r="C173" s="96">
        <f>IF(OR(WEEKDAY(A173,2)&gt;=6,COUNTIF(祝日マスタ!$A:$A,A173)&gt;0),"非営業日","営業日")</f>
        <v/>
      </c>
      <c r="D173" s="97">
        <f>COUNTIFS(明細!$F$5:$F$363,A173,明細!$D$5:$D$363,"運用")</f>
        <v/>
      </c>
      <c r="E173" s="98">
        <f>COUNTIFS(明細!$G$5:$G$363,A173,明細!$D$5:$D$363,"運用")</f>
        <v/>
      </c>
      <c r="F173" s="99">
        <f>IF(D173=0,0,E173/D173)</f>
        <v/>
      </c>
      <c r="G173" s="100">
        <f>SUM($D$6:D173)</f>
        <v/>
      </c>
      <c r="H173" s="98">
        <f>SUM($E$6:E173)</f>
        <v/>
      </c>
      <c r="I173" s="99">
        <f>IF(G173=0,"",H173/G173)</f>
        <v/>
      </c>
      <c r="J173" s="101">
        <f>IF(A173&gt;$S$2,"予定",IF(G173=0,"－",IF(I173&gt;=1,"完了",IF(H173&gt;=G173,"順調","遅延"))))</f>
        <v/>
      </c>
      <c r="K173" s="97">
        <f>COUNTIFS(明細!$I$5:$I$363,A173,明細!$D$5:$D$363,"運用")</f>
        <v/>
      </c>
      <c r="L173" s="98">
        <f>COUNTIFS(明細!$J$5:$J$363,A173,明細!$D$5:$D$363,"運用")</f>
        <v/>
      </c>
      <c r="M173" s="99">
        <f>IF(K173=0,0,L173/K173)</f>
        <v/>
      </c>
      <c r="N173" s="100">
        <f>SUM($K$6:K173)</f>
        <v/>
      </c>
      <c r="O173" s="98">
        <f>SUM($L$6:L173)</f>
        <v/>
      </c>
      <c r="P173" s="99">
        <f>IF(N173=0,"",O173/N173)</f>
        <v/>
      </c>
      <c r="Q173" s="101">
        <f>IF(A173&gt;$S$2,"予定",IF(N173=0,"－",IF(P173&gt;=1,"完了",IF(O173&gt;=N173,"順調","遅延"))))</f>
        <v/>
      </c>
      <c r="R173" s="97">
        <f>D173+K173</f>
        <v/>
      </c>
      <c r="S173" s="102">
        <f>E173+L173</f>
        <v/>
      </c>
    </row>
    <row r="174">
      <c r="A174" s="94" t="n">
        <v>46173</v>
      </c>
      <c r="B174" s="95">
        <f>CHOOSE(WEEKDAY(A174,2),"月","火","水","木","金","土","日")</f>
        <v/>
      </c>
      <c r="C174" s="96">
        <f>IF(OR(WEEKDAY(A174,2)&gt;=6,COUNTIF(祝日マスタ!$A:$A,A174)&gt;0),"非営業日","営業日")</f>
        <v/>
      </c>
      <c r="D174" s="97">
        <f>COUNTIFS(明細!$F$5:$F$363,A174,明細!$D$5:$D$363,"運用")</f>
        <v/>
      </c>
      <c r="E174" s="98">
        <f>COUNTIFS(明細!$G$5:$G$363,A174,明細!$D$5:$D$363,"運用")</f>
        <v/>
      </c>
      <c r="F174" s="99">
        <f>IF(D174=0,0,E174/D174)</f>
        <v/>
      </c>
      <c r="G174" s="100">
        <f>SUM($D$6:D174)</f>
        <v/>
      </c>
      <c r="H174" s="98">
        <f>SUM($E$6:E174)</f>
        <v/>
      </c>
      <c r="I174" s="99">
        <f>IF(G174=0,"",H174/G174)</f>
        <v/>
      </c>
      <c r="J174" s="101">
        <f>IF(A174&gt;$S$2,"予定",IF(G174=0,"－",IF(I174&gt;=1,"完了",IF(H174&gt;=G174,"順調","遅延"))))</f>
        <v/>
      </c>
      <c r="K174" s="97">
        <f>COUNTIFS(明細!$I$5:$I$363,A174,明細!$D$5:$D$363,"運用")</f>
        <v/>
      </c>
      <c r="L174" s="98">
        <f>COUNTIFS(明細!$J$5:$J$363,A174,明細!$D$5:$D$363,"運用")</f>
        <v/>
      </c>
      <c r="M174" s="99">
        <f>IF(K174=0,0,L174/K174)</f>
        <v/>
      </c>
      <c r="N174" s="100">
        <f>SUM($K$6:K174)</f>
        <v/>
      </c>
      <c r="O174" s="98">
        <f>SUM($L$6:L174)</f>
        <v/>
      </c>
      <c r="P174" s="99">
        <f>IF(N174=0,"",O174/N174)</f>
        <v/>
      </c>
      <c r="Q174" s="101">
        <f>IF(A174&gt;$S$2,"予定",IF(N174=0,"－",IF(P174&gt;=1,"完了",IF(O174&gt;=N174,"順調","遅延"))))</f>
        <v/>
      </c>
      <c r="R174" s="97">
        <f>D174+K174</f>
        <v/>
      </c>
      <c r="S174" s="102">
        <f>E174+L174</f>
        <v/>
      </c>
    </row>
    <row r="175">
      <c r="A175" s="94" t="n">
        <v>46174</v>
      </c>
      <c r="B175" s="95">
        <f>CHOOSE(WEEKDAY(A175,2),"月","火","水","木","金","土","日")</f>
        <v/>
      </c>
      <c r="C175" s="96">
        <f>IF(OR(WEEKDAY(A175,2)&gt;=6,COUNTIF(祝日マスタ!$A:$A,A175)&gt;0),"非営業日","営業日")</f>
        <v/>
      </c>
      <c r="D175" s="97">
        <f>COUNTIFS(明細!$F$5:$F$363,A175,明細!$D$5:$D$363,"運用")</f>
        <v/>
      </c>
      <c r="E175" s="98">
        <f>COUNTIFS(明細!$G$5:$G$363,A175,明細!$D$5:$D$363,"運用")</f>
        <v/>
      </c>
      <c r="F175" s="99">
        <f>IF(D175=0,0,E175/D175)</f>
        <v/>
      </c>
      <c r="G175" s="100">
        <f>SUM($D$6:D175)</f>
        <v/>
      </c>
      <c r="H175" s="98">
        <f>SUM($E$6:E175)</f>
        <v/>
      </c>
      <c r="I175" s="99">
        <f>IF(G175=0,"",H175/G175)</f>
        <v/>
      </c>
      <c r="J175" s="101">
        <f>IF(A175&gt;$S$2,"予定",IF(G175=0,"－",IF(I175&gt;=1,"完了",IF(H175&gt;=G175,"順調","遅延"))))</f>
        <v/>
      </c>
      <c r="K175" s="97">
        <f>COUNTIFS(明細!$I$5:$I$363,A175,明細!$D$5:$D$363,"運用")</f>
        <v/>
      </c>
      <c r="L175" s="98">
        <f>COUNTIFS(明細!$J$5:$J$363,A175,明細!$D$5:$D$363,"運用")</f>
        <v/>
      </c>
      <c r="M175" s="99">
        <f>IF(K175=0,0,L175/K175)</f>
        <v/>
      </c>
      <c r="N175" s="100">
        <f>SUM($K$6:K175)</f>
        <v/>
      </c>
      <c r="O175" s="98">
        <f>SUM($L$6:L175)</f>
        <v/>
      </c>
      <c r="P175" s="99">
        <f>IF(N175=0,"",O175/N175)</f>
        <v/>
      </c>
      <c r="Q175" s="101">
        <f>IF(A175&gt;$S$2,"予定",IF(N175=0,"－",IF(P175&gt;=1,"完了",IF(O175&gt;=N175,"順調","遅延"))))</f>
        <v/>
      </c>
      <c r="R175" s="97">
        <f>D175+K175</f>
        <v/>
      </c>
      <c r="S175" s="102">
        <f>E175+L175</f>
        <v/>
      </c>
    </row>
    <row r="176">
      <c r="A176" s="94" t="n">
        <v>46175</v>
      </c>
      <c r="B176" s="95">
        <f>CHOOSE(WEEKDAY(A176,2),"月","火","水","木","金","土","日")</f>
        <v/>
      </c>
      <c r="C176" s="96">
        <f>IF(OR(WEEKDAY(A176,2)&gt;=6,COUNTIF(祝日マスタ!$A:$A,A176)&gt;0),"非営業日","営業日")</f>
        <v/>
      </c>
      <c r="D176" s="97">
        <f>COUNTIFS(明細!$F$5:$F$363,A176,明細!$D$5:$D$363,"運用")</f>
        <v/>
      </c>
      <c r="E176" s="98">
        <f>COUNTIFS(明細!$G$5:$G$363,A176,明細!$D$5:$D$363,"運用")</f>
        <v/>
      </c>
      <c r="F176" s="99">
        <f>IF(D176=0,0,E176/D176)</f>
        <v/>
      </c>
      <c r="G176" s="100">
        <f>SUM($D$6:D176)</f>
        <v/>
      </c>
      <c r="H176" s="98">
        <f>SUM($E$6:E176)</f>
        <v/>
      </c>
      <c r="I176" s="99">
        <f>IF(G176=0,"",H176/G176)</f>
        <v/>
      </c>
      <c r="J176" s="101">
        <f>IF(A176&gt;$S$2,"予定",IF(G176=0,"－",IF(I176&gt;=1,"完了",IF(H176&gt;=G176,"順調","遅延"))))</f>
        <v/>
      </c>
      <c r="K176" s="97">
        <f>COUNTIFS(明細!$I$5:$I$363,A176,明細!$D$5:$D$363,"運用")</f>
        <v/>
      </c>
      <c r="L176" s="98">
        <f>COUNTIFS(明細!$J$5:$J$363,A176,明細!$D$5:$D$363,"運用")</f>
        <v/>
      </c>
      <c r="M176" s="99">
        <f>IF(K176=0,0,L176/K176)</f>
        <v/>
      </c>
      <c r="N176" s="100">
        <f>SUM($K$6:K176)</f>
        <v/>
      </c>
      <c r="O176" s="98">
        <f>SUM($L$6:L176)</f>
        <v/>
      </c>
      <c r="P176" s="99">
        <f>IF(N176=0,"",O176/N176)</f>
        <v/>
      </c>
      <c r="Q176" s="101">
        <f>IF(A176&gt;$S$2,"予定",IF(N176=0,"－",IF(P176&gt;=1,"完了",IF(O176&gt;=N176,"順調","遅延"))))</f>
        <v/>
      </c>
      <c r="R176" s="97">
        <f>D176+K176</f>
        <v/>
      </c>
      <c r="S176" s="102">
        <f>E176+L176</f>
        <v/>
      </c>
    </row>
    <row r="177">
      <c r="A177" s="94" t="n">
        <v>46176</v>
      </c>
      <c r="B177" s="95">
        <f>CHOOSE(WEEKDAY(A177,2),"月","火","水","木","金","土","日")</f>
        <v/>
      </c>
      <c r="C177" s="96">
        <f>IF(OR(WEEKDAY(A177,2)&gt;=6,COUNTIF(祝日マスタ!$A:$A,A177)&gt;0),"非営業日","営業日")</f>
        <v/>
      </c>
      <c r="D177" s="97">
        <f>COUNTIFS(明細!$F$5:$F$363,A177,明細!$D$5:$D$363,"運用")</f>
        <v/>
      </c>
      <c r="E177" s="98">
        <f>COUNTIFS(明細!$G$5:$G$363,A177,明細!$D$5:$D$363,"運用")</f>
        <v/>
      </c>
      <c r="F177" s="99">
        <f>IF(D177=0,0,E177/D177)</f>
        <v/>
      </c>
      <c r="G177" s="100">
        <f>SUM($D$6:D177)</f>
        <v/>
      </c>
      <c r="H177" s="98">
        <f>SUM($E$6:E177)</f>
        <v/>
      </c>
      <c r="I177" s="99">
        <f>IF(G177=0,"",H177/G177)</f>
        <v/>
      </c>
      <c r="J177" s="101">
        <f>IF(A177&gt;$S$2,"予定",IF(G177=0,"－",IF(I177&gt;=1,"完了",IF(H177&gt;=G177,"順調","遅延"))))</f>
        <v/>
      </c>
      <c r="K177" s="97">
        <f>COUNTIFS(明細!$I$5:$I$363,A177,明細!$D$5:$D$363,"運用")</f>
        <v/>
      </c>
      <c r="L177" s="98">
        <f>COUNTIFS(明細!$J$5:$J$363,A177,明細!$D$5:$D$363,"運用")</f>
        <v/>
      </c>
      <c r="M177" s="99">
        <f>IF(K177=0,0,L177/K177)</f>
        <v/>
      </c>
      <c r="N177" s="100">
        <f>SUM($K$6:K177)</f>
        <v/>
      </c>
      <c r="O177" s="98">
        <f>SUM($L$6:L177)</f>
        <v/>
      </c>
      <c r="P177" s="99">
        <f>IF(N177=0,"",O177/N177)</f>
        <v/>
      </c>
      <c r="Q177" s="101">
        <f>IF(A177&gt;$S$2,"予定",IF(N177=0,"－",IF(P177&gt;=1,"完了",IF(O177&gt;=N177,"順調","遅延"))))</f>
        <v/>
      </c>
      <c r="R177" s="97">
        <f>D177+K177</f>
        <v/>
      </c>
      <c r="S177" s="102">
        <f>E177+L177</f>
        <v/>
      </c>
    </row>
    <row r="178">
      <c r="A178" s="94" t="n">
        <v>46177</v>
      </c>
      <c r="B178" s="95">
        <f>CHOOSE(WEEKDAY(A178,2),"月","火","水","木","金","土","日")</f>
        <v/>
      </c>
      <c r="C178" s="96">
        <f>IF(OR(WEEKDAY(A178,2)&gt;=6,COUNTIF(祝日マスタ!$A:$A,A178)&gt;0),"非営業日","営業日")</f>
        <v/>
      </c>
      <c r="D178" s="97">
        <f>COUNTIFS(明細!$F$5:$F$363,A178,明細!$D$5:$D$363,"運用")</f>
        <v/>
      </c>
      <c r="E178" s="98">
        <f>COUNTIFS(明細!$G$5:$G$363,A178,明細!$D$5:$D$363,"運用")</f>
        <v/>
      </c>
      <c r="F178" s="99">
        <f>IF(D178=0,0,E178/D178)</f>
        <v/>
      </c>
      <c r="G178" s="100">
        <f>SUM($D$6:D178)</f>
        <v/>
      </c>
      <c r="H178" s="98">
        <f>SUM($E$6:E178)</f>
        <v/>
      </c>
      <c r="I178" s="99">
        <f>IF(G178=0,"",H178/G178)</f>
        <v/>
      </c>
      <c r="J178" s="101">
        <f>IF(A178&gt;$S$2,"予定",IF(G178=0,"－",IF(I178&gt;=1,"完了",IF(H178&gt;=G178,"順調","遅延"))))</f>
        <v/>
      </c>
      <c r="K178" s="97">
        <f>COUNTIFS(明細!$I$5:$I$363,A178,明細!$D$5:$D$363,"運用")</f>
        <v/>
      </c>
      <c r="L178" s="98">
        <f>COUNTIFS(明細!$J$5:$J$363,A178,明細!$D$5:$D$363,"運用")</f>
        <v/>
      </c>
      <c r="M178" s="99">
        <f>IF(K178=0,0,L178/K178)</f>
        <v/>
      </c>
      <c r="N178" s="100">
        <f>SUM($K$6:K178)</f>
        <v/>
      </c>
      <c r="O178" s="98">
        <f>SUM($L$6:L178)</f>
        <v/>
      </c>
      <c r="P178" s="99">
        <f>IF(N178=0,"",O178/N178)</f>
        <v/>
      </c>
      <c r="Q178" s="101">
        <f>IF(A178&gt;$S$2,"予定",IF(N178=0,"－",IF(P178&gt;=1,"完了",IF(O178&gt;=N178,"順調","遅延"))))</f>
        <v/>
      </c>
      <c r="R178" s="97">
        <f>D178+K178</f>
        <v/>
      </c>
      <c r="S178" s="102">
        <f>E178+L178</f>
        <v/>
      </c>
    </row>
    <row r="179">
      <c r="A179" s="94" t="n">
        <v>46178</v>
      </c>
      <c r="B179" s="95">
        <f>CHOOSE(WEEKDAY(A179,2),"月","火","水","木","金","土","日")</f>
        <v/>
      </c>
      <c r="C179" s="96">
        <f>IF(OR(WEEKDAY(A179,2)&gt;=6,COUNTIF(祝日マスタ!$A:$A,A179)&gt;0),"非営業日","営業日")</f>
        <v/>
      </c>
      <c r="D179" s="97">
        <f>COUNTIFS(明細!$F$5:$F$363,A179,明細!$D$5:$D$363,"運用")</f>
        <v/>
      </c>
      <c r="E179" s="98">
        <f>COUNTIFS(明細!$G$5:$G$363,A179,明細!$D$5:$D$363,"運用")</f>
        <v/>
      </c>
      <c r="F179" s="99">
        <f>IF(D179=0,0,E179/D179)</f>
        <v/>
      </c>
      <c r="G179" s="100">
        <f>SUM($D$6:D179)</f>
        <v/>
      </c>
      <c r="H179" s="98">
        <f>SUM($E$6:E179)</f>
        <v/>
      </c>
      <c r="I179" s="99">
        <f>IF(G179=0,"",H179/G179)</f>
        <v/>
      </c>
      <c r="J179" s="101">
        <f>IF(A179&gt;$S$2,"予定",IF(G179=0,"－",IF(I179&gt;=1,"完了",IF(H179&gt;=G179,"順調","遅延"))))</f>
        <v/>
      </c>
      <c r="K179" s="97">
        <f>COUNTIFS(明細!$I$5:$I$363,A179,明細!$D$5:$D$363,"運用")</f>
        <v/>
      </c>
      <c r="L179" s="98">
        <f>COUNTIFS(明細!$J$5:$J$363,A179,明細!$D$5:$D$363,"運用")</f>
        <v/>
      </c>
      <c r="M179" s="99">
        <f>IF(K179=0,0,L179/K179)</f>
        <v/>
      </c>
      <c r="N179" s="100">
        <f>SUM($K$6:K179)</f>
        <v/>
      </c>
      <c r="O179" s="98">
        <f>SUM($L$6:L179)</f>
        <v/>
      </c>
      <c r="P179" s="99">
        <f>IF(N179=0,"",O179/N179)</f>
        <v/>
      </c>
      <c r="Q179" s="101">
        <f>IF(A179&gt;$S$2,"予定",IF(N179=0,"－",IF(P179&gt;=1,"完了",IF(O179&gt;=N179,"順調","遅延"))))</f>
        <v/>
      </c>
      <c r="R179" s="97">
        <f>D179+K179</f>
        <v/>
      </c>
      <c r="S179" s="102">
        <f>E179+L179</f>
        <v/>
      </c>
    </row>
    <row r="180">
      <c r="A180" s="94" t="n">
        <v>46179</v>
      </c>
      <c r="B180" s="95">
        <f>CHOOSE(WEEKDAY(A180,2),"月","火","水","木","金","土","日")</f>
        <v/>
      </c>
      <c r="C180" s="96">
        <f>IF(OR(WEEKDAY(A180,2)&gt;=6,COUNTIF(祝日マスタ!$A:$A,A180)&gt;0),"非営業日","営業日")</f>
        <v/>
      </c>
      <c r="D180" s="97">
        <f>COUNTIFS(明細!$F$5:$F$363,A180,明細!$D$5:$D$363,"運用")</f>
        <v/>
      </c>
      <c r="E180" s="98">
        <f>COUNTIFS(明細!$G$5:$G$363,A180,明細!$D$5:$D$363,"運用")</f>
        <v/>
      </c>
      <c r="F180" s="99">
        <f>IF(D180=0,0,E180/D180)</f>
        <v/>
      </c>
      <c r="G180" s="100">
        <f>SUM($D$6:D180)</f>
        <v/>
      </c>
      <c r="H180" s="98">
        <f>SUM($E$6:E180)</f>
        <v/>
      </c>
      <c r="I180" s="99">
        <f>IF(G180=0,"",H180/G180)</f>
        <v/>
      </c>
      <c r="J180" s="101">
        <f>IF(A180&gt;$S$2,"予定",IF(G180=0,"－",IF(I180&gt;=1,"完了",IF(H180&gt;=G180,"順調","遅延"))))</f>
        <v/>
      </c>
      <c r="K180" s="97">
        <f>COUNTIFS(明細!$I$5:$I$363,A180,明細!$D$5:$D$363,"運用")</f>
        <v/>
      </c>
      <c r="L180" s="98">
        <f>COUNTIFS(明細!$J$5:$J$363,A180,明細!$D$5:$D$363,"運用")</f>
        <v/>
      </c>
      <c r="M180" s="99">
        <f>IF(K180=0,0,L180/K180)</f>
        <v/>
      </c>
      <c r="N180" s="100">
        <f>SUM($K$6:K180)</f>
        <v/>
      </c>
      <c r="O180" s="98">
        <f>SUM($L$6:L180)</f>
        <v/>
      </c>
      <c r="P180" s="99">
        <f>IF(N180=0,"",O180/N180)</f>
        <v/>
      </c>
      <c r="Q180" s="101">
        <f>IF(A180&gt;$S$2,"予定",IF(N180=0,"－",IF(P180&gt;=1,"完了",IF(O180&gt;=N180,"順調","遅延"))))</f>
        <v/>
      </c>
      <c r="R180" s="97">
        <f>D180+K180</f>
        <v/>
      </c>
      <c r="S180" s="102">
        <f>E180+L180</f>
        <v/>
      </c>
    </row>
    <row r="181">
      <c r="A181" s="94" t="n">
        <v>46180</v>
      </c>
      <c r="B181" s="95">
        <f>CHOOSE(WEEKDAY(A181,2),"月","火","水","木","金","土","日")</f>
        <v/>
      </c>
      <c r="C181" s="96">
        <f>IF(OR(WEEKDAY(A181,2)&gt;=6,COUNTIF(祝日マスタ!$A:$A,A181)&gt;0),"非営業日","営業日")</f>
        <v/>
      </c>
      <c r="D181" s="97">
        <f>COUNTIFS(明細!$F$5:$F$363,A181,明細!$D$5:$D$363,"運用")</f>
        <v/>
      </c>
      <c r="E181" s="98">
        <f>COUNTIFS(明細!$G$5:$G$363,A181,明細!$D$5:$D$363,"運用")</f>
        <v/>
      </c>
      <c r="F181" s="99">
        <f>IF(D181=0,0,E181/D181)</f>
        <v/>
      </c>
      <c r="G181" s="100">
        <f>SUM($D$6:D181)</f>
        <v/>
      </c>
      <c r="H181" s="98">
        <f>SUM($E$6:E181)</f>
        <v/>
      </c>
      <c r="I181" s="99">
        <f>IF(G181=0,"",H181/G181)</f>
        <v/>
      </c>
      <c r="J181" s="101">
        <f>IF(A181&gt;$S$2,"予定",IF(G181=0,"－",IF(I181&gt;=1,"完了",IF(H181&gt;=G181,"順調","遅延"))))</f>
        <v/>
      </c>
      <c r="K181" s="97">
        <f>COUNTIFS(明細!$I$5:$I$363,A181,明細!$D$5:$D$363,"運用")</f>
        <v/>
      </c>
      <c r="L181" s="98">
        <f>COUNTIFS(明細!$J$5:$J$363,A181,明細!$D$5:$D$363,"運用")</f>
        <v/>
      </c>
      <c r="M181" s="99">
        <f>IF(K181=0,0,L181/K181)</f>
        <v/>
      </c>
      <c r="N181" s="100">
        <f>SUM($K$6:K181)</f>
        <v/>
      </c>
      <c r="O181" s="98">
        <f>SUM($L$6:L181)</f>
        <v/>
      </c>
      <c r="P181" s="99">
        <f>IF(N181=0,"",O181/N181)</f>
        <v/>
      </c>
      <c r="Q181" s="101">
        <f>IF(A181&gt;$S$2,"予定",IF(N181=0,"－",IF(P181&gt;=1,"完了",IF(O181&gt;=N181,"順調","遅延"))))</f>
        <v/>
      </c>
      <c r="R181" s="97">
        <f>D181+K181</f>
        <v/>
      </c>
      <c r="S181" s="102">
        <f>E181+L181</f>
        <v/>
      </c>
    </row>
    <row r="182">
      <c r="A182" s="94" t="n">
        <v>46181</v>
      </c>
      <c r="B182" s="95">
        <f>CHOOSE(WEEKDAY(A182,2),"月","火","水","木","金","土","日")</f>
        <v/>
      </c>
      <c r="C182" s="96">
        <f>IF(OR(WEEKDAY(A182,2)&gt;=6,COUNTIF(祝日マスタ!$A:$A,A182)&gt;0),"非営業日","営業日")</f>
        <v/>
      </c>
      <c r="D182" s="97">
        <f>COUNTIFS(明細!$F$5:$F$363,A182,明細!$D$5:$D$363,"運用")</f>
        <v/>
      </c>
      <c r="E182" s="98">
        <f>COUNTIFS(明細!$G$5:$G$363,A182,明細!$D$5:$D$363,"運用")</f>
        <v/>
      </c>
      <c r="F182" s="99">
        <f>IF(D182=0,0,E182/D182)</f>
        <v/>
      </c>
      <c r="G182" s="100">
        <f>SUM($D$6:D182)</f>
        <v/>
      </c>
      <c r="H182" s="98">
        <f>SUM($E$6:E182)</f>
        <v/>
      </c>
      <c r="I182" s="99">
        <f>IF(G182=0,"",H182/G182)</f>
        <v/>
      </c>
      <c r="J182" s="101">
        <f>IF(A182&gt;$S$2,"予定",IF(G182=0,"－",IF(I182&gt;=1,"完了",IF(H182&gt;=G182,"順調","遅延"))))</f>
        <v/>
      </c>
      <c r="K182" s="97">
        <f>COUNTIFS(明細!$I$5:$I$363,A182,明細!$D$5:$D$363,"運用")</f>
        <v/>
      </c>
      <c r="L182" s="98">
        <f>COUNTIFS(明細!$J$5:$J$363,A182,明細!$D$5:$D$363,"運用")</f>
        <v/>
      </c>
      <c r="M182" s="99">
        <f>IF(K182=0,0,L182/K182)</f>
        <v/>
      </c>
      <c r="N182" s="100">
        <f>SUM($K$6:K182)</f>
        <v/>
      </c>
      <c r="O182" s="98">
        <f>SUM($L$6:L182)</f>
        <v/>
      </c>
      <c r="P182" s="99">
        <f>IF(N182=0,"",O182/N182)</f>
        <v/>
      </c>
      <c r="Q182" s="101">
        <f>IF(A182&gt;$S$2,"予定",IF(N182=0,"－",IF(P182&gt;=1,"完了",IF(O182&gt;=N182,"順調","遅延"))))</f>
        <v/>
      </c>
      <c r="R182" s="97">
        <f>D182+K182</f>
        <v/>
      </c>
      <c r="S182" s="102">
        <f>E182+L182</f>
        <v/>
      </c>
    </row>
    <row r="183">
      <c r="A183" s="94" t="n">
        <v>46182</v>
      </c>
      <c r="B183" s="95">
        <f>CHOOSE(WEEKDAY(A183,2),"月","火","水","木","金","土","日")</f>
        <v/>
      </c>
      <c r="C183" s="96">
        <f>IF(OR(WEEKDAY(A183,2)&gt;=6,COUNTIF(祝日マスタ!$A:$A,A183)&gt;0),"非営業日","営業日")</f>
        <v/>
      </c>
      <c r="D183" s="97">
        <f>COUNTIFS(明細!$F$5:$F$363,A183,明細!$D$5:$D$363,"運用")</f>
        <v/>
      </c>
      <c r="E183" s="98">
        <f>COUNTIFS(明細!$G$5:$G$363,A183,明細!$D$5:$D$363,"運用")</f>
        <v/>
      </c>
      <c r="F183" s="99">
        <f>IF(D183=0,0,E183/D183)</f>
        <v/>
      </c>
      <c r="G183" s="100">
        <f>SUM($D$6:D183)</f>
        <v/>
      </c>
      <c r="H183" s="98">
        <f>SUM($E$6:E183)</f>
        <v/>
      </c>
      <c r="I183" s="99">
        <f>IF(G183=0,"",H183/G183)</f>
        <v/>
      </c>
      <c r="J183" s="101">
        <f>IF(A183&gt;$S$2,"予定",IF(G183=0,"－",IF(I183&gt;=1,"完了",IF(H183&gt;=G183,"順調","遅延"))))</f>
        <v/>
      </c>
      <c r="K183" s="97">
        <f>COUNTIFS(明細!$I$5:$I$363,A183,明細!$D$5:$D$363,"運用")</f>
        <v/>
      </c>
      <c r="L183" s="98">
        <f>COUNTIFS(明細!$J$5:$J$363,A183,明細!$D$5:$D$363,"運用")</f>
        <v/>
      </c>
      <c r="M183" s="99">
        <f>IF(K183=0,0,L183/K183)</f>
        <v/>
      </c>
      <c r="N183" s="100">
        <f>SUM($K$6:K183)</f>
        <v/>
      </c>
      <c r="O183" s="98">
        <f>SUM($L$6:L183)</f>
        <v/>
      </c>
      <c r="P183" s="99">
        <f>IF(N183=0,"",O183/N183)</f>
        <v/>
      </c>
      <c r="Q183" s="101">
        <f>IF(A183&gt;$S$2,"予定",IF(N183=0,"－",IF(P183&gt;=1,"完了",IF(O183&gt;=N183,"順調","遅延"))))</f>
        <v/>
      </c>
      <c r="R183" s="97">
        <f>D183+K183</f>
        <v/>
      </c>
      <c r="S183" s="102">
        <f>E183+L183</f>
        <v/>
      </c>
    </row>
    <row r="184">
      <c r="A184" s="94" t="n">
        <v>46183</v>
      </c>
      <c r="B184" s="95">
        <f>CHOOSE(WEEKDAY(A184,2),"月","火","水","木","金","土","日")</f>
        <v/>
      </c>
      <c r="C184" s="96">
        <f>IF(OR(WEEKDAY(A184,2)&gt;=6,COUNTIF(祝日マスタ!$A:$A,A184)&gt;0),"非営業日","営業日")</f>
        <v/>
      </c>
      <c r="D184" s="97">
        <f>COUNTIFS(明細!$F$5:$F$363,A184,明細!$D$5:$D$363,"運用")</f>
        <v/>
      </c>
      <c r="E184" s="98">
        <f>COUNTIFS(明細!$G$5:$G$363,A184,明細!$D$5:$D$363,"運用")</f>
        <v/>
      </c>
      <c r="F184" s="99">
        <f>IF(D184=0,0,E184/D184)</f>
        <v/>
      </c>
      <c r="G184" s="100">
        <f>SUM($D$6:D184)</f>
        <v/>
      </c>
      <c r="H184" s="98">
        <f>SUM($E$6:E184)</f>
        <v/>
      </c>
      <c r="I184" s="99">
        <f>IF(G184=0,"",H184/G184)</f>
        <v/>
      </c>
      <c r="J184" s="101">
        <f>IF(A184&gt;$S$2,"予定",IF(G184=0,"－",IF(I184&gt;=1,"完了",IF(H184&gt;=G184,"順調","遅延"))))</f>
        <v/>
      </c>
      <c r="K184" s="97">
        <f>COUNTIFS(明細!$I$5:$I$363,A184,明細!$D$5:$D$363,"運用")</f>
        <v/>
      </c>
      <c r="L184" s="98">
        <f>COUNTIFS(明細!$J$5:$J$363,A184,明細!$D$5:$D$363,"運用")</f>
        <v/>
      </c>
      <c r="M184" s="99">
        <f>IF(K184=0,0,L184/K184)</f>
        <v/>
      </c>
      <c r="N184" s="100">
        <f>SUM($K$6:K184)</f>
        <v/>
      </c>
      <c r="O184" s="98">
        <f>SUM($L$6:L184)</f>
        <v/>
      </c>
      <c r="P184" s="99">
        <f>IF(N184=0,"",O184/N184)</f>
        <v/>
      </c>
      <c r="Q184" s="101">
        <f>IF(A184&gt;$S$2,"予定",IF(N184=0,"－",IF(P184&gt;=1,"完了",IF(O184&gt;=N184,"順調","遅延"))))</f>
        <v/>
      </c>
      <c r="R184" s="97">
        <f>D184+K184</f>
        <v/>
      </c>
      <c r="S184" s="102">
        <f>E184+L184</f>
        <v/>
      </c>
    </row>
  </sheetData>
  <mergeCells count="5">
    <mergeCell ref="D3:J3"/>
    <mergeCell ref="K3:Q3"/>
    <mergeCell ref="A1:S1"/>
    <mergeCell ref="A3:C3"/>
    <mergeCell ref="R3:S3"/>
  </mergeCells>
  <conditionalFormatting sqref="J5:J184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184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184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184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184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B5797"/>
    <outlinePr summaryBelow="1" summaryRight="1"/>
    <pageSetUpPr/>
  </sheetPr>
  <dimension ref="A1:G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03" t="inlineStr">
        <is>
          <t>欠陥サマリー - ALL</t>
        </is>
      </c>
    </row>
    <row r="4">
      <c r="A4" s="8" t="inlineStr">
        <is>
          <t>日付</t>
        </is>
      </c>
      <c r="B4" s="8" t="inlineStr">
        <is>
          <t>曜</t>
        </is>
      </c>
      <c r="C4" s="8" t="inlineStr">
        <is>
          <t>検出</t>
        </is>
      </c>
      <c r="D4" s="8" t="inlineStr">
        <is>
          <t>対応</t>
        </is>
      </c>
      <c r="E4" s="8" t="inlineStr">
        <is>
          <t>累積検出</t>
        </is>
      </c>
      <c r="F4" s="8" t="inlineStr">
        <is>
          <t>累積対応</t>
        </is>
      </c>
      <c r="G4" s="8" t="inlineStr">
        <is>
          <t>累積未対応</t>
        </is>
      </c>
    </row>
    <row r="5">
      <c r="A5" s="104" t="n">
        <v>45992</v>
      </c>
      <c r="B5" s="29">
        <f>CHOOSE(WEEKDAY(A5,2),"月","火","水","木","金","土","日")</f>
        <v/>
      </c>
      <c r="C5" s="105" t="n">
        <v>1</v>
      </c>
      <c r="D5" s="105" t="n">
        <v>0</v>
      </c>
      <c r="E5" s="105" t="n">
        <v>1</v>
      </c>
      <c r="F5" s="105" t="n">
        <v>0</v>
      </c>
      <c r="G5" s="105" t="n">
        <v>1</v>
      </c>
    </row>
    <row r="6">
      <c r="A6" s="104" t="n">
        <v>45993</v>
      </c>
      <c r="B6" s="29">
        <f>CHOOSE(WEEKDAY(A6,2),"月","火","水","木","金","土","日")</f>
        <v/>
      </c>
      <c r="C6" s="105" t="n">
        <v>2</v>
      </c>
      <c r="D6" s="105" t="n">
        <v>0</v>
      </c>
      <c r="E6" s="105" t="n">
        <v>3</v>
      </c>
      <c r="F6" s="105" t="n">
        <v>0</v>
      </c>
      <c r="G6" s="105" t="n">
        <v>3</v>
      </c>
    </row>
    <row r="7">
      <c r="A7" s="104" t="n">
        <v>45994</v>
      </c>
      <c r="B7" s="29">
        <f>CHOOSE(WEEKDAY(A7,2),"月","火","水","木","金","土","日")</f>
        <v/>
      </c>
      <c r="C7" s="105" t="n">
        <v>0</v>
      </c>
      <c r="D7" s="105" t="n">
        <v>1</v>
      </c>
      <c r="E7" s="105" t="n">
        <v>3</v>
      </c>
      <c r="F7" s="105" t="n">
        <v>1</v>
      </c>
      <c r="G7" s="105" t="n">
        <v>2</v>
      </c>
    </row>
    <row r="8">
      <c r="A8" s="104" t="n">
        <v>45995</v>
      </c>
      <c r="B8" s="29">
        <f>CHOOSE(WEEKDAY(A8,2),"月","火","水","木","金","土","日")</f>
        <v/>
      </c>
      <c r="C8" s="105" t="n">
        <v>3</v>
      </c>
      <c r="D8" s="105" t="n">
        <v>2</v>
      </c>
      <c r="E8" s="105" t="n">
        <v>6</v>
      </c>
      <c r="F8" s="105" t="n">
        <v>3</v>
      </c>
      <c r="G8" s="105" t="n">
        <v>3</v>
      </c>
    </row>
    <row r="9">
      <c r="A9" s="104" t="n">
        <v>45996</v>
      </c>
      <c r="B9" s="29">
        <f>CHOOSE(WEEKDAY(A9,2),"月","火","水","木","金","土","日")</f>
        <v/>
      </c>
      <c r="C9" s="105" t="n">
        <v>1</v>
      </c>
      <c r="D9" s="105" t="n">
        <v>0</v>
      </c>
      <c r="E9" s="105" t="n">
        <v>7</v>
      </c>
      <c r="F9" s="105" t="n">
        <v>3</v>
      </c>
      <c r="G9" s="105" t="n">
        <v>4</v>
      </c>
    </row>
    <row r="10">
      <c r="A10" s="106" t="n">
        <v>45997</v>
      </c>
      <c r="B10" s="107">
        <f>CHOOSE(WEEKDAY(A10,2),"月","火","水","木","金","土","日")</f>
        <v/>
      </c>
      <c r="C10" s="108" t="n">
        <v>0</v>
      </c>
      <c r="D10" s="108" t="n">
        <v>0</v>
      </c>
      <c r="E10" s="108" t="n">
        <v>7</v>
      </c>
      <c r="F10" s="108" t="n">
        <v>3</v>
      </c>
      <c r="G10" s="108" t="n">
        <v>4</v>
      </c>
    </row>
    <row r="11">
      <c r="A11" s="106" t="n">
        <v>45998</v>
      </c>
      <c r="B11" s="107">
        <f>CHOOSE(WEEKDAY(A11,2),"月","火","水","木","金","土","日")</f>
        <v/>
      </c>
      <c r="C11" s="108" t="n">
        <v>0</v>
      </c>
      <c r="D11" s="108" t="n">
        <v>0</v>
      </c>
      <c r="E11" s="108" t="n">
        <v>7</v>
      </c>
      <c r="F11" s="108" t="n">
        <v>3</v>
      </c>
      <c r="G11" s="108" t="n">
        <v>4</v>
      </c>
    </row>
    <row r="12">
      <c r="A12" s="104" t="n">
        <v>45999</v>
      </c>
      <c r="B12" s="29">
        <f>CHOOSE(WEEKDAY(A12,2),"月","火","水","木","金","土","日")</f>
        <v/>
      </c>
      <c r="C12" s="105" t="n">
        <v>1</v>
      </c>
      <c r="D12" s="105" t="n">
        <v>1</v>
      </c>
      <c r="E12" s="105" t="n">
        <v>8</v>
      </c>
      <c r="F12" s="105" t="n">
        <v>4</v>
      </c>
      <c r="G12" s="105" t="n">
        <v>4</v>
      </c>
    </row>
    <row r="13">
      <c r="A13" s="104" t="n">
        <v>46000</v>
      </c>
      <c r="B13" s="29">
        <f>CHOOSE(WEEKDAY(A13,2),"月","火","水","木","金","土","日")</f>
        <v/>
      </c>
      <c r="C13" s="105" t="n">
        <v>1</v>
      </c>
      <c r="D13" s="105" t="n">
        <v>2</v>
      </c>
      <c r="E13" s="105" t="n">
        <v>9</v>
      </c>
      <c r="F13" s="105" t="n">
        <v>6</v>
      </c>
      <c r="G13" s="105" t="n">
        <v>3</v>
      </c>
    </row>
    <row r="14">
      <c r="A14" s="104" t="n">
        <v>46001</v>
      </c>
      <c r="B14" s="29">
        <f>CHOOSE(WEEKDAY(A14,2),"月","火","水","木","金","土","日")</f>
        <v/>
      </c>
      <c r="C14" s="105" t="n">
        <v>0</v>
      </c>
      <c r="D14" s="105" t="n">
        <v>1</v>
      </c>
      <c r="E14" s="105" t="n">
        <v>9</v>
      </c>
      <c r="F14" s="105" t="n">
        <v>7</v>
      </c>
      <c r="G14" s="105" t="n">
        <v>2</v>
      </c>
    </row>
    <row r="15">
      <c r="A15" s="104" t="n">
        <v>46002</v>
      </c>
      <c r="B15" s="29">
        <f>CHOOSE(WEEKDAY(A15,2),"月","火","水","木","金","土","日")</f>
        <v/>
      </c>
      <c r="C15" s="105" t="n">
        <v>2</v>
      </c>
      <c r="D15" s="105" t="n">
        <v>2</v>
      </c>
      <c r="E15" s="105" t="n">
        <v>11</v>
      </c>
      <c r="F15" s="105" t="n">
        <v>9</v>
      </c>
      <c r="G15" s="105" t="n">
        <v>2</v>
      </c>
    </row>
    <row r="16">
      <c r="A16" s="104" t="n">
        <v>46003</v>
      </c>
      <c r="B16" s="29">
        <f>CHOOSE(WEEKDAY(A16,2),"月","火","水","木","金","土","日")</f>
        <v/>
      </c>
      <c r="C16" s="105" t="n">
        <v>3</v>
      </c>
      <c r="D16" s="105" t="n">
        <v>0</v>
      </c>
      <c r="E16" s="105" t="n">
        <v>14</v>
      </c>
      <c r="F16" s="105" t="n">
        <v>9</v>
      </c>
      <c r="G16" s="105" t="n">
        <v>5</v>
      </c>
    </row>
    <row r="17">
      <c r="A17" s="106" t="n">
        <v>46004</v>
      </c>
      <c r="B17" s="107">
        <f>CHOOSE(WEEKDAY(A17,2),"月","火","水","木","金","土","日")</f>
        <v/>
      </c>
      <c r="C17" s="108" t="n">
        <v>0</v>
      </c>
      <c r="D17" s="108" t="n">
        <v>0</v>
      </c>
      <c r="E17" s="108" t="n">
        <v>14</v>
      </c>
      <c r="F17" s="108" t="n">
        <v>9</v>
      </c>
      <c r="G17" s="108" t="n">
        <v>5</v>
      </c>
    </row>
    <row r="18">
      <c r="A18" s="106" t="n">
        <v>46005</v>
      </c>
      <c r="B18" s="107">
        <f>CHOOSE(WEEKDAY(A18,2),"月","火","水","木","金","土","日")</f>
        <v/>
      </c>
      <c r="C18" s="108" t="n">
        <v>0</v>
      </c>
      <c r="D18" s="108" t="n">
        <v>0</v>
      </c>
      <c r="E18" s="108" t="n">
        <v>14</v>
      </c>
      <c r="F18" s="108" t="n">
        <v>9</v>
      </c>
      <c r="G18" s="108" t="n">
        <v>5</v>
      </c>
    </row>
    <row r="19">
      <c r="A19" s="104" t="n">
        <v>46006</v>
      </c>
      <c r="B19" s="29">
        <f>CHOOSE(WEEKDAY(A19,2),"月","火","水","木","金","土","日")</f>
        <v/>
      </c>
      <c r="C19" s="105" t="n">
        <v>3</v>
      </c>
      <c r="D19" s="105" t="n">
        <v>3</v>
      </c>
      <c r="E19" s="105" t="n">
        <v>17</v>
      </c>
      <c r="F19" s="105" t="n">
        <v>12</v>
      </c>
      <c r="G19" s="105" t="n">
        <v>5</v>
      </c>
    </row>
    <row r="20">
      <c r="A20" s="104" t="n">
        <v>46007</v>
      </c>
      <c r="B20" s="29">
        <f>CHOOSE(WEEKDAY(A20,2),"月","火","水","木","金","土","日")</f>
        <v/>
      </c>
      <c r="C20" s="105" t="n">
        <v>2</v>
      </c>
      <c r="D20" s="105" t="n">
        <v>2</v>
      </c>
      <c r="E20" s="105" t="n">
        <v>19</v>
      </c>
      <c r="F20" s="105" t="n">
        <v>14</v>
      </c>
      <c r="G20" s="105" t="n">
        <v>5</v>
      </c>
    </row>
    <row r="21">
      <c r="A21" s="104" t="n">
        <v>46008</v>
      </c>
      <c r="B21" s="29">
        <f>CHOOSE(WEEKDAY(A21,2),"月","火","水","木","金","土","日")</f>
        <v/>
      </c>
      <c r="C21" s="105" t="n">
        <v>0</v>
      </c>
      <c r="D21" s="105" t="n">
        <v>2</v>
      </c>
      <c r="E21" s="105" t="n">
        <v>19</v>
      </c>
      <c r="F21" s="105" t="n">
        <v>16</v>
      </c>
      <c r="G21" s="105" t="n">
        <v>3</v>
      </c>
    </row>
    <row r="22">
      <c r="A22" s="104" t="n">
        <v>46009</v>
      </c>
      <c r="B22" s="29">
        <f>CHOOSE(WEEKDAY(A22,2),"月","火","水","木","金","土","日")</f>
        <v/>
      </c>
      <c r="C22" s="105" t="n">
        <v>8</v>
      </c>
      <c r="D22" s="105" t="n">
        <v>1</v>
      </c>
      <c r="E22" s="105" t="n">
        <v>27</v>
      </c>
      <c r="F22" s="105" t="n">
        <v>17</v>
      </c>
      <c r="G22" s="105" t="n">
        <v>10</v>
      </c>
    </row>
    <row r="23">
      <c r="A23" s="104" t="n">
        <v>46010</v>
      </c>
      <c r="B23" s="29">
        <f>CHOOSE(WEEKDAY(A23,2),"月","火","水","木","金","土","日")</f>
        <v/>
      </c>
      <c r="C23" s="105" t="n">
        <v>1</v>
      </c>
      <c r="D23" s="105" t="n">
        <v>1</v>
      </c>
      <c r="E23" s="105" t="n">
        <v>28</v>
      </c>
      <c r="F23" s="105" t="n">
        <v>18</v>
      </c>
      <c r="G23" s="105" t="n">
        <v>10</v>
      </c>
    </row>
    <row r="24">
      <c r="A24" s="106" t="n">
        <v>46011</v>
      </c>
      <c r="B24" s="107">
        <f>CHOOSE(WEEKDAY(A24,2),"月","火","水","木","金","土","日")</f>
        <v/>
      </c>
      <c r="C24" s="108" t="n">
        <v>0</v>
      </c>
      <c r="D24" s="108" t="n">
        <v>0</v>
      </c>
      <c r="E24" s="108" t="n">
        <v>28</v>
      </c>
      <c r="F24" s="108" t="n">
        <v>18</v>
      </c>
      <c r="G24" s="108" t="n">
        <v>10</v>
      </c>
    </row>
    <row r="25">
      <c r="A25" s="106" t="n">
        <v>46012</v>
      </c>
      <c r="B25" s="107">
        <f>CHOOSE(WEEKDAY(A25,2),"月","火","水","木","金","土","日")</f>
        <v/>
      </c>
      <c r="C25" s="108" t="n">
        <v>0</v>
      </c>
      <c r="D25" s="108" t="n">
        <v>0</v>
      </c>
      <c r="E25" s="108" t="n">
        <v>28</v>
      </c>
      <c r="F25" s="108" t="n">
        <v>18</v>
      </c>
      <c r="G25" s="108" t="n">
        <v>10</v>
      </c>
    </row>
    <row r="26">
      <c r="A26" s="104" t="n">
        <v>46013</v>
      </c>
      <c r="B26" s="29">
        <f>CHOOSE(WEEKDAY(A26,2),"月","火","水","木","金","土","日")</f>
        <v/>
      </c>
      <c r="C26" s="105" t="n">
        <v>1</v>
      </c>
      <c r="D26" s="105" t="n">
        <v>2</v>
      </c>
      <c r="E26" s="105" t="n">
        <v>29</v>
      </c>
      <c r="F26" s="105" t="n">
        <v>20</v>
      </c>
      <c r="G26" s="105" t="n">
        <v>9</v>
      </c>
    </row>
    <row r="27">
      <c r="A27" s="104" t="n">
        <v>46014</v>
      </c>
      <c r="B27" s="29">
        <f>CHOOSE(WEEKDAY(A27,2),"月","火","水","木","金","土","日")</f>
        <v/>
      </c>
      <c r="C27" s="105" t="n">
        <v>2</v>
      </c>
      <c r="D27" s="105" t="n">
        <v>1</v>
      </c>
      <c r="E27" s="105" t="n">
        <v>31</v>
      </c>
      <c r="F27" s="105" t="n">
        <v>21</v>
      </c>
      <c r="G27" s="105" t="n">
        <v>10</v>
      </c>
    </row>
    <row r="28">
      <c r="A28" s="104" t="n">
        <v>46015</v>
      </c>
      <c r="B28" s="29">
        <f>CHOOSE(WEEKDAY(A28,2),"月","火","水","木","金","土","日")</f>
        <v/>
      </c>
      <c r="C28" s="105" t="n">
        <v>2</v>
      </c>
      <c r="D28" s="105" t="n">
        <v>2</v>
      </c>
      <c r="E28" s="105" t="n">
        <v>33</v>
      </c>
      <c r="F28" s="105" t="n">
        <v>23</v>
      </c>
      <c r="G28" s="105" t="n">
        <v>10</v>
      </c>
    </row>
    <row r="29">
      <c r="A29" s="104" t="n">
        <v>46016</v>
      </c>
      <c r="B29" s="29">
        <f>CHOOSE(WEEKDAY(A29,2),"月","火","水","木","金","土","日")</f>
        <v/>
      </c>
      <c r="C29" s="105" t="n">
        <v>0</v>
      </c>
      <c r="D29" s="105" t="n">
        <v>1</v>
      </c>
      <c r="E29" s="105" t="n">
        <v>33</v>
      </c>
      <c r="F29" s="105" t="n">
        <v>24</v>
      </c>
      <c r="G29" s="105" t="n">
        <v>9</v>
      </c>
    </row>
    <row r="30">
      <c r="A30" s="104" t="n">
        <v>46017</v>
      </c>
      <c r="B30" s="29">
        <f>CHOOSE(WEEKDAY(A30,2),"月","火","水","木","金","土","日")</f>
        <v/>
      </c>
      <c r="C30" s="105" t="n">
        <v>3</v>
      </c>
      <c r="D30" s="105" t="n">
        <v>3</v>
      </c>
      <c r="E30" s="105" t="n">
        <v>36</v>
      </c>
      <c r="F30" s="105" t="n">
        <v>27</v>
      </c>
      <c r="G30" s="105" t="n">
        <v>9</v>
      </c>
    </row>
    <row r="31">
      <c r="A31" s="106" t="n">
        <v>46018</v>
      </c>
      <c r="B31" s="107">
        <f>CHOOSE(WEEKDAY(A31,2),"月","火","水","木","金","土","日")</f>
        <v/>
      </c>
      <c r="C31" s="108" t="n">
        <v>0</v>
      </c>
      <c r="D31" s="108" t="n">
        <v>0</v>
      </c>
      <c r="E31" s="108" t="n">
        <v>36</v>
      </c>
      <c r="F31" s="108" t="n">
        <v>27</v>
      </c>
      <c r="G31" s="108" t="n">
        <v>9</v>
      </c>
    </row>
    <row r="32">
      <c r="A32" s="106" t="n">
        <v>46019</v>
      </c>
      <c r="B32" s="107">
        <f>CHOOSE(WEEKDAY(A32,2),"月","火","水","木","金","土","日")</f>
        <v/>
      </c>
      <c r="C32" s="108" t="n">
        <v>0</v>
      </c>
      <c r="D32" s="108" t="n">
        <v>0</v>
      </c>
      <c r="E32" s="108" t="n">
        <v>36</v>
      </c>
      <c r="F32" s="108" t="n">
        <v>27</v>
      </c>
      <c r="G32" s="108" t="n">
        <v>9</v>
      </c>
    </row>
    <row r="33">
      <c r="A33" s="104" t="n">
        <v>46020</v>
      </c>
      <c r="B33" s="29">
        <f>CHOOSE(WEEKDAY(A33,2),"月","火","水","木","金","土","日")</f>
        <v/>
      </c>
      <c r="C33" s="105" t="n">
        <v>0</v>
      </c>
      <c r="D33" s="105" t="n">
        <v>0</v>
      </c>
      <c r="E33" s="105" t="n">
        <v>36</v>
      </c>
      <c r="F33" s="105" t="n">
        <v>27</v>
      </c>
      <c r="G33" s="105" t="n">
        <v>9</v>
      </c>
    </row>
    <row r="34">
      <c r="A34" s="104" t="n">
        <v>46021</v>
      </c>
      <c r="B34" s="29">
        <f>CHOOSE(WEEKDAY(A34,2),"月","火","水","木","金","土","日")</f>
        <v/>
      </c>
      <c r="C34" s="105" t="n">
        <v>2</v>
      </c>
      <c r="D34" s="105" t="n">
        <v>2</v>
      </c>
      <c r="E34" s="105" t="n">
        <v>38</v>
      </c>
      <c r="F34" s="105" t="n">
        <v>29</v>
      </c>
      <c r="G34" s="105" t="n">
        <v>9</v>
      </c>
    </row>
    <row r="35">
      <c r="A35" s="104" t="n">
        <v>46022</v>
      </c>
      <c r="B35" s="29">
        <f>CHOOSE(WEEKDAY(A35,2),"月","火","水","木","金","土","日")</f>
        <v/>
      </c>
      <c r="C35" s="105" t="n">
        <v>1</v>
      </c>
      <c r="D35" s="105" t="n">
        <v>2</v>
      </c>
      <c r="E35" s="105" t="n">
        <v>39</v>
      </c>
      <c r="F35" s="105" t="n">
        <v>31</v>
      </c>
      <c r="G35" s="105" t="n">
        <v>8</v>
      </c>
    </row>
    <row r="36">
      <c r="A36" s="104" t="n">
        <v>46023</v>
      </c>
      <c r="B36" s="29">
        <f>CHOOSE(WEEKDAY(A36,2),"月","火","水","木","金","土","日")</f>
        <v/>
      </c>
      <c r="C36" s="105" t="n">
        <v>0</v>
      </c>
      <c r="D36" s="105" t="n">
        <v>0</v>
      </c>
      <c r="E36" s="105" t="n">
        <v>39</v>
      </c>
      <c r="F36" s="105" t="n">
        <v>31</v>
      </c>
      <c r="G36" s="105" t="n">
        <v>8</v>
      </c>
    </row>
    <row r="37">
      <c r="A37" s="104" t="n">
        <v>46024</v>
      </c>
      <c r="B37" s="29">
        <f>CHOOSE(WEEKDAY(A37,2),"月","火","水","木","金","土","日")</f>
        <v/>
      </c>
      <c r="C37" s="105" t="n">
        <v>1</v>
      </c>
      <c r="D37" s="105" t="n">
        <v>1</v>
      </c>
      <c r="E37" s="105" t="n">
        <v>40</v>
      </c>
      <c r="F37" s="105" t="n">
        <v>32</v>
      </c>
      <c r="G37" s="105" t="n">
        <v>8</v>
      </c>
    </row>
    <row r="38">
      <c r="A38" s="106" t="n">
        <v>46025</v>
      </c>
      <c r="B38" s="107">
        <f>CHOOSE(WEEKDAY(A38,2),"月","火","水","木","金","土","日")</f>
        <v/>
      </c>
      <c r="C38" s="108" t="n">
        <v>0</v>
      </c>
      <c r="D38" s="108" t="n">
        <v>0</v>
      </c>
      <c r="E38" s="108" t="n">
        <v>40</v>
      </c>
      <c r="F38" s="108" t="n">
        <v>32</v>
      </c>
      <c r="G38" s="108" t="n">
        <v>8</v>
      </c>
    </row>
    <row r="39">
      <c r="A39" s="106" t="n">
        <v>46026</v>
      </c>
      <c r="B39" s="107">
        <f>CHOOSE(WEEKDAY(A39,2),"月","火","水","木","金","土","日")</f>
        <v/>
      </c>
      <c r="C39" s="108" t="n">
        <v>0</v>
      </c>
      <c r="D39" s="108" t="n">
        <v>0</v>
      </c>
      <c r="E39" s="108" t="n">
        <v>40</v>
      </c>
      <c r="F39" s="108" t="n">
        <v>32</v>
      </c>
      <c r="G39" s="108" t="n">
        <v>8</v>
      </c>
    </row>
    <row r="40">
      <c r="A40" s="104" t="n">
        <v>46027</v>
      </c>
      <c r="B40" s="29">
        <f>CHOOSE(WEEKDAY(A40,2),"月","火","水","木","金","土","日")</f>
        <v/>
      </c>
      <c r="C40" s="105" t="n">
        <v>2</v>
      </c>
      <c r="D40" s="105" t="n">
        <v>2</v>
      </c>
      <c r="E40" s="105" t="n">
        <v>42</v>
      </c>
      <c r="F40" s="105" t="n">
        <v>34</v>
      </c>
      <c r="G40" s="105" t="n">
        <v>8</v>
      </c>
    </row>
    <row r="41">
      <c r="A41" s="104" t="n">
        <v>46028</v>
      </c>
      <c r="B41" s="29">
        <f>CHOOSE(WEEKDAY(A41,2),"月","火","水","木","金","土","日")</f>
        <v/>
      </c>
      <c r="C41" s="105" t="n">
        <v>2</v>
      </c>
      <c r="D41" s="105" t="n">
        <v>2</v>
      </c>
      <c r="E41" s="105" t="n">
        <v>44</v>
      </c>
      <c r="F41" s="105" t="n">
        <v>36</v>
      </c>
      <c r="G41" s="105" t="n">
        <v>8</v>
      </c>
    </row>
    <row r="42">
      <c r="A42" s="104" t="n">
        <v>46029</v>
      </c>
      <c r="B42" s="29">
        <f>CHOOSE(WEEKDAY(A42,2),"月","火","水","木","金","土","日")</f>
        <v/>
      </c>
      <c r="C42" s="105" t="n">
        <v>1</v>
      </c>
      <c r="D42" s="105" t="n">
        <v>2</v>
      </c>
      <c r="E42" s="105" t="n">
        <v>45</v>
      </c>
      <c r="F42" s="105" t="n">
        <v>38</v>
      </c>
      <c r="G42" s="105" t="n">
        <v>7</v>
      </c>
    </row>
    <row r="43">
      <c r="A43" s="104" t="n">
        <v>46030</v>
      </c>
      <c r="B43" s="29">
        <f>CHOOSE(WEEKDAY(A43,2),"月","火","水","木","金","土","日")</f>
        <v/>
      </c>
      <c r="C43" s="105" t="n">
        <v>2</v>
      </c>
      <c r="D43" s="105" t="n">
        <v>0</v>
      </c>
      <c r="E43" s="105" t="n">
        <v>47</v>
      </c>
      <c r="F43" s="105" t="n">
        <v>38</v>
      </c>
      <c r="G43" s="105" t="n">
        <v>9</v>
      </c>
    </row>
    <row r="44">
      <c r="A44" s="104" t="n">
        <v>46031</v>
      </c>
      <c r="B44" s="29">
        <f>CHOOSE(WEEKDAY(A44,2),"月","火","水","木","金","土","日")</f>
        <v/>
      </c>
      <c r="C44" s="105" t="n">
        <v>3</v>
      </c>
      <c r="D44" s="105" t="n">
        <v>0</v>
      </c>
      <c r="E44" s="105" t="n">
        <v>50</v>
      </c>
      <c r="F44" s="105" t="n">
        <v>38</v>
      </c>
      <c r="G44" s="105" t="n">
        <v>12</v>
      </c>
    </row>
    <row r="45">
      <c r="A45" s="106" t="n">
        <v>46032</v>
      </c>
      <c r="B45" s="107">
        <f>CHOOSE(WEEKDAY(A45,2),"月","火","水","木","金","土","日")</f>
        <v/>
      </c>
      <c r="C45" s="108" t="n">
        <v>0</v>
      </c>
      <c r="D45" s="108" t="n">
        <v>0</v>
      </c>
      <c r="E45" s="108" t="n">
        <v>50</v>
      </c>
      <c r="F45" s="108" t="n">
        <v>38</v>
      </c>
      <c r="G45" s="108" t="n">
        <v>12</v>
      </c>
    </row>
    <row r="46">
      <c r="A46" s="106" t="n">
        <v>46033</v>
      </c>
      <c r="B46" s="107">
        <f>CHOOSE(WEEKDAY(A46,2),"月","火","水","木","金","土","日")</f>
        <v/>
      </c>
      <c r="C46" s="108" t="n">
        <v>0</v>
      </c>
      <c r="D46" s="108" t="n">
        <v>0</v>
      </c>
      <c r="E46" s="108" t="n">
        <v>50</v>
      </c>
      <c r="F46" s="108" t="n">
        <v>38</v>
      </c>
      <c r="G46" s="108" t="n">
        <v>12</v>
      </c>
    </row>
    <row r="47">
      <c r="A47" s="104" t="n">
        <v>46034</v>
      </c>
      <c r="B47" s="29">
        <f>CHOOSE(WEEKDAY(A47,2),"月","火","水","木","金","土","日")</f>
        <v/>
      </c>
      <c r="C47" s="105" t="n">
        <v>5</v>
      </c>
      <c r="D47" s="105" t="n">
        <v>1</v>
      </c>
      <c r="E47" s="105" t="n">
        <v>55</v>
      </c>
      <c r="F47" s="105" t="n">
        <v>39</v>
      </c>
      <c r="G47" s="105" t="n">
        <v>16</v>
      </c>
    </row>
    <row r="48">
      <c r="A48" s="104" t="n">
        <v>46035</v>
      </c>
      <c r="B48" s="29">
        <f>CHOOSE(WEEKDAY(A48,2),"月","火","水","木","金","土","日")</f>
        <v/>
      </c>
      <c r="C48" s="105" t="n">
        <v>2</v>
      </c>
      <c r="D48" s="105" t="n">
        <v>0</v>
      </c>
      <c r="E48" s="105" t="n">
        <v>57</v>
      </c>
      <c r="F48" s="105" t="n">
        <v>39</v>
      </c>
      <c r="G48" s="105" t="n">
        <v>18</v>
      </c>
    </row>
    <row r="49">
      <c r="A49" s="104" t="n">
        <v>46036</v>
      </c>
      <c r="B49" s="29">
        <f>CHOOSE(WEEKDAY(A49,2),"月","火","水","木","金","土","日")</f>
        <v/>
      </c>
      <c r="C49" s="105" t="n">
        <v>0</v>
      </c>
      <c r="D49" s="105" t="n">
        <v>2</v>
      </c>
      <c r="E49" s="105" t="n">
        <v>57</v>
      </c>
      <c r="F49" s="105" t="n">
        <v>41</v>
      </c>
      <c r="G49" s="105" t="n">
        <v>16</v>
      </c>
    </row>
    <row r="50">
      <c r="A50" s="104" t="n">
        <v>46037</v>
      </c>
      <c r="B50" s="29">
        <f>CHOOSE(WEEKDAY(A50,2),"月","火","水","木","金","土","日")</f>
        <v/>
      </c>
      <c r="C50" s="105" t="n">
        <v>4</v>
      </c>
      <c r="D50" s="105" t="n">
        <v>2</v>
      </c>
      <c r="E50" s="105" t="n">
        <v>61</v>
      </c>
      <c r="F50" s="105" t="n">
        <v>43</v>
      </c>
      <c r="G50" s="105" t="n">
        <v>18</v>
      </c>
    </row>
    <row r="51">
      <c r="A51" s="104" t="n">
        <v>46038</v>
      </c>
      <c r="B51" s="29">
        <f>CHOOSE(WEEKDAY(A51,2),"月","火","水","木","金","土","日")</f>
        <v/>
      </c>
      <c r="C51" s="105" t="n">
        <v>1</v>
      </c>
      <c r="D51" s="105" t="n">
        <v>1</v>
      </c>
      <c r="E51" s="105" t="n">
        <v>62</v>
      </c>
      <c r="F51" s="105" t="n">
        <v>44</v>
      </c>
      <c r="G51" s="105" t="n">
        <v>18</v>
      </c>
    </row>
    <row r="52">
      <c r="A52" s="106" t="n">
        <v>46039</v>
      </c>
      <c r="B52" s="107">
        <f>CHOOSE(WEEKDAY(A52,2),"月","火","水","木","金","土","日")</f>
        <v/>
      </c>
      <c r="C52" s="108" t="n">
        <v>0</v>
      </c>
      <c r="D52" s="108" t="n">
        <v>0</v>
      </c>
      <c r="E52" s="108" t="n">
        <v>62</v>
      </c>
      <c r="F52" s="108" t="n">
        <v>44</v>
      </c>
      <c r="G52" s="108" t="n">
        <v>18</v>
      </c>
    </row>
    <row r="53">
      <c r="A53" s="106" t="n">
        <v>46040</v>
      </c>
      <c r="B53" s="107">
        <f>CHOOSE(WEEKDAY(A53,2),"月","火","水","木","金","土","日")</f>
        <v/>
      </c>
      <c r="C53" s="108" t="n">
        <v>0</v>
      </c>
      <c r="D53" s="108" t="n">
        <v>0</v>
      </c>
      <c r="E53" s="108" t="n">
        <v>62</v>
      </c>
      <c r="F53" s="108" t="n">
        <v>44</v>
      </c>
      <c r="G53" s="108" t="n">
        <v>18</v>
      </c>
    </row>
    <row r="54">
      <c r="A54" s="104" t="n">
        <v>46041</v>
      </c>
      <c r="B54" s="29">
        <f>CHOOSE(WEEKDAY(A54,2),"月","火","水","木","金","土","日")</f>
        <v/>
      </c>
      <c r="C54" s="105" t="n">
        <v>2</v>
      </c>
      <c r="D54" s="105" t="n">
        <v>3</v>
      </c>
      <c r="E54" s="105" t="n">
        <v>64</v>
      </c>
      <c r="F54" s="105" t="n">
        <v>47</v>
      </c>
      <c r="G54" s="105" t="n">
        <v>17</v>
      </c>
    </row>
    <row r="55">
      <c r="A55" s="104" t="n">
        <v>46042</v>
      </c>
      <c r="B55" s="29">
        <f>CHOOSE(WEEKDAY(A55,2),"月","火","水","木","金","土","日")</f>
        <v/>
      </c>
      <c r="C55" s="105" t="n">
        <v>3</v>
      </c>
      <c r="D55" s="105" t="n">
        <v>3</v>
      </c>
      <c r="E55" s="105" t="n">
        <v>67</v>
      </c>
      <c r="F55" s="105" t="n">
        <v>50</v>
      </c>
      <c r="G55" s="105" t="n">
        <v>17</v>
      </c>
    </row>
    <row r="56">
      <c r="A56" s="104" t="n">
        <v>46043</v>
      </c>
      <c r="B56" s="29">
        <f>CHOOSE(WEEKDAY(A56,2),"月","火","水","木","金","土","日")</f>
        <v/>
      </c>
      <c r="C56" s="105" t="n">
        <v>0</v>
      </c>
      <c r="D56" s="105" t="n">
        <v>3</v>
      </c>
      <c r="E56" s="105" t="n">
        <v>67</v>
      </c>
      <c r="F56" s="105" t="n">
        <v>53</v>
      </c>
      <c r="G56" s="105" t="n">
        <v>14</v>
      </c>
    </row>
    <row r="57">
      <c r="A57" s="104" t="n">
        <v>46044</v>
      </c>
      <c r="B57" s="29">
        <f>CHOOSE(WEEKDAY(A57,2),"月","火","水","木","金","土","日")</f>
        <v/>
      </c>
      <c r="C57" s="105" t="n">
        <v>0</v>
      </c>
      <c r="D57" s="105" t="n">
        <v>2</v>
      </c>
      <c r="E57" s="105" t="n">
        <v>67</v>
      </c>
      <c r="F57" s="105" t="n">
        <v>55</v>
      </c>
      <c r="G57" s="105" t="n">
        <v>12</v>
      </c>
    </row>
    <row r="58">
      <c r="A58" s="104" t="n">
        <v>46045</v>
      </c>
      <c r="B58" s="29">
        <f>CHOOSE(WEEKDAY(A58,2),"月","火","水","木","金","土","日")</f>
        <v/>
      </c>
      <c r="C58" s="105" t="n">
        <v>2</v>
      </c>
      <c r="D58" s="105" t="n">
        <v>1</v>
      </c>
      <c r="E58" s="105" t="n">
        <v>69</v>
      </c>
      <c r="F58" s="105" t="n">
        <v>56</v>
      </c>
      <c r="G58" s="105" t="n">
        <v>13</v>
      </c>
    </row>
    <row r="59">
      <c r="A59" s="106" t="n">
        <v>46046</v>
      </c>
      <c r="B59" s="107">
        <f>CHOOSE(WEEKDAY(A59,2),"月","火","水","木","金","土","日")</f>
        <v/>
      </c>
      <c r="C59" s="108" t="n">
        <v>0</v>
      </c>
      <c r="D59" s="108" t="n">
        <v>0</v>
      </c>
      <c r="E59" s="108" t="n">
        <v>69</v>
      </c>
      <c r="F59" s="108" t="n">
        <v>56</v>
      </c>
      <c r="G59" s="108" t="n">
        <v>13</v>
      </c>
    </row>
    <row r="60">
      <c r="A60" s="106" t="n">
        <v>46047</v>
      </c>
      <c r="B60" s="107">
        <f>CHOOSE(WEEKDAY(A60,2),"月","火","水","木","金","土","日")</f>
        <v/>
      </c>
      <c r="C60" s="108" t="n">
        <v>0</v>
      </c>
      <c r="D60" s="108" t="n">
        <v>0</v>
      </c>
      <c r="E60" s="108" t="n">
        <v>69</v>
      </c>
      <c r="F60" s="108" t="n">
        <v>56</v>
      </c>
      <c r="G60" s="108" t="n">
        <v>13</v>
      </c>
    </row>
    <row r="61">
      <c r="A61" s="104" t="n">
        <v>46048</v>
      </c>
      <c r="B61" s="29">
        <f>CHOOSE(WEEKDAY(A61,2),"月","火","水","木","金","土","日")</f>
        <v/>
      </c>
      <c r="C61" s="105" t="n">
        <v>0</v>
      </c>
      <c r="D61" s="105" t="n">
        <v>2</v>
      </c>
      <c r="E61" s="105" t="n">
        <v>69</v>
      </c>
      <c r="F61" s="105" t="n">
        <v>58</v>
      </c>
      <c r="G61" s="105" t="n">
        <v>11</v>
      </c>
    </row>
    <row r="62">
      <c r="A62" s="104" t="n">
        <v>46049</v>
      </c>
      <c r="B62" s="29">
        <f>CHOOSE(WEEKDAY(A62,2),"月","火","水","木","金","土","日")</f>
        <v/>
      </c>
      <c r="C62" s="105" t="n">
        <v>0</v>
      </c>
      <c r="D62" s="105" t="n">
        <v>2</v>
      </c>
      <c r="E62" s="105" t="n">
        <v>69</v>
      </c>
      <c r="F62" s="105" t="n">
        <v>60</v>
      </c>
      <c r="G62" s="105" t="n">
        <v>9</v>
      </c>
    </row>
    <row r="63">
      <c r="A63" s="104" t="n">
        <v>46050</v>
      </c>
      <c r="B63" s="29">
        <f>CHOOSE(WEEKDAY(A63,2),"月","火","水","木","金","土","日")</f>
        <v/>
      </c>
      <c r="C63" s="105" t="n">
        <v>1</v>
      </c>
      <c r="D63" s="105" t="n">
        <v>2</v>
      </c>
      <c r="E63" s="105" t="n">
        <v>70</v>
      </c>
      <c r="F63" s="105" t="n">
        <v>62</v>
      </c>
      <c r="G63" s="105" t="n">
        <v>8</v>
      </c>
    </row>
    <row r="64">
      <c r="A64" s="104" t="n">
        <v>46051</v>
      </c>
      <c r="B64" s="29">
        <f>CHOOSE(WEEKDAY(A64,2),"月","火","水","木","金","土","日")</f>
        <v/>
      </c>
      <c r="C64" s="105" t="n">
        <v>3</v>
      </c>
      <c r="D64" s="105" t="n">
        <v>0</v>
      </c>
      <c r="E64" s="105" t="n">
        <v>73</v>
      </c>
      <c r="F64" s="105" t="n">
        <v>62</v>
      </c>
      <c r="G64" s="105" t="n">
        <v>11</v>
      </c>
    </row>
    <row r="65">
      <c r="A65" s="104" t="n">
        <v>46052</v>
      </c>
      <c r="B65" s="29">
        <f>CHOOSE(WEEKDAY(A65,2),"月","火","水","木","金","土","日")</f>
        <v/>
      </c>
      <c r="C65" s="105" t="n">
        <v>1</v>
      </c>
      <c r="D65" s="105" t="n">
        <v>3</v>
      </c>
      <c r="E65" s="105" t="n">
        <v>74</v>
      </c>
      <c r="F65" s="105" t="n">
        <v>65</v>
      </c>
      <c r="G65" s="105" t="n">
        <v>9</v>
      </c>
    </row>
    <row r="66">
      <c r="A66" s="106" t="n">
        <v>46053</v>
      </c>
      <c r="B66" s="107">
        <f>CHOOSE(WEEKDAY(A66,2),"月","火","水","木","金","土","日")</f>
        <v/>
      </c>
      <c r="C66" s="108" t="n">
        <v>0</v>
      </c>
      <c r="D66" s="108" t="n">
        <v>0</v>
      </c>
      <c r="E66" s="108" t="n">
        <v>74</v>
      </c>
      <c r="F66" s="108" t="n">
        <v>65</v>
      </c>
      <c r="G66" s="108" t="n">
        <v>9</v>
      </c>
    </row>
    <row r="67">
      <c r="A67" s="106" t="n">
        <v>46054</v>
      </c>
      <c r="B67" s="107">
        <f>CHOOSE(WEEKDAY(A67,2),"月","火","水","木","金","土","日")</f>
        <v/>
      </c>
      <c r="C67" s="108" t="n">
        <v>0</v>
      </c>
      <c r="D67" s="108" t="n">
        <v>0</v>
      </c>
      <c r="E67" s="108" t="n">
        <v>74</v>
      </c>
      <c r="F67" s="108" t="n">
        <v>65</v>
      </c>
      <c r="G67" s="108" t="n">
        <v>9</v>
      </c>
    </row>
    <row r="68">
      <c r="A68" s="104" t="n">
        <v>46055</v>
      </c>
      <c r="B68" s="29">
        <f>CHOOSE(WEEKDAY(A68,2),"月","火","水","木","金","土","日")</f>
        <v/>
      </c>
      <c r="C68" s="105" t="n">
        <v>0</v>
      </c>
      <c r="D68" s="105" t="n">
        <v>0</v>
      </c>
      <c r="E68" s="105" t="n">
        <v>74</v>
      </c>
      <c r="F68" s="105" t="n">
        <v>65</v>
      </c>
      <c r="G68" s="105" t="n">
        <v>9</v>
      </c>
    </row>
    <row r="69">
      <c r="A69" s="104" t="n">
        <v>46056</v>
      </c>
      <c r="B69" s="29">
        <f>CHOOSE(WEEKDAY(A69,2),"月","火","水","木","金","土","日")</f>
        <v/>
      </c>
      <c r="C69" s="105" t="n">
        <v>2</v>
      </c>
      <c r="D69" s="105" t="n">
        <v>2</v>
      </c>
      <c r="E69" s="105" t="n">
        <v>76</v>
      </c>
      <c r="F69" s="105" t="n">
        <v>67</v>
      </c>
      <c r="G69" s="105" t="n">
        <v>9</v>
      </c>
    </row>
    <row r="70">
      <c r="A70" s="104" t="n">
        <v>46057</v>
      </c>
      <c r="B70" s="29">
        <f>CHOOSE(WEEKDAY(A70,2),"月","火","水","木","金","土","日")</f>
        <v/>
      </c>
      <c r="C70" s="105" t="n">
        <v>4</v>
      </c>
      <c r="D70" s="105" t="n">
        <v>1</v>
      </c>
      <c r="E70" s="105" t="n">
        <v>80</v>
      </c>
      <c r="F70" s="105" t="n">
        <v>68</v>
      </c>
      <c r="G70" s="105" t="n">
        <v>12</v>
      </c>
    </row>
    <row r="71">
      <c r="A71" s="104" t="n">
        <v>46058</v>
      </c>
      <c r="B71" s="29">
        <f>CHOOSE(WEEKDAY(A71,2),"月","火","水","木","金","土","日")</f>
        <v/>
      </c>
      <c r="C71" s="105" t="n">
        <v>0</v>
      </c>
      <c r="D71" s="105" t="n">
        <v>2</v>
      </c>
      <c r="E71" s="105" t="n">
        <v>80</v>
      </c>
      <c r="F71" s="105" t="n">
        <v>70</v>
      </c>
      <c r="G71" s="105" t="n">
        <v>10</v>
      </c>
    </row>
    <row r="72">
      <c r="A72" s="104" t="n">
        <v>46059</v>
      </c>
      <c r="B72" s="29">
        <f>CHOOSE(WEEKDAY(A72,2),"月","火","水","木","金","土","日")</f>
        <v/>
      </c>
      <c r="C72" s="105" t="n">
        <v>3</v>
      </c>
      <c r="D72" s="105" t="n">
        <v>3</v>
      </c>
      <c r="E72" s="105" t="n">
        <v>83</v>
      </c>
      <c r="F72" s="105" t="n">
        <v>73</v>
      </c>
      <c r="G72" s="105" t="n">
        <v>10</v>
      </c>
    </row>
    <row r="73">
      <c r="A73" s="106" t="n">
        <v>46060</v>
      </c>
      <c r="B73" s="107">
        <f>CHOOSE(WEEKDAY(A73,2),"月","火","水","木","金","土","日")</f>
        <v/>
      </c>
      <c r="C73" s="108" t="n">
        <v>0</v>
      </c>
      <c r="D73" s="108" t="n">
        <v>0</v>
      </c>
      <c r="E73" s="108" t="n">
        <v>83</v>
      </c>
      <c r="F73" s="108" t="n">
        <v>73</v>
      </c>
      <c r="G73" s="108" t="n">
        <v>10</v>
      </c>
    </row>
    <row r="74">
      <c r="A74" s="106" t="n">
        <v>46061</v>
      </c>
      <c r="B74" s="107">
        <f>CHOOSE(WEEKDAY(A74,2),"月","火","水","木","金","土","日")</f>
        <v/>
      </c>
      <c r="C74" s="108" t="n">
        <v>0</v>
      </c>
      <c r="D74" s="108" t="n">
        <v>0</v>
      </c>
      <c r="E74" s="108" t="n">
        <v>83</v>
      </c>
      <c r="F74" s="108" t="n">
        <v>73</v>
      </c>
      <c r="G74" s="108" t="n">
        <v>10</v>
      </c>
    </row>
    <row r="75">
      <c r="A75" s="104" t="n">
        <v>46062</v>
      </c>
      <c r="B75" s="29">
        <f>CHOOSE(WEEKDAY(A75,2),"月","火","水","木","金","土","日")</f>
        <v/>
      </c>
      <c r="C75" s="105" t="n">
        <v>1</v>
      </c>
      <c r="D75" s="105" t="n">
        <v>2</v>
      </c>
      <c r="E75" s="105" t="n">
        <v>84</v>
      </c>
      <c r="F75" s="105" t="n">
        <v>75</v>
      </c>
      <c r="G75" s="105" t="n">
        <v>9</v>
      </c>
    </row>
    <row r="76">
      <c r="A76" s="104" t="n">
        <v>46063</v>
      </c>
      <c r="B76" s="29">
        <f>CHOOSE(WEEKDAY(A76,2),"月","火","水","木","金","土","日")</f>
        <v/>
      </c>
      <c r="C76" s="105" t="n">
        <v>3</v>
      </c>
      <c r="D76" s="105" t="n">
        <v>2</v>
      </c>
      <c r="E76" s="105" t="n">
        <v>87</v>
      </c>
      <c r="F76" s="105" t="n">
        <v>77</v>
      </c>
      <c r="G76" s="105" t="n">
        <v>10</v>
      </c>
    </row>
    <row r="77">
      <c r="A77" s="104" t="n">
        <v>46064</v>
      </c>
      <c r="B77" s="29">
        <f>CHOOSE(WEEKDAY(A77,2),"月","火","水","木","金","土","日")</f>
        <v/>
      </c>
      <c r="C77" s="105" t="n">
        <v>1</v>
      </c>
      <c r="D77" s="105" t="n">
        <v>2</v>
      </c>
      <c r="E77" s="105" t="n">
        <v>88</v>
      </c>
      <c r="F77" s="105" t="n">
        <v>79</v>
      </c>
      <c r="G77" s="105" t="n">
        <v>9</v>
      </c>
    </row>
    <row r="78">
      <c r="A78" s="104" t="n">
        <v>46065</v>
      </c>
      <c r="B78" s="29">
        <f>CHOOSE(WEEKDAY(A78,2),"月","火","水","木","金","土","日")</f>
        <v/>
      </c>
      <c r="C78" s="105" t="n">
        <v>0</v>
      </c>
      <c r="D78" s="105" t="n">
        <v>2</v>
      </c>
      <c r="E78" s="105" t="n">
        <v>88</v>
      </c>
      <c r="F78" s="105" t="n">
        <v>81</v>
      </c>
      <c r="G78" s="105" t="n">
        <v>7</v>
      </c>
    </row>
    <row r="79">
      <c r="A79" s="104" t="n">
        <v>46066</v>
      </c>
      <c r="B79" s="29">
        <f>CHOOSE(WEEKDAY(A79,2),"月","火","水","木","金","土","日")</f>
        <v/>
      </c>
      <c r="C79" s="105" t="n">
        <v>1</v>
      </c>
      <c r="D79" s="105" t="n">
        <v>0</v>
      </c>
      <c r="E79" s="105" t="n">
        <v>89</v>
      </c>
      <c r="F79" s="105" t="n">
        <v>81</v>
      </c>
      <c r="G79" s="105" t="n">
        <v>8</v>
      </c>
    </row>
    <row r="80">
      <c r="A80" s="106" t="n">
        <v>46067</v>
      </c>
      <c r="B80" s="107">
        <f>CHOOSE(WEEKDAY(A80,2),"月","火","水","木","金","土","日")</f>
        <v/>
      </c>
      <c r="C80" s="108" t="n">
        <v>0</v>
      </c>
      <c r="D80" s="108" t="n">
        <v>0</v>
      </c>
      <c r="E80" s="108" t="n">
        <v>89</v>
      </c>
      <c r="F80" s="108" t="n">
        <v>81</v>
      </c>
      <c r="G80" s="108" t="n">
        <v>8</v>
      </c>
    </row>
    <row r="81">
      <c r="A81" s="106" t="n">
        <v>46068</v>
      </c>
      <c r="B81" s="107">
        <f>CHOOSE(WEEKDAY(A81,2),"月","火","水","木","金","土","日")</f>
        <v/>
      </c>
      <c r="C81" s="108" t="n">
        <v>0</v>
      </c>
      <c r="D81" s="108" t="n">
        <v>0</v>
      </c>
      <c r="E81" s="108" t="n">
        <v>89</v>
      </c>
      <c r="F81" s="108" t="n">
        <v>81</v>
      </c>
      <c r="G81" s="108" t="n">
        <v>8</v>
      </c>
    </row>
    <row r="82">
      <c r="A82" s="104" t="n">
        <v>46069</v>
      </c>
      <c r="B82" s="29">
        <f>CHOOSE(WEEKDAY(A82,2),"月","火","水","木","金","土","日")</f>
        <v/>
      </c>
      <c r="C82" s="105" t="n">
        <v>2</v>
      </c>
      <c r="D82" s="105" t="n">
        <v>2</v>
      </c>
      <c r="E82" s="105" t="n">
        <v>91</v>
      </c>
      <c r="F82" s="105" t="n">
        <v>83</v>
      </c>
      <c r="G82" s="105" t="n">
        <v>8</v>
      </c>
    </row>
    <row r="83">
      <c r="A83" s="104" t="n">
        <v>46070</v>
      </c>
      <c r="B83" s="29">
        <f>CHOOSE(WEEKDAY(A83,2),"月","火","水","木","金","土","日")</f>
        <v/>
      </c>
      <c r="C83" s="105" t="n">
        <v>1</v>
      </c>
      <c r="D83" s="105" t="n">
        <v>1</v>
      </c>
      <c r="E83" s="105" t="n">
        <v>92</v>
      </c>
      <c r="F83" s="105" t="n">
        <v>84</v>
      </c>
      <c r="G83" s="105" t="n">
        <v>8</v>
      </c>
    </row>
    <row r="84">
      <c r="A84" s="104" t="n">
        <v>46071</v>
      </c>
      <c r="B84" s="29">
        <f>CHOOSE(WEEKDAY(A84,2),"月","火","水","木","金","土","日")</f>
        <v/>
      </c>
      <c r="C84" s="105" t="n">
        <v>2</v>
      </c>
      <c r="D84" s="105" t="n">
        <v>0</v>
      </c>
      <c r="E84" s="105" t="n">
        <v>94</v>
      </c>
      <c r="F84" s="105" t="n">
        <v>84</v>
      </c>
      <c r="G84" s="105" t="n">
        <v>10</v>
      </c>
    </row>
    <row r="85">
      <c r="A85" s="104" t="n">
        <v>46072</v>
      </c>
      <c r="B85" s="29">
        <f>CHOOSE(WEEKDAY(A85,2),"月","火","水","木","金","土","日")</f>
        <v/>
      </c>
      <c r="C85" s="105" t="n">
        <v>3</v>
      </c>
      <c r="D85" s="105" t="n">
        <v>2</v>
      </c>
      <c r="E85" s="105" t="n">
        <v>97</v>
      </c>
      <c r="F85" s="105" t="n">
        <v>86</v>
      </c>
      <c r="G85" s="105" t="n">
        <v>11</v>
      </c>
    </row>
    <row r="86">
      <c r="A86" s="104" t="n">
        <v>46073</v>
      </c>
      <c r="B86" s="29">
        <f>CHOOSE(WEEKDAY(A86,2),"月","火","水","木","金","土","日")</f>
        <v/>
      </c>
      <c r="C86" s="105" t="n">
        <v>3</v>
      </c>
      <c r="D86" s="105" t="n">
        <v>2</v>
      </c>
      <c r="E86" s="105" t="n">
        <v>100</v>
      </c>
      <c r="F86" s="105" t="n">
        <v>88</v>
      </c>
      <c r="G86" s="105" t="n">
        <v>12</v>
      </c>
    </row>
    <row r="87">
      <c r="A87" s="106" t="n">
        <v>46074</v>
      </c>
      <c r="B87" s="107">
        <f>CHOOSE(WEEKDAY(A87,2),"月","火","水","木","金","土","日")</f>
        <v/>
      </c>
      <c r="C87" s="108" t="n">
        <v>0</v>
      </c>
      <c r="D87" s="108" t="n">
        <v>0</v>
      </c>
      <c r="E87" s="108" t="n">
        <v>100</v>
      </c>
      <c r="F87" s="108" t="n">
        <v>88</v>
      </c>
      <c r="G87" s="108" t="n">
        <v>12</v>
      </c>
    </row>
    <row r="88">
      <c r="A88" s="106" t="n">
        <v>46075</v>
      </c>
      <c r="B88" s="107">
        <f>CHOOSE(WEEKDAY(A88,2),"月","火","水","木","金","土","日")</f>
        <v/>
      </c>
      <c r="C88" s="108" t="n">
        <v>0</v>
      </c>
      <c r="D88" s="108" t="n">
        <v>0</v>
      </c>
      <c r="E88" s="108" t="n">
        <v>100</v>
      </c>
      <c r="F88" s="108" t="n">
        <v>88</v>
      </c>
      <c r="G88" s="108" t="n">
        <v>12</v>
      </c>
    </row>
    <row r="89">
      <c r="A89" s="104" t="n">
        <v>46076</v>
      </c>
      <c r="B89" s="29">
        <f>CHOOSE(WEEKDAY(A89,2),"月","火","水","木","金","土","日")</f>
        <v/>
      </c>
      <c r="C89" s="105" t="n">
        <v>1</v>
      </c>
      <c r="D89" s="105" t="n">
        <v>2</v>
      </c>
      <c r="E89" s="105" t="n">
        <v>101</v>
      </c>
      <c r="F89" s="105" t="n">
        <v>90</v>
      </c>
      <c r="G89" s="105" t="n">
        <v>11</v>
      </c>
    </row>
    <row r="90">
      <c r="A90" s="104" t="n">
        <v>46077</v>
      </c>
      <c r="B90" s="29">
        <f>CHOOSE(WEEKDAY(A90,2),"月","火","水","木","金","土","日")</f>
        <v/>
      </c>
      <c r="C90" s="105" t="n">
        <v>2</v>
      </c>
      <c r="D90" s="105" t="n">
        <v>2</v>
      </c>
      <c r="E90" s="105" t="n">
        <v>103</v>
      </c>
      <c r="F90" s="105" t="n">
        <v>92</v>
      </c>
      <c r="G90" s="105" t="n">
        <v>11</v>
      </c>
    </row>
    <row r="91">
      <c r="A91" s="104" t="n">
        <v>46078</v>
      </c>
      <c r="B91" s="29">
        <f>CHOOSE(WEEKDAY(A91,2),"月","火","水","木","金","土","日")</f>
        <v/>
      </c>
      <c r="C91" s="105" t="n">
        <v>2</v>
      </c>
      <c r="D91" s="105" t="n">
        <v>2</v>
      </c>
      <c r="E91" s="105" t="n">
        <v>105</v>
      </c>
      <c r="F91" s="105" t="n">
        <v>94</v>
      </c>
      <c r="G91" s="105" t="n">
        <v>11</v>
      </c>
    </row>
    <row r="92">
      <c r="A92" s="104" t="n">
        <v>46079</v>
      </c>
      <c r="B92" s="29">
        <f>CHOOSE(WEEKDAY(A92,2),"月","火","水","木","金","土","日")</f>
        <v/>
      </c>
      <c r="C92" s="105" t="n">
        <v>3</v>
      </c>
      <c r="D92" s="105" t="n">
        <v>1</v>
      </c>
      <c r="E92" s="105" t="n">
        <v>108</v>
      </c>
      <c r="F92" s="105" t="n">
        <v>95</v>
      </c>
      <c r="G92" s="105" t="n">
        <v>13</v>
      </c>
    </row>
    <row r="93">
      <c r="A93" s="104" t="n">
        <v>46080</v>
      </c>
      <c r="B93" s="29">
        <f>CHOOSE(WEEKDAY(A93,2),"月","火","水","木","金","土","日")</f>
        <v/>
      </c>
      <c r="C93" s="105" t="n">
        <v>2</v>
      </c>
      <c r="D93" s="105" t="n">
        <v>2</v>
      </c>
      <c r="E93" s="105" t="n">
        <v>110</v>
      </c>
      <c r="F93" s="105" t="n">
        <v>97</v>
      </c>
      <c r="G93" s="105" t="n">
        <v>13</v>
      </c>
    </row>
    <row r="94">
      <c r="A94" s="106" t="n">
        <v>46081</v>
      </c>
      <c r="B94" s="107">
        <f>CHOOSE(WEEKDAY(A94,2),"月","火","水","木","金","土","日")</f>
        <v/>
      </c>
      <c r="C94" s="108" t="n">
        <v>0</v>
      </c>
      <c r="D94" s="108" t="n">
        <v>0</v>
      </c>
      <c r="E94" s="108" t="n">
        <v>110</v>
      </c>
      <c r="F94" s="108" t="n">
        <v>97</v>
      </c>
      <c r="G94" s="108" t="n">
        <v>13</v>
      </c>
    </row>
    <row r="95">
      <c r="A95" s="106" t="n">
        <v>46082</v>
      </c>
      <c r="B95" s="107">
        <f>CHOOSE(WEEKDAY(A95,2),"月","火","水","木","金","土","日")</f>
        <v/>
      </c>
      <c r="C95" s="108" t="n">
        <v>0</v>
      </c>
      <c r="D95" s="108" t="n">
        <v>0</v>
      </c>
      <c r="E95" s="108" t="n">
        <v>110</v>
      </c>
      <c r="F95" s="108" t="n">
        <v>97</v>
      </c>
      <c r="G95" s="108" t="n">
        <v>13</v>
      </c>
    </row>
    <row r="96">
      <c r="A96" s="104" t="n">
        <v>46083</v>
      </c>
      <c r="B96" s="29">
        <f>CHOOSE(WEEKDAY(A96,2),"月","火","水","木","金","土","日")</f>
        <v/>
      </c>
      <c r="C96" s="105" t="n">
        <v>3</v>
      </c>
      <c r="D96" s="105" t="n">
        <v>0</v>
      </c>
      <c r="E96" s="105" t="n">
        <v>113</v>
      </c>
      <c r="F96" s="105" t="n">
        <v>97</v>
      </c>
      <c r="G96" s="105" t="n">
        <v>16</v>
      </c>
    </row>
    <row r="97">
      <c r="A97" s="104" t="n">
        <v>46084</v>
      </c>
      <c r="B97" s="29">
        <f>CHOOSE(WEEKDAY(A97,2),"月","火","水","木","金","土","日")</f>
        <v/>
      </c>
      <c r="C97" s="105" t="n">
        <v>0</v>
      </c>
      <c r="D97" s="105" t="n">
        <v>1</v>
      </c>
      <c r="E97" s="105" t="n">
        <v>113</v>
      </c>
      <c r="F97" s="105" t="n">
        <v>98</v>
      </c>
      <c r="G97" s="105" t="n">
        <v>15</v>
      </c>
    </row>
    <row r="98">
      <c r="A98" s="104" t="n">
        <v>46085</v>
      </c>
      <c r="B98" s="29">
        <f>CHOOSE(WEEKDAY(A98,2),"月","火","水","木","金","土","日")</f>
        <v/>
      </c>
      <c r="C98" s="105" t="n">
        <v>1</v>
      </c>
      <c r="D98" s="105" t="n">
        <v>3</v>
      </c>
      <c r="E98" s="105" t="n">
        <v>114</v>
      </c>
      <c r="F98" s="105" t="n">
        <v>101</v>
      </c>
      <c r="G98" s="105" t="n">
        <v>13</v>
      </c>
    </row>
    <row r="99">
      <c r="A99" s="104" t="n">
        <v>46086</v>
      </c>
      <c r="B99" s="29">
        <f>CHOOSE(WEEKDAY(A99,2),"月","火","水","木","金","土","日")</f>
        <v/>
      </c>
      <c r="C99" s="105" t="n">
        <v>0</v>
      </c>
      <c r="D99" s="105" t="n">
        <v>2</v>
      </c>
      <c r="E99" s="105" t="n">
        <v>114</v>
      </c>
      <c r="F99" s="105" t="n">
        <v>103</v>
      </c>
      <c r="G99" s="105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FAADC"/>
    <outlinePr summaryBelow="1" summaryRight="1"/>
    <pageSetUpPr/>
  </sheetPr>
  <dimension ref="A1:G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03" t="inlineStr">
        <is>
          <t>欠陥サマリー - オンライン</t>
        </is>
      </c>
    </row>
    <row r="4">
      <c r="A4" s="8" t="inlineStr">
        <is>
          <t>日付</t>
        </is>
      </c>
      <c r="B4" s="8" t="inlineStr">
        <is>
          <t>曜</t>
        </is>
      </c>
      <c r="C4" s="8" t="inlineStr">
        <is>
          <t>検出</t>
        </is>
      </c>
      <c r="D4" s="8" t="inlineStr">
        <is>
          <t>対応</t>
        </is>
      </c>
      <c r="E4" s="8" t="inlineStr">
        <is>
          <t>累積検出</t>
        </is>
      </c>
      <c r="F4" s="8" t="inlineStr">
        <is>
          <t>累積対応</t>
        </is>
      </c>
      <c r="G4" s="8" t="inlineStr">
        <is>
          <t>累積未対応</t>
        </is>
      </c>
    </row>
    <row r="5">
      <c r="A5" s="104" t="n">
        <v>45992</v>
      </c>
      <c r="B5" s="29">
        <f>CHOOSE(WEEKDAY(A5,2),"月","火","水","木","金","土","日")</f>
        <v/>
      </c>
      <c r="C5" s="105" t="n">
        <v>0</v>
      </c>
      <c r="D5" s="105" t="n">
        <v>0</v>
      </c>
      <c r="E5" s="105" t="n">
        <v>0</v>
      </c>
      <c r="F5" s="105" t="n">
        <v>0</v>
      </c>
      <c r="G5" s="105" t="n">
        <v>0</v>
      </c>
    </row>
    <row r="6">
      <c r="A6" s="104" t="n">
        <v>45993</v>
      </c>
      <c r="B6" s="29">
        <f>CHOOSE(WEEKDAY(A6,2),"月","火","水","木","金","土","日")</f>
        <v/>
      </c>
      <c r="C6" s="105" t="n">
        <v>0</v>
      </c>
      <c r="D6" s="105" t="n">
        <v>0</v>
      </c>
      <c r="E6" s="105" t="n">
        <v>0</v>
      </c>
      <c r="F6" s="105" t="n">
        <v>0</v>
      </c>
      <c r="G6" s="105" t="n">
        <v>0</v>
      </c>
    </row>
    <row r="7">
      <c r="A7" s="104" t="n">
        <v>45994</v>
      </c>
      <c r="B7" s="29">
        <f>CHOOSE(WEEKDAY(A7,2),"月","火","水","木","金","土","日")</f>
        <v/>
      </c>
      <c r="C7" s="105" t="n">
        <v>0</v>
      </c>
      <c r="D7" s="105" t="n">
        <v>0</v>
      </c>
      <c r="E7" s="105" t="n">
        <v>0</v>
      </c>
      <c r="F7" s="105" t="n">
        <v>0</v>
      </c>
      <c r="G7" s="105" t="n">
        <v>0</v>
      </c>
    </row>
    <row r="8">
      <c r="A8" s="104" t="n">
        <v>45995</v>
      </c>
      <c r="B8" s="29">
        <f>CHOOSE(WEEKDAY(A8,2),"月","火","水","木","金","土","日")</f>
        <v/>
      </c>
      <c r="C8" s="105" t="n">
        <v>1</v>
      </c>
      <c r="D8" s="105" t="n">
        <v>0</v>
      </c>
      <c r="E8" s="105" t="n">
        <v>1</v>
      </c>
      <c r="F8" s="105" t="n">
        <v>0</v>
      </c>
      <c r="G8" s="105" t="n">
        <v>1</v>
      </c>
    </row>
    <row r="9">
      <c r="A9" s="104" t="n">
        <v>45996</v>
      </c>
      <c r="B9" s="29">
        <f>CHOOSE(WEEKDAY(A9,2),"月","火","水","木","金","土","日")</f>
        <v/>
      </c>
      <c r="C9" s="105" t="n">
        <v>0</v>
      </c>
      <c r="D9" s="105" t="n">
        <v>0</v>
      </c>
      <c r="E9" s="105" t="n">
        <v>1</v>
      </c>
      <c r="F9" s="105" t="n">
        <v>0</v>
      </c>
      <c r="G9" s="105" t="n">
        <v>1</v>
      </c>
    </row>
    <row r="10">
      <c r="A10" s="106" t="n">
        <v>45997</v>
      </c>
      <c r="B10" s="107">
        <f>CHOOSE(WEEKDAY(A10,2),"月","火","水","木","金","土","日")</f>
        <v/>
      </c>
      <c r="C10" s="108" t="n">
        <v>0</v>
      </c>
      <c r="D10" s="108" t="n">
        <v>0</v>
      </c>
      <c r="E10" s="108" t="n">
        <v>1</v>
      </c>
      <c r="F10" s="108" t="n">
        <v>0</v>
      </c>
      <c r="G10" s="108" t="n">
        <v>1</v>
      </c>
    </row>
    <row r="11">
      <c r="A11" s="106" t="n">
        <v>45998</v>
      </c>
      <c r="B11" s="107">
        <f>CHOOSE(WEEKDAY(A11,2),"月","火","水","木","金","土","日")</f>
        <v/>
      </c>
      <c r="C11" s="108" t="n">
        <v>0</v>
      </c>
      <c r="D11" s="108" t="n">
        <v>0</v>
      </c>
      <c r="E11" s="108" t="n">
        <v>1</v>
      </c>
      <c r="F11" s="108" t="n">
        <v>0</v>
      </c>
      <c r="G11" s="108" t="n">
        <v>1</v>
      </c>
    </row>
    <row r="12">
      <c r="A12" s="104" t="n">
        <v>45999</v>
      </c>
      <c r="B12" s="29">
        <f>CHOOSE(WEEKDAY(A12,2),"月","火","水","木","金","土","日")</f>
        <v/>
      </c>
      <c r="C12" s="105" t="n">
        <v>0</v>
      </c>
      <c r="D12" s="105" t="n">
        <v>0</v>
      </c>
      <c r="E12" s="105" t="n">
        <v>1</v>
      </c>
      <c r="F12" s="105" t="n">
        <v>0</v>
      </c>
      <c r="G12" s="105" t="n">
        <v>1</v>
      </c>
    </row>
    <row r="13">
      <c r="A13" s="104" t="n">
        <v>46000</v>
      </c>
      <c r="B13" s="29">
        <f>CHOOSE(WEEKDAY(A13,2),"月","火","水","木","金","土","日")</f>
        <v/>
      </c>
      <c r="C13" s="105" t="n">
        <v>0</v>
      </c>
      <c r="D13" s="105" t="n">
        <v>0</v>
      </c>
      <c r="E13" s="105" t="n">
        <v>1</v>
      </c>
      <c r="F13" s="105" t="n">
        <v>0</v>
      </c>
      <c r="G13" s="105" t="n">
        <v>1</v>
      </c>
    </row>
    <row r="14">
      <c r="A14" s="104" t="n">
        <v>46001</v>
      </c>
      <c r="B14" s="29">
        <f>CHOOSE(WEEKDAY(A14,2),"月","火","水","木","金","土","日")</f>
        <v/>
      </c>
      <c r="C14" s="105" t="n">
        <v>0</v>
      </c>
      <c r="D14" s="105" t="n">
        <v>0</v>
      </c>
      <c r="E14" s="105" t="n">
        <v>1</v>
      </c>
      <c r="F14" s="105" t="n">
        <v>0</v>
      </c>
      <c r="G14" s="105" t="n">
        <v>1</v>
      </c>
    </row>
    <row r="15">
      <c r="A15" s="104" t="n">
        <v>46002</v>
      </c>
      <c r="B15" s="29">
        <f>CHOOSE(WEEKDAY(A15,2),"月","火","水","木","金","土","日")</f>
        <v/>
      </c>
      <c r="C15" s="105" t="n">
        <v>2</v>
      </c>
      <c r="D15" s="105" t="n">
        <v>1</v>
      </c>
      <c r="E15" s="105" t="n">
        <v>3</v>
      </c>
      <c r="F15" s="105" t="n">
        <v>1</v>
      </c>
      <c r="G15" s="105" t="n">
        <v>2</v>
      </c>
    </row>
    <row r="16">
      <c r="A16" s="104" t="n">
        <v>46003</v>
      </c>
      <c r="B16" s="29">
        <f>CHOOSE(WEEKDAY(A16,2),"月","火","水","木","金","土","日")</f>
        <v/>
      </c>
      <c r="C16" s="105" t="n">
        <v>0</v>
      </c>
      <c r="D16" s="105" t="n">
        <v>0</v>
      </c>
      <c r="E16" s="105" t="n">
        <v>3</v>
      </c>
      <c r="F16" s="105" t="n">
        <v>1</v>
      </c>
      <c r="G16" s="105" t="n">
        <v>2</v>
      </c>
    </row>
    <row r="17">
      <c r="A17" s="106" t="n">
        <v>46004</v>
      </c>
      <c r="B17" s="107">
        <f>CHOOSE(WEEKDAY(A17,2),"月","火","水","木","金","土","日")</f>
        <v/>
      </c>
      <c r="C17" s="108" t="n">
        <v>0</v>
      </c>
      <c r="D17" s="108" t="n">
        <v>0</v>
      </c>
      <c r="E17" s="108" t="n">
        <v>3</v>
      </c>
      <c r="F17" s="108" t="n">
        <v>1</v>
      </c>
      <c r="G17" s="108" t="n">
        <v>2</v>
      </c>
    </row>
    <row r="18">
      <c r="A18" s="106" t="n">
        <v>46005</v>
      </c>
      <c r="B18" s="107">
        <f>CHOOSE(WEEKDAY(A18,2),"月","火","水","木","金","土","日")</f>
        <v/>
      </c>
      <c r="C18" s="108" t="n">
        <v>0</v>
      </c>
      <c r="D18" s="108" t="n">
        <v>0</v>
      </c>
      <c r="E18" s="108" t="n">
        <v>3</v>
      </c>
      <c r="F18" s="108" t="n">
        <v>1</v>
      </c>
      <c r="G18" s="108" t="n">
        <v>2</v>
      </c>
    </row>
    <row r="19">
      <c r="A19" s="104" t="n">
        <v>46006</v>
      </c>
      <c r="B19" s="29">
        <f>CHOOSE(WEEKDAY(A19,2),"月","火","水","木","金","土","日")</f>
        <v/>
      </c>
      <c r="C19" s="105" t="n">
        <v>1</v>
      </c>
      <c r="D19" s="105" t="n">
        <v>1</v>
      </c>
      <c r="E19" s="105" t="n">
        <v>4</v>
      </c>
      <c r="F19" s="105" t="n">
        <v>2</v>
      </c>
      <c r="G19" s="105" t="n">
        <v>2</v>
      </c>
    </row>
    <row r="20">
      <c r="A20" s="104" t="n">
        <v>46007</v>
      </c>
      <c r="B20" s="29">
        <f>CHOOSE(WEEKDAY(A20,2),"月","火","水","木","金","土","日")</f>
        <v/>
      </c>
      <c r="C20" s="105" t="n">
        <v>0</v>
      </c>
      <c r="D20" s="105" t="n">
        <v>0</v>
      </c>
      <c r="E20" s="105" t="n">
        <v>4</v>
      </c>
      <c r="F20" s="105" t="n">
        <v>2</v>
      </c>
      <c r="G20" s="105" t="n">
        <v>2</v>
      </c>
    </row>
    <row r="21">
      <c r="A21" s="104" t="n">
        <v>46008</v>
      </c>
      <c r="B21" s="29">
        <f>CHOOSE(WEEKDAY(A21,2),"月","火","水","木","金","土","日")</f>
        <v/>
      </c>
      <c r="C21" s="105" t="n">
        <v>0</v>
      </c>
      <c r="D21" s="105" t="n">
        <v>0</v>
      </c>
      <c r="E21" s="105" t="n">
        <v>4</v>
      </c>
      <c r="F21" s="105" t="n">
        <v>2</v>
      </c>
      <c r="G21" s="105" t="n">
        <v>2</v>
      </c>
    </row>
    <row r="22">
      <c r="A22" s="104" t="n">
        <v>46009</v>
      </c>
      <c r="B22" s="29">
        <f>CHOOSE(WEEKDAY(A22,2),"月","火","水","木","金","土","日")</f>
        <v/>
      </c>
      <c r="C22" s="105" t="n">
        <v>2</v>
      </c>
      <c r="D22" s="105" t="n">
        <v>0</v>
      </c>
      <c r="E22" s="105" t="n">
        <v>6</v>
      </c>
      <c r="F22" s="105" t="n">
        <v>2</v>
      </c>
      <c r="G22" s="105" t="n">
        <v>4</v>
      </c>
    </row>
    <row r="23">
      <c r="A23" s="104" t="n">
        <v>46010</v>
      </c>
      <c r="B23" s="29">
        <f>CHOOSE(WEEKDAY(A23,2),"月","火","水","木","金","土","日")</f>
        <v/>
      </c>
      <c r="C23" s="105" t="n">
        <v>0</v>
      </c>
      <c r="D23" s="105" t="n">
        <v>0</v>
      </c>
      <c r="E23" s="105" t="n">
        <v>6</v>
      </c>
      <c r="F23" s="105" t="n">
        <v>2</v>
      </c>
      <c r="G23" s="105" t="n">
        <v>4</v>
      </c>
    </row>
    <row r="24">
      <c r="A24" s="106" t="n">
        <v>46011</v>
      </c>
      <c r="B24" s="107">
        <f>CHOOSE(WEEKDAY(A24,2),"月","火","水","木","金","土","日")</f>
        <v/>
      </c>
      <c r="C24" s="108" t="n">
        <v>0</v>
      </c>
      <c r="D24" s="108" t="n">
        <v>0</v>
      </c>
      <c r="E24" s="108" t="n">
        <v>6</v>
      </c>
      <c r="F24" s="108" t="n">
        <v>2</v>
      </c>
      <c r="G24" s="108" t="n">
        <v>4</v>
      </c>
    </row>
    <row r="25">
      <c r="A25" s="106" t="n">
        <v>46012</v>
      </c>
      <c r="B25" s="107">
        <f>CHOOSE(WEEKDAY(A25,2),"月","火","水","木","金","土","日")</f>
        <v/>
      </c>
      <c r="C25" s="108" t="n">
        <v>0</v>
      </c>
      <c r="D25" s="108" t="n">
        <v>0</v>
      </c>
      <c r="E25" s="108" t="n">
        <v>6</v>
      </c>
      <c r="F25" s="108" t="n">
        <v>2</v>
      </c>
      <c r="G25" s="108" t="n">
        <v>4</v>
      </c>
    </row>
    <row r="26">
      <c r="A26" s="104" t="n">
        <v>46013</v>
      </c>
      <c r="B26" s="29">
        <f>CHOOSE(WEEKDAY(A26,2),"月","火","水","木","金","土","日")</f>
        <v/>
      </c>
      <c r="C26" s="105" t="n">
        <v>0</v>
      </c>
      <c r="D26" s="105" t="n">
        <v>1</v>
      </c>
      <c r="E26" s="105" t="n">
        <v>6</v>
      </c>
      <c r="F26" s="105" t="n">
        <v>3</v>
      </c>
      <c r="G26" s="105" t="n">
        <v>3</v>
      </c>
    </row>
    <row r="27">
      <c r="A27" s="104" t="n">
        <v>46014</v>
      </c>
      <c r="B27" s="29">
        <f>CHOOSE(WEEKDAY(A27,2),"月","火","水","木","金","土","日")</f>
        <v/>
      </c>
      <c r="C27" s="105" t="n">
        <v>2</v>
      </c>
      <c r="D27" s="105" t="n">
        <v>0</v>
      </c>
      <c r="E27" s="105" t="n">
        <v>8</v>
      </c>
      <c r="F27" s="105" t="n">
        <v>3</v>
      </c>
      <c r="G27" s="105" t="n">
        <v>5</v>
      </c>
    </row>
    <row r="28">
      <c r="A28" s="104" t="n">
        <v>46015</v>
      </c>
      <c r="B28" s="29">
        <f>CHOOSE(WEEKDAY(A28,2),"月","火","水","木","金","土","日")</f>
        <v/>
      </c>
      <c r="C28" s="105" t="n">
        <v>0</v>
      </c>
      <c r="D28" s="105" t="n">
        <v>0</v>
      </c>
      <c r="E28" s="105" t="n">
        <v>8</v>
      </c>
      <c r="F28" s="105" t="n">
        <v>3</v>
      </c>
      <c r="G28" s="105" t="n">
        <v>5</v>
      </c>
    </row>
    <row r="29">
      <c r="A29" s="104" t="n">
        <v>46016</v>
      </c>
      <c r="B29" s="29">
        <f>CHOOSE(WEEKDAY(A29,2),"月","火","水","木","金","土","日")</f>
        <v/>
      </c>
      <c r="C29" s="105" t="n">
        <v>0</v>
      </c>
      <c r="D29" s="105" t="n">
        <v>0</v>
      </c>
      <c r="E29" s="105" t="n">
        <v>8</v>
      </c>
      <c r="F29" s="105" t="n">
        <v>3</v>
      </c>
      <c r="G29" s="105" t="n">
        <v>5</v>
      </c>
    </row>
    <row r="30">
      <c r="A30" s="104" t="n">
        <v>46017</v>
      </c>
      <c r="B30" s="29">
        <f>CHOOSE(WEEKDAY(A30,2),"月","火","水","木","金","土","日")</f>
        <v/>
      </c>
      <c r="C30" s="105" t="n">
        <v>2</v>
      </c>
      <c r="D30" s="105" t="n">
        <v>1</v>
      </c>
      <c r="E30" s="105" t="n">
        <v>10</v>
      </c>
      <c r="F30" s="105" t="n">
        <v>4</v>
      </c>
      <c r="G30" s="105" t="n">
        <v>6</v>
      </c>
    </row>
    <row r="31">
      <c r="A31" s="106" t="n">
        <v>46018</v>
      </c>
      <c r="B31" s="107">
        <f>CHOOSE(WEEKDAY(A31,2),"月","火","水","木","金","土","日")</f>
        <v/>
      </c>
      <c r="C31" s="108" t="n">
        <v>0</v>
      </c>
      <c r="D31" s="108" t="n">
        <v>0</v>
      </c>
      <c r="E31" s="108" t="n">
        <v>10</v>
      </c>
      <c r="F31" s="108" t="n">
        <v>4</v>
      </c>
      <c r="G31" s="108" t="n">
        <v>6</v>
      </c>
    </row>
    <row r="32">
      <c r="A32" s="106" t="n">
        <v>46019</v>
      </c>
      <c r="B32" s="107">
        <f>CHOOSE(WEEKDAY(A32,2),"月","火","水","木","金","土","日")</f>
        <v/>
      </c>
      <c r="C32" s="108" t="n">
        <v>0</v>
      </c>
      <c r="D32" s="108" t="n">
        <v>0</v>
      </c>
      <c r="E32" s="108" t="n">
        <v>10</v>
      </c>
      <c r="F32" s="108" t="n">
        <v>4</v>
      </c>
      <c r="G32" s="108" t="n">
        <v>6</v>
      </c>
    </row>
    <row r="33">
      <c r="A33" s="104" t="n">
        <v>46020</v>
      </c>
      <c r="B33" s="29">
        <f>CHOOSE(WEEKDAY(A33,2),"月","火","水","木","金","土","日")</f>
        <v/>
      </c>
      <c r="C33" s="105" t="n">
        <v>0</v>
      </c>
      <c r="D33" s="105" t="n">
        <v>0</v>
      </c>
      <c r="E33" s="105" t="n">
        <v>10</v>
      </c>
      <c r="F33" s="105" t="n">
        <v>4</v>
      </c>
      <c r="G33" s="105" t="n">
        <v>6</v>
      </c>
    </row>
    <row r="34">
      <c r="A34" s="104" t="n">
        <v>46021</v>
      </c>
      <c r="B34" s="29">
        <f>CHOOSE(WEEKDAY(A34,2),"月","火","水","木","金","土","日")</f>
        <v/>
      </c>
      <c r="C34" s="105" t="n">
        <v>0</v>
      </c>
      <c r="D34" s="105" t="n">
        <v>0</v>
      </c>
      <c r="E34" s="105" t="n">
        <v>10</v>
      </c>
      <c r="F34" s="105" t="n">
        <v>4</v>
      </c>
      <c r="G34" s="105" t="n">
        <v>6</v>
      </c>
    </row>
    <row r="35">
      <c r="A35" s="104" t="n">
        <v>46022</v>
      </c>
      <c r="B35" s="29">
        <f>CHOOSE(WEEKDAY(A35,2),"月","火","水","木","金","土","日")</f>
        <v/>
      </c>
      <c r="C35" s="105" t="n">
        <v>1</v>
      </c>
      <c r="D35" s="105" t="n">
        <v>1</v>
      </c>
      <c r="E35" s="105" t="n">
        <v>11</v>
      </c>
      <c r="F35" s="105" t="n">
        <v>5</v>
      </c>
      <c r="G35" s="105" t="n">
        <v>6</v>
      </c>
    </row>
    <row r="36">
      <c r="A36" s="104" t="n">
        <v>46023</v>
      </c>
      <c r="B36" s="29">
        <f>CHOOSE(WEEKDAY(A36,2),"月","火","水","木","金","土","日")</f>
        <v/>
      </c>
      <c r="C36" s="105" t="n">
        <v>0</v>
      </c>
      <c r="D36" s="105" t="n">
        <v>0</v>
      </c>
      <c r="E36" s="105" t="n">
        <v>11</v>
      </c>
      <c r="F36" s="105" t="n">
        <v>5</v>
      </c>
      <c r="G36" s="105" t="n">
        <v>6</v>
      </c>
    </row>
    <row r="37">
      <c r="A37" s="104" t="n">
        <v>46024</v>
      </c>
      <c r="B37" s="29">
        <f>CHOOSE(WEEKDAY(A37,2),"月","火","水","木","金","土","日")</f>
        <v/>
      </c>
      <c r="C37" s="105" t="n">
        <v>0</v>
      </c>
      <c r="D37" s="105" t="n">
        <v>0</v>
      </c>
      <c r="E37" s="105" t="n">
        <v>11</v>
      </c>
      <c r="F37" s="105" t="n">
        <v>5</v>
      </c>
      <c r="G37" s="105" t="n">
        <v>6</v>
      </c>
    </row>
    <row r="38">
      <c r="A38" s="106" t="n">
        <v>46025</v>
      </c>
      <c r="B38" s="107">
        <f>CHOOSE(WEEKDAY(A38,2),"月","火","水","木","金","土","日")</f>
        <v/>
      </c>
      <c r="C38" s="108" t="n">
        <v>0</v>
      </c>
      <c r="D38" s="108" t="n">
        <v>0</v>
      </c>
      <c r="E38" s="108" t="n">
        <v>11</v>
      </c>
      <c r="F38" s="108" t="n">
        <v>5</v>
      </c>
      <c r="G38" s="108" t="n">
        <v>6</v>
      </c>
    </row>
    <row r="39">
      <c r="A39" s="106" t="n">
        <v>46026</v>
      </c>
      <c r="B39" s="107">
        <f>CHOOSE(WEEKDAY(A39,2),"月","火","水","木","金","土","日")</f>
        <v/>
      </c>
      <c r="C39" s="108" t="n">
        <v>0</v>
      </c>
      <c r="D39" s="108" t="n">
        <v>0</v>
      </c>
      <c r="E39" s="108" t="n">
        <v>11</v>
      </c>
      <c r="F39" s="108" t="n">
        <v>5</v>
      </c>
      <c r="G39" s="108" t="n">
        <v>6</v>
      </c>
    </row>
    <row r="40">
      <c r="A40" s="104" t="n">
        <v>46027</v>
      </c>
      <c r="B40" s="29">
        <f>CHOOSE(WEEKDAY(A40,2),"月","火","水","木","金","土","日")</f>
        <v/>
      </c>
      <c r="C40" s="105" t="n">
        <v>0</v>
      </c>
      <c r="D40" s="105" t="n">
        <v>1</v>
      </c>
      <c r="E40" s="105" t="n">
        <v>11</v>
      </c>
      <c r="F40" s="105" t="n">
        <v>6</v>
      </c>
      <c r="G40" s="105" t="n">
        <v>5</v>
      </c>
    </row>
    <row r="41">
      <c r="A41" s="104" t="n">
        <v>46028</v>
      </c>
      <c r="B41" s="29">
        <f>CHOOSE(WEEKDAY(A41,2),"月","火","水","木","金","土","日")</f>
        <v/>
      </c>
      <c r="C41" s="105" t="n">
        <v>1</v>
      </c>
      <c r="D41" s="105" t="n">
        <v>1</v>
      </c>
      <c r="E41" s="105" t="n">
        <v>12</v>
      </c>
      <c r="F41" s="105" t="n">
        <v>7</v>
      </c>
      <c r="G41" s="105" t="n">
        <v>5</v>
      </c>
    </row>
    <row r="42">
      <c r="A42" s="104" t="n">
        <v>46029</v>
      </c>
      <c r="B42" s="29">
        <f>CHOOSE(WEEKDAY(A42,2),"月","火","水","木","金","土","日")</f>
        <v/>
      </c>
      <c r="C42" s="105" t="n">
        <v>0</v>
      </c>
      <c r="D42" s="105" t="n">
        <v>1</v>
      </c>
      <c r="E42" s="105" t="n">
        <v>12</v>
      </c>
      <c r="F42" s="105" t="n">
        <v>8</v>
      </c>
      <c r="G42" s="105" t="n">
        <v>4</v>
      </c>
    </row>
    <row r="43">
      <c r="A43" s="104" t="n">
        <v>46030</v>
      </c>
      <c r="B43" s="29">
        <f>CHOOSE(WEEKDAY(A43,2),"月","火","水","木","金","土","日")</f>
        <v/>
      </c>
      <c r="C43" s="105" t="n">
        <v>1</v>
      </c>
      <c r="D43" s="105" t="n">
        <v>0</v>
      </c>
      <c r="E43" s="105" t="n">
        <v>13</v>
      </c>
      <c r="F43" s="105" t="n">
        <v>8</v>
      </c>
      <c r="G43" s="105" t="n">
        <v>5</v>
      </c>
    </row>
    <row r="44">
      <c r="A44" s="104" t="n">
        <v>46031</v>
      </c>
      <c r="B44" s="29">
        <f>CHOOSE(WEEKDAY(A44,2),"月","火","水","木","金","土","日")</f>
        <v/>
      </c>
      <c r="C44" s="105" t="n">
        <v>2</v>
      </c>
      <c r="D44" s="105" t="n">
        <v>0</v>
      </c>
      <c r="E44" s="105" t="n">
        <v>15</v>
      </c>
      <c r="F44" s="105" t="n">
        <v>8</v>
      </c>
      <c r="G44" s="105" t="n">
        <v>7</v>
      </c>
    </row>
    <row r="45">
      <c r="A45" s="106" t="n">
        <v>46032</v>
      </c>
      <c r="B45" s="107">
        <f>CHOOSE(WEEKDAY(A45,2),"月","火","水","木","金","土","日")</f>
        <v/>
      </c>
      <c r="C45" s="108" t="n">
        <v>0</v>
      </c>
      <c r="D45" s="108" t="n">
        <v>0</v>
      </c>
      <c r="E45" s="108" t="n">
        <v>15</v>
      </c>
      <c r="F45" s="108" t="n">
        <v>8</v>
      </c>
      <c r="G45" s="108" t="n">
        <v>7</v>
      </c>
    </row>
    <row r="46">
      <c r="A46" s="106" t="n">
        <v>46033</v>
      </c>
      <c r="B46" s="107">
        <f>CHOOSE(WEEKDAY(A46,2),"月","火","水","木","金","土","日")</f>
        <v/>
      </c>
      <c r="C46" s="108" t="n">
        <v>0</v>
      </c>
      <c r="D46" s="108" t="n">
        <v>0</v>
      </c>
      <c r="E46" s="108" t="n">
        <v>15</v>
      </c>
      <c r="F46" s="108" t="n">
        <v>8</v>
      </c>
      <c r="G46" s="108" t="n">
        <v>7</v>
      </c>
    </row>
    <row r="47">
      <c r="A47" s="104" t="n">
        <v>46034</v>
      </c>
      <c r="B47" s="29">
        <f>CHOOSE(WEEKDAY(A47,2),"月","火","水","木","金","土","日")</f>
        <v/>
      </c>
      <c r="C47" s="105" t="n">
        <v>1</v>
      </c>
      <c r="D47" s="105" t="n">
        <v>0</v>
      </c>
      <c r="E47" s="105" t="n">
        <v>16</v>
      </c>
      <c r="F47" s="105" t="n">
        <v>8</v>
      </c>
      <c r="G47" s="105" t="n">
        <v>8</v>
      </c>
    </row>
    <row r="48">
      <c r="A48" s="104" t="n">
        <v>46035</v>
      </c>
      <c r="B48" s="29">
        <f>CHOOSE(WEEKDAY(A48,2),"月","火","水","木","金","土","日")</f>
        <v/>
      </c>
      <c r="C48" s="105" t="n">
        <v>0</v>
      </c>
      <c r="D48" s="105" t="n">
        <v>0</v>
      </c>
      <c r="E48" s="105" t="n">
        <v>16</v>
      </c>
      <c r="F48" s="105" t="n">
        <v>8</v>
      </c>
      <c r="G48" s="105" t="n">
        <v>8</v>
      </c>
    </row>
    <row r="49">
      <c r="A49" s="104" t="n">
        <v>46036</v>
      </c>
      <c r="B49" s="29">
        <f>CHOOSE(WEEKDAY(A49,2),"月","火","水","木","金","土","日")</f>
        <v/>
      </c>
      <c r="C49" s="105" t="n">
        <v>0</v>
      </c>
      <c r="D49" s="105" t="n">
        <v>1</v>
      </c>
      <c r="E49" s="105" t="n">
        <v>16</v>
      </c>
      <c r="F49" s="105" t="n">
        <v>9</v>
      </c>
      <c r="G49" s="105" t="n">
        <v>7</v>
      </c>
    </row>
    <row r="50">
      <c r="A50" s="104" t="n">
        <v>46037</v>
      </c>
      <c r="B50" s="29">
        <f>CHOOSE(WEEKDAY(A50,2),"月","火","水","木","金","土","日")</f>
        <v/>
      </c>
      <c r="C50" s="105" t="n">
        <v>1</v>
      </c>
      <c r="D50" s="105" t="n">
        <v>1</v>
      </c>
      <c r="E50" s="105" t="n">
        <v>17</v>
      </c>
      <c r="F50" s="105" t="n">
        <v>10</v>
      </c>
      <c r="G50" s="105" t="n">
        <v>7</v>
      </c>
    </row>
    <row r="51">
      <c r="A51" s="104" t="n">
        <v>46038</v>
      </c>
      <c r="B51" s="29">
        <f>CHOOSE(WEEKDAY(A51,2),"月","火","水","木","金","土","日")</f>
        <v/>
      </c>
      <c r="C51" s="105" t="n">
        <v>0</v>
      </c>
      <c r="D51" s="105" t="n">
        <v>0</v>
      </c>
      <c r="E51" s="105" t="n">
        <v>17</v>
      </c>
      <c r="F51" s="105" t="n">
        <v>10</v>
      </c>
      <c r="G51" s="105" t="n">
        <v>7</v>
      </c>
    </row>
    <row r="52">
      <c r="A52" s="106" t="n">
        <v>46039</v>
      </c>
      <c r="B52" s="107">
        <f>CHOOSE(WEEKDAY(A52,2),"月","火","水","木","金","土","日")</f>
        <v/>
      </c>
      <c r="C52" s="108" t="n">
        <v>0</v>
      </c>
      <c r="D52" s="108" t="n">
        <v>0</v>
      </c>
      <c r="E52" s="108" t="n">
        <v>17</v>
      </c>
      <c r="F52" s="108" t="n">
        <v>10</v>
      </c>
      <c r="G52" s="108" t="n">
        <v>7</v>
      </c>
    </row>
    <row r="53">
      <c r="A53" s="106" t="n">
        <v>46040</v>
      </c>
      <c r="B53" s="107">
        <f>CHOOSE(WEEKDAY(A53,2),"月","火","水","木","金","土","日")</f>
        <v/>
      </c>
      <c r="C53" s="108" t="n">
        <v>0</v>
      </c>
      <c r="D53" s="108" t="n">
        <v>0</v>
      </c>
      <c r="E53" s="108" t="n">
        <v>17</v>
      </c>
      <c r="F53" s="108" t="n">
        <v>10</v>
      </c>
      <c r="G53" s="108" t="n">
        <v>7</v>
      </c>
    </row>
    <row r="54">
      <c r="A54" s="104" t="n">
        <v>46041</v>
      </c>
      <c r="B54" s="29">
        <f>CHOOSE(WEEKDAY(A54,2),"月","火","水","木","金","土","日")</f>
        <v/>
      </c>
      <c r="C54" s="105" t="n">
        <v>0</v>
      </c>
      <c r="D54" s="105" t="n">
        <v>1</v>
      </c>
      <c r="E54" s="105" t="n">
        <v>17</v>
      </c>
      <c r="F54" s="105" t="n">
        <v>11</v>
      </c>
      <c r="G54" s="105" t="n">
        <v>6</v>
      </c>
    </row>
    <row r="55">
      <c r="A55" s="104" t="n">
        <v>46042</v>
      </c>
      <c r="B55" s="29">
        <f>CHOOSE(WEEKDAY(A55,2),"月","火","水","木","金","土","日")</f>
        <v/>
      </c>
      <c r="C55" s="105" t="n">
        <v>0</v>
      </c>
      <c r="D55" s="105" t="n">
        <v>1</v>
      </c>
      <c r="E55" s="105" t="n">
        <v>17</v>
      </c>
      <c r="F55" s="105" t="n">
        <v>12</v>
      </c>
      <c r="G55" s="105" t="n">
        <v>5</v>
      </c>
    </row>
    <row r="56">
      <c r="A56" s="104" t="n">
        <v>46043</v>
      </c>
      <c r="B56" s="29">
        <f>CHOOSE(WEEKDAY(A56,2),"月","火","水","木","金","土","日")</f>
        <v/>
      </c>
      <c r="C56" s="105" t="n">
        <v>0</v>
      </c>
      <c r="D56" s="105" t="n">
        <v>1</v>
      </c>
      <c r="E56" s="105" t="n">
        <v>17</v>
      </c>
      <c r="F56" s="105" t="n">
        <v>13</v>
      </c>
      <c r="G56" s="105" t="n">
        <v>4</v>
      </c>
    </row>
    <row r="57">
      <c r="A57" s="104" t="n">
        <v>46044</v>
      </c>
      <c r="B57" s="29">
        <f>CHOOSE(WEEKDAY(A57,2),"月","火","水","木","金","土","日")</f>
        <v/>
      </c>
      <c r="C57" s="105" t="n">
        <v>0</v>
      </c>
      <c r="D57" s="105" t="n">
        <v>1</v>
      </c>
      <c r="E57" s="105" t="n">
        <v>17</v>
      </c>
      <c r="F57" s="105" t="n">
        <v>14</v>
      </c>
      <c r="G57" s="105" t="n">
        <v>3</v>
      </c>
    </row>
    <row r="58">
      <c r="A58" s="104" t="n">
        <v>46045</v>
      </c>
      <c r="B58" s="29">
        <f>CHOOSE(WEEKDAY(A58,2),"月","火","水","木","金","土","日")</f>
        <v/>
      </c>
      <c r="C58" s="105" t="n">
        <v>0</v>
      </c>
      <c r="D58" s="105" t="n">
        <v>1</v>
      </c>
      <c r="E58" s="105" t="n">
        <v>17</v>
      </c>
      <c r="F58" s="105" t="n">
        <v>15</v>
      </c>
      <c r="G58" s="105" t="n">
        <v>2</v>
      </c>
    </row>
    <row r="59">
      <c r="A59" s="106" t="n">
        <v>46046</v>
      </c>
      <c r="B59" s="107">
        <f>CHOOSE(WEEKDAY(A59,2),"月","火","水","木","金","土","日")</f>
        <v/>
      </c>
      <c r="C59" s="108" t="n">
        <v>0</v>
      </c>
      <c r="D59" s="108" t="n">
        <v>0</v>
      </c>
      <c r="E59" s="108" t="n">
        <v>17</v>
      </c>
      <c r="F59" s="108" t="n">
        <v>15</v>
      </c>
      <c r="G59" s="108" t="n">
        <v>2</v>
      </c>
    </row>
    <row r="60">
      <c r="A60" s="106" t="n">
        <v>46047</v>
      </c>
      <c r="B60" s="107">
        <f>CHOOSE(WEEKDAY(A60,2),"月","火","水","木","金","土","日")</f>
        <v/>
      </c>
      <c r="C60" s="108" t="n">
        <v>0</v>
      </c>
      <c r="D60" s="108" t="n">
        <v>0</v>
      </c>
      <c r="E60" s="108" t="n">
        <v>17</v>
      </c>
      <c r="F60" s="108" t="n">
        <v>15</v>
      </c>
      <c r="G60" s="108" t="n">
        <v>2</v>
      </c>
    </row>
    <row r="61">
      <c r="A61" s="104" t="n">
        <v>46048</v>
      </c>
      <c r="B61" s="29">
        <f>CHOOSE(WEEKDAY(A61,2),"月","火","水","木","金","土","日")</f>
        <v/>
      </c>
      <c r="C61" s="105" t="n">
        <v>0</v>
      </c>
      <c r="D61" s="105" t="n">
        <v>1</v>
      </c>
      <c r="E61" s="105" t="n">
        <v>17</v>
      </c>
      <c r="F61" s="105" t="n">
        <v>16</v>
      </c>
      <c r="G61" s="105" t="n">
        <v>1</v>
      </c>
    </row>
    <row r="62">
      <c r="A62" s="104" t="n">
        <v>46049</v>
      </c>
      <c r="B62" s="29">
        <f>CHOOSE(WEEKDAY(A62,2),"月","火","水","木","金","土","日")</f>
        <v/>
      </c>
      <c r="C62" s="105" t="n">
        <v>0</v>
      </c>
      <c r="D62" s="105" t="n">
        <v>1</v>
      </c>
      <c r="E62" s="105" t="n">
        <v>17</v>
      </c>
      <c r="F62" s="105" t="n">
        <v>17</v>
      </c>
      <c r="G62" s="105" t="n">
        <v>0</v>
      </c>
    </row>
    <row r="63">
      <c r="A63" s="104" t="n">
        <v>46050</v>
      </c>
      <c r="B63" s="29">
        <f>CHOOSE(WEEKDAY(A63,2),"月","火","水","木","金","土","日")</f>
        <v/>
      </c>
      <c r="C63" s="105" t="n">
        <v>0</v>
      </c>
      <c r="D63" s="105" t="n">
        <v>0</v>
      </c>
      <c r="E63" s="105" t="n">
        <v>17</v>
      </c>
      <c r="F63" s="105" t="n">
        <v>17</v>
      </c>
      <c r="G63" s="105" t="n">
        <v>0</v>
      </c>
    </row>
    <row r="64">
      <c r="A64" s="104" t="n">
        <v>46051</v>
      </c>
      <c r="B64" s="29">
        <f>CHOOSE(WEEKDAY(A64,2),"月","火","水","木","金","土","日")</f>
        <v/>
      </c>
      <c r="C64" s="105" t="n">
        <v>0</v>
      </c>
      <c r="D64" s="105" t="n">
        <v>0</v>
      </c>
      <c r="E64" s="105" t="n">
        <v>17</v>
      </c>
      <c r="F64" s="105" t="n">
        <v>17</v>
      </c>
      <c r="G64" s="105" t="n">
        <v>0</v>
      </c>
    </row>
    <row r="65">
      <c r="A65" s="104" t="n">
        <v>46052</v>
      </c>
      <c r="B65" s="29">
        <f>CHOOSE(WEEKDAY(A65,2),"月","火","水","木","金","土","日")</f>
        <v/>
      </c>
      <c r="C65" s="105" t="n">
        <v>0</v>
      </c>
      <c r="D65" s="105" t="n">
        <v>0</v>
      </c>
      <c r="E65" s="105" t="n">
        <v>17</v>
      </c>
      <c r="F65" s="105" t="n">
        <v>17</v>
      </c>
      <c r="G65" s="105" t="n">
        <v>0</v>
      </c>
    </row>
    <row r="66">
      <c r="A66" s="106" t="n">
        <v>46053</v>
      </c>
      <c r="B66" s="107">
        <f>CHOOSE(WEEKDAY(A66,2),"月","火","水","木","金","土","日")</f>
        <v/>
      </c>
      <c r="C66" s="108" t="n">
        <v>0</v>
      </c>
      <c r="D66" s="108" t="n">
        <v>0</v>
      </c>
      <c r="E66" s="108" t="n">
        <v>17</v>
      </c>
      <c r="F66" s="108" t="n">
        <v>17</v>
      </c>
      <c r="G66" s="108" t="n">
        <v>0</v>
      </c>
    </row>
    <row r="67">
      <c r="A67" s="106" t="n">
        <v>46054</v>
      </c>
      <c r="B67" s="107">
        <f>CHOOSE(WEEKDAY(A67,2),"月","火","水","木","金","土","日")</f>
        <v/>
      </c>
      <c r="C67" s="108" t="n">
        <v>0</v>
      </c>
      <c r="D67" s="108" t="n">
        <v>0</v>
      </c>
      <c r="E67" s="108" t="n">
        <v>17</v>
      </c>
      <c r="F67" s="108" t="n">
        <v>17</v>
      </c>
      <c r="G67" s="108" t="n">
        <v>0</v>
      </c>
    </row>
    <row r="68">
      <c r="A68" s="104" t="n">
        <v>46055</v>
      </c>
      <c r="B68" s="29">
        <f>CHOOSE(WEEKDAY(A68,2),"月","火","水","木","金","土","日")</f>
        <v/>
      </c>
      <c r="C68" s="105" t="n">
        <v>0</v>
      </c>
      <c r="D68" s="105" t="n">
        <v>0</v>
      </c>
      <c r="E68" s="105" t="n">
        <v>17</v>
      </c>
      <c r="F68" s="105" t="n">
        <v>17</v>
      </c>
      <c r="G68" s="105" t="n">
        <v>0</v>
      </c>
    </row>
    <row r="69">
      <c r="A69" s="104" t="n">
        <v>46056</v>
      </c>
      <c r="B69" s="29">
        <f>CHOOSE(WEEKDAY(A69,2),"月","火","水","木","金","土","日")</f>
        <v/>
      </c>
      <c r="C69" s="105" t="n">
        <v>0</v>
      </c>
      <c r="D69" s="105" t="n">
        <v>0</v>
      </c>
      <c r="E69" s="105" t="n">
        <v>17</v>
      </c>
      <c r="F69" s="105" t="n">
        <v>17</v>
      </c>
      <c r="G69" s="105" t="n">
        <v>0</v>
      </c>
    </row>
    <row r="70">
      <c r="A70" s="104" t="n">
        <v>46057</v>
      </c>
      <c r="B70" s="29">
        <f>CHOOSE(WEEKDAY(A70,2),"月","火","水","木","金","土","日")</f>
        <v/>
      </c>
      <c r="C70" s="105" t="n">
        <v>1</v>
      </c>
      <c r="D70" s="105" t="n">
        <v>0</v>
      </c>
      <c r="E70" s="105" t="n">
        <v>18</v>
      </c>
      <c r="F70" s="105" t="n">
        <v>17</v>
      </c>
      <c r="G70" s="105" t="n">
        <v>1</v>
      </c>
    </row>
    <row r="71">
      <c r="A71" s="104" t="n">
        <v>46058</v>
      </c>
      <c r="B71" s="29">
        <f>CHOOSE(WEEKDAY(A71,2),"月","火","水","木","金","土","日")</f>
        <v/>
      </c>
      <c r="C71" s="105" t="n">
        <v>0</v>
      </c>
      <c r="D71" s="105" t="n">
        <v>0</v>
      </c>
      <c r="E71" s="105" t="n">
        <v>18</v>
      </c>
      <c r="F71" s="105" t="n">
        <v>17</v>
      </c>
      <c r="G71" s="105" t="n">
        <v>1</v>
      </c>
    </row>
    <row r="72">
      <c r="A72" s="104" t="n">
        <v>46059</v>
      </c>
      <c r="B72" s="29">
        <f>CHOOSE(WEEKDAY(A72,2),"月","火","水","木","金","土","日")</f>
        <v/>
      </c>
      <c r="C72" s="105" t="n">
        <v>1</v>
      </c>
      <c r="D72" s="105" t="n">
        <v>0</v>
      </c>
      <c r="E72" s="105" t="n">
        <v>19</v>
      </c>
      <c r="F72" s="105" t="n">
        <v>17</v>
      </c>
      <c r="G72" s="105" t="n">
        <v>2</v>
      </c>
    </row>
    <row r="73">
      <c r="A73" s="106" t="n">
        <v>46060</v>
      </c>
      <c r="B73" s="107">
        <f>CHOOSE(WEEKDAY(A73,2),"月","火","水","木","金","土","日")</f>
        <v/>
      </c>
      <c r="C73" s="108" t="n">
        <v>0</v>
      </c>
      <c r="D73" s="108" t="n">
        <v>0</v>
      </c>
      <c r="E73" s="108" t="n">
        <v>19</v>
      </c>
      <c r="F73" s="108" t="n">
        <v>17</v>
      </c>
      <c r="G73" s="108" t="n">
        <v>2</v>
      </c>
    </row>
    <row r="74">
      <c r="A74" s="106" t="n">
        <v>46061</v>
      </c>
      <c r="B74" s="107">
        <f>CHOOSE(WEEKDAY(A74,2),"月","火","水","木","金","土","日")</f>
        <v/>
      </c>
      <c r="C74" s="108" t="n">
        <v>0</v>
      </c>
      <c r="D74" s="108" t="n">
        <v>0</v>
      </c>
      <c r="E74" s="108" t="n">
        <v>19</v>
      </c>
      <c r="F74" s="108" t="n">
        <v>17</v>
      </c>
      <c r="G74" s="108" t="n">
        <v>2</v>
      </c>
    </row>
    <row r="75">
      <c r="A75" s="104" t="n">
        <v>46062</v>
      </c>
      <c r="B75" s="29">
        <f>CHOOSE(WEEKDAY(A75,2),"月","火","水","木","金","土","日")</f>
        <v/>
      </c>
      <c r="C75" s="105" t="n">
        <v>0</v>
      </c>
      <c r="D75" s="105" t="n">
        <v>1</v>
      </c>
      <c r="E75" s="105" t="n">
        <v>19</v>
      </c>
      <c r="F75" s="105" t="n">
        <v>18</v>
      </c>
      <c r="G75" s="105" t="n">
        <v>1</v>
      </c>
    </row>
    <row r="76">
      <c r="A76" s="104" t="n">
        <v>46063</v>
      </c>
      <c r="B76" s="29">
        <f>CHOOSE(WEEKDAY(A76,2),"月","火","水","木","金","土","日")</f>
        <v/>
      </c>
      <c r="C76" s="105" t="n">
        <v>0</v>
      </c>
      <c r="D76" s="105" t="n">
        <v>1</v>
      </c>
      <c r="E76" s="105" t="n">
        <v>19</v>
      </c>
      <c r="F76" s="105" t="n">
        <v>19</v>
      </c>
      <c r="G76" s="105" t="n">
        <v>0</v>
      </c>
    </row>
    <row r="77">
      <c r="A77" s="104" t="n">
        <v>46064</v>
      </c>
      <c r="B77" s="29">
        <f>CHOOSE(WEEKDAY(A77,2),"月","火","水","木","金","土","日")</f>
        <v/>
      </c>
      <c r="C77" s="105" t="n">
        <v>0</v>
      </c>
      <c r="D77" s="105" t="n">
        <v>0</v>
      </c>
      <c r="E77" s="105" t="n">
        <v>19</v>
      </c>
      <c r="F77" s="105" t="n">
        <v>19</v>
      </c>
      <c r="G77" s="105" t="n">
        <v>0</v>
      </c>
    </row>
    <row r="78">
      <c r="A78" s="104" t="n">
        <v>46065</v>
      </c>
      <c r="B78" s="29">
        <f>CHOOSE(WEEKDAY(A78,2),"月","火","水","木","金","土","日")</f>
        <v/>
      </c>
      <c r="C78" s="105" t="n">
        <v>0</v>
      </c>
      <c r="D78" s="105" t="n">
        <v>0</v>
      </c>
      <c r="E78" s="105" t="n">
        <v>19</v>
      </c>
      <c r="F78" s="105" t="n">
        <v>19</v>
      </c>
      <c r="G78" s="105" t="n">
        <v>0</v>
      </c>
    </row>
    <row r="79">
      <c r="A79" s="104" t="n">
        <v>46066</v>
      </c>
      <c r="B79" s="29">
        <f>CHOOSE(WEEKDAY(A79,2),"月","火","水","木","金","土","日")</f>
        <v/>
      </c>
      <c r="C79" s="105" t="n">
        <v>0</v>
      </c>
      <c r="D79" s="105" t="n">
        <v>0</v>
      </c>
      <c r="E79" s="105" t="n">
        <v>19</v>
      </c>
      <c r="F79" s="105" t="n">
        <v>19</v>
      </c>
      <c r="G79" s="105" t="n">
        <v>0</v>
      </c>
    </row>
    <row r="80">
      <c r="A80" s="106" t="n">
        <v>46067</v>
      </c>
      <c r="B80" s="107">
        <f>CHOOSE(WEEKDAY(A80,2),"月","火","水","木","金","土","日")</f>
        <v/>
      </c>
      <c r="C80" s="108" t="n">
        <v>0</v>
      </c>
      <c r="D80" s="108" t="n">
        <v>0</v>
      </c>
      <c r="E80" s="108" t="n">
        <v>19</v>
      </c>
      <c r="F80" s="108" t="n">
        <v>19</v>
      </c>
      <c r="G80" s="108" t="n">
        <v>0</v>
      </c>
    </row>
    <row r="81">
      <c r="A81" s="106" t="n">
        <v>46068</v>
      </c>
      <c r="B81" s="107">
        <f>CHOOSE(WEEKDAY(A81,2),"月","火","水","木","金","土","日")</f>
        <v/>
      </c>
      <c r="C81" s="108" t="n">
        <v>0</v>
      </c>
      <c r="D81" s="108" t="n">
        <v>0</v>
      </c>
      <c r="E81" s="108" t="n">
        <v>19</v>
      </c>
      <c r="F81" s="108" t="n">
        <v>19</v>
      </c>
      <c r="G81" s="108" t="n">
        <v>0</v>
      </c>
    </row>
    <row r="82">
      <c r="A82" s="104" t="n">
        <v>46069</v>
      </c>
      <c r="B82" s="29">
        <f>CHOOSE(WEEKDAY(A82,2),"月","火","水","木","金","土","日")</f>
        <v/>
      </c>
      <c r="C82" s="105" t="n">
        <v>0</v>
      </c>
      <c r="D82" s="105" t="n">
        <v>0</v>
      </c>
      <c r="E82" s="105" t="n">
        <v>19</v>
      </c>
      <c r="F82" s="105" t="n">
        <v>19</v>
      </c>
      <c r="G82" s="105" t="n">
        <v>0</v>
      </c>
    </row>
    <row r="83">
      <c r="A83" s="104" t="n">
        <v>46070</v>
      </c>
      <c r="B83" s="29">
        <f>CHOOSE(WEEKDAY(A83,2),"月","火","水","木","金","土","日")</f>
        <v/>
      </c>
      <c r="C83" s="105" t="n">
        <v>0</v>
      </c>
      <c r="D83" s="105" t="n">
        <v>0</v>
      </c>
      <c r="E83" s="105" t="n">
        <v>19</v>
      </c>
      <c r="F83" s="105" t="n">
        <v>19</v>
      </c>
      <c r="G83" s="105" t="n">
        <v>0</v>
      </c>
    </row>
    <row r="84">
      <c r="A84" s="104" t="n">
        <v>46071</v>
      </c>
      <c r="B84" s="29">
        <f>CHOOSE(WEEKDAY(A84,2),"月","火","水","木","金","土","日")</f>
        <v/>
      </c>
      <c r="C84" s="105" t="n">
        <v>1</v>
      </c>
      <c r="D84" s="105" t="n">
        <v>0</v>
      </c>
      <c r="E84" s="105" t="n">
        <v>20</v>
      </c>
      <c r="F84" s="105" t="n">
        <v>19</v>
      </c>
      <c r="G84" s="105" t="n">
        <v>1</v>
      </c>
    </row>
    <row r="85">
      <c r="A85" s="104" t="n">
        <v>46072</v>
      </c>
      <c r="B85" s="29">
        <f>CHOOSE(WEEKDAY(A85,2),"月","火","水","木","金","土","日")</f>
        <v/>
      </c>
      <c r="C85" s="105" t="n">
        <v>2</v>
      </c>
      <c r="D85" s="105" t="n">
        <v>1</v>
      </c>
      <c r="E85" s="105" t="n">
        <v>22</v>
      </c>
      <c r="F85" s="105" t="n">
        <v>20</v>
      </c>
      <c r="G85" s="105" t="n">
        <v>2</v>
      </c>
    </row>
    <row r="86">
      <c r="A86" s="104" t="n">
        <v>46073</v>
      </c>
      <c r="B86" s="29">
        <f>CHOOSE(WEEKDAY(A86,2),"月","火","水","木","金","土","日")</f>
        <v/>
      </c>
      <c r="C86" s="105" t="n">
        <v>2</v>
      </c>
      <c r="D86" s="105" t="n">
        <v>1</v>
      </c>
      <c r="E86" s="105" t="n">
        <v>24</v>
      </c>
      <c r="F86" s="105" t="n">
        <v>21</v>
      </c>
      <c r="G86" s="105" t="n">
        <v>3</v>
      </c>
    </row>
    <row r="87">
      <c r="A87" s="106" t="n">
        <v>46074</v>
      </c>
      <c r="B87" s="107">
        <f>CHOOSE(WEEKDAY(A87,2),"月","火","水","木","金","土","日")</f>
        <v/>
      </c>
      <c r="C87" s="108" t="n">
        <v>0</v>
      </c>
      <c r="D87" s="108" t="n">
        <v>0</v>
      </c>
      <c r="E87" s="108" t="n">
        <v>24</v>
      </c>
      <c r="F87" s="108" t="n">
        <v>21</v>
      </c>
      <c r="G87" s="108" t="n">
        <v>3</v>
      </c>
    </row>
    <row r="88">
      <c r="A88" s="106" t="n">
        <v>46075</v>
      </c>
      <c r="B88" s="107">
        <f>CHOOSE(WEEKDAY(A88,2),"月","火","水","木","金","土","日")</f>
        <v/>
      </c>
      <c r="C88" s="108" t="n">
        <v>0</v>
      </c>
      <c r="D88" s="108" t="n">
        <v>0</v>
      </c>
      <c r="E88" s="108" t="n">
        <v>24</v>
      </c>
      <c r="F88" s="108" t="n">
        <v>21</v>
      </c>
      <c r="G88" s="108" t="n">
        <v>3</v>
      </c>
    </row>
    <row r="89">
      <c r="A89" s="104" t="n">
        <v>46076</v>
      </c>
      <c r="B89" s="29">
        <f>CHOOSE(WEEKDAY(A89,2),"月","火","水","木","金","土","日")</f>
        <v/>
      </c>
      <c r="C89" s="105" t="n">
        <v>1</v>
      </c>
      <c r="D89" s="105" t="n">
        <v>1</v>
      </c>
      <c r="E89" s="105" t="n">
        <v>25</v>
      </c>
      <c r="F89" s="105" t="n">
        <v>22</v>
      </c>
      <c r="G89" s="105" t="n">
        <v>3</v>
      </c>
    </row>
    <row r="90">
      <c r="A90" s="104" t="n">
        <v>46077</v>
      </c>
      <c r="B90" s="29">
        <f>CHOOSE(WEEKDAY(A90,2),"月","火","水","木","金","土","日")</f>
        <v/>
      </c>
      <c r="C90" s="105" t="n">
        <v>0</v>
      </c>
      <c r="D90" s="105" t="n">
        <v>1</v>
      </c>
      <c r="E90" s="105" t="n">
        <v>25</v>
      </c>
      <c r="F90" s="105" t="n">
        <v>23</v>
      </c>
      <c r="G90" s="105" t="n">
        <v>2</v>
      </c>
    </row>
    <row r="91">
      <c r="A91" s="104" t="n">
        <v>46078</v>
      </c>
      <c r="B91" s="29">
        <f>CHOOSE(WEEKDAY(A91,2),"月","火","水","木","金","土","日")</f>
        <v/>
      </c>
      <c r="C91" s="105" t="n">
        <v>0</v>
      </c>
      <c r="D91" s="105" t="n">
        <v>1</v>
      </c>
      <c r="E91" s="105" t="n">
        <v>25</v>
      </c>
      <c r="F91" s="105" t="n">
        <v>24</v>
      </c>
      <c r="G91" s="105" t="n">
        <v>1</v>
      </c>
    </row>
    <row r="92">
      <c r="A92" s="104" t="n">
        <v>46079</v>
      </c>
      <c r="B92" s="29">
        <f>CHOOSE(WEEKDAY(A92,2),"月","火","水","木","金","土","日")</f>
        <v/>
      </c>
      <c r="C92" s="105" t="n">
        <v>1</v>
      </c>
      <c r="D92" s="105" t="n">
        <v>0</v>
      </c>
      <c r="E92" s="105" t="n">
        <v>26</v>
      </c>
      <c r="F92" s="105" t="n">
        <v>24</v>
      </c>
      <c r="G92" s="105" t="n">
        <v>2</v>
      </c>
    </row>
    <row r="93">
      <c r="A93" s="104" t="n">
        <v>46080</v>
      </c>
      <c r="B93" s="29">
        <f>CHOOSE(WEEKDAY(A93,2),"月","火","水","木","金","土","日")</f>
        <v/>
      </c>
      <c r="C93" s="105" t="n">
        <v>0</v>
      </c>
      <c r="D93" s="105" t="n">
        <v>1</v>
      </c>
      <c r="E93" s="105" t="n">
        <v>26</v>
      </c>
      <c r="F93" s="105" t="n">
        <v>25</v>
      </c>
      <c r="G93" s="105" t="n">
        <v>1</v>
      </c>
    </row>
    <row r="94">
      <c r="A94" s="106" t="n">
        <v>46081</v>
      </c>
      <c r="B94" s="107">
        <f>CHOOSE(WEEKDAY(A94,2),"月","火","水","木","金","土","日")</f>
        <v/>
      </c>
      <c r="C94" s="108" t="n">
        <v>0</v>
      </c>
      <c r="D94" s="108" t="n">
        <v>0</v>
      </c>
      <c r="E94" s="108" t="n">
        <v>26</v>
      </c>
      <c r="F94" s="108" t="n">
        <v>25</v>
      </c>
      <c r="G94" s="108" t="n">
        <v>1</v>
      </c>
    </row>
    <row r="95">
      <c r="A95" s="106" t="n">
        <v>46082</v>
      </c>
      <c r="B95" s="107">
        <f>CHOOSE(WEEKDAY(A95,2),"月","火","水","木","金","土","日")</f>
        <v/>
      </c>
      <c r="C95" s="108" t="n">
        <v>0</v>
      </c>
      <c r="D95" s="108" t="n">
        <v>0</v>
      </c>
      <c r="E95" s="108" t="n">
        <v>26</v>
      </c>
      <c r="F95" s="108" t="n">
        <v>25</v>
      </c>
      <c r="G95" s="108" t="n">
        <v>1</v>
      </c>
    </row>
    <row r="96">
      <c r="A96" s="104" t="n">
        <v>46083</v>
      </c>
      <c r="B96" s="29">
        <f>CHOOSE(WEEKDAY(A96,2),"月","火","水","木","金","土","日")</f>
        <v/>
      </c>
      <c r="C96" s="105" t="n">
        <v>1</v>
      </c>
      <c r="D96" s="105" t="n">
        <v>0</v>
      </c>
      <c r="E96" s="105" t="n">
        <v>27</v>
      </c>
      <c r="F96" s="105" t="n">
        <v>25</v>
      </c>
      <c r="G96" s="105" t="n">
        <v>2</v>
      </c>
    </row>
    <row r="97">
      <c r="A97" s="104" t="n">
        <v>46084</v>
      </c>
      <c r="B97" s="29">
        <f>CHOOSE(WEEKDAY(A97,2),"月","火","水","木","金","土","日")</f>
        <v/>
      </c>
      <c r="C97" s="105" t="n">
        <v>0</v>
      </c>
      <c r="D97" s="105" t="n">
        <v>0</v>
      </c>
      <c r="E97" s="105" t="n">
        <v>27</v>
      </c>
      <c r="F97" s="105" t="n">
        <v>25</v>
      </c>
      <c r="G97" s="105" t="n">
        <v>2</v>
      </c>
    </row>
    <row r="98">
      <c r="A98" s="104" t="n">
        <v>46085</v>
      </c>
      <c r="B98" s="29">
        <f>CHOOSE(WEEKDAY(A98,2),"月","火","水","木","金","土","日")</f>
        <v/>
      </c>
      <c r="C98" s="105" t="n">
        <v>0</v>
      </c>
      <c r="D98" s="105" t="n">
        <v>1</v>
      </c>
      <c r="E98" s="105" t="n">
        <v>27</v>
      </c>
      <c r="F98" s="105" t="n">
        <v>26</v>
      </c>
      <c r="G98" s="105" t="n">
        <v>1</v>
      </c>
    </row>
    <row r="99">
      <c r="A99" s="104" t="n">
        <v>46086</v>
      </c>
      <c r="B99" s="29">
        <f>CHOOSE(WEEKDAY(A99,2),"月","火","水","木","金","土","日")</f>
        <v/>
      </c>
      <c r="C99" s="105" t="n">
        <v>0</v>
      </c>
      <c r="D99" s="105" t="n">
        <v>1</v>
      </c>
      <c r="E99" s="105" t="n">
        <v>27</v>
      </c>
      <c r="F99" s="105" t="n">
        <v>27</v>
      </c>
      <c r="G99" s="1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FAADC"/>
    <outlinePr summaryBelow="1" summaryRight="1"/>
    <pageSetUpPr/>
  </sheetPr>
  <dimension ref="A1:G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03" t="inlineStr">
        <is>
          <t>欠陥サマリー - バッチ</t>
        </is>
      </c>
    </row>
    <row r="4">
      <c r="A4" s="8" t="inlineStr">
        <is>
          <t>日付</t>
        </is>
      </c>
      <c r="B4" s="8" t="inlineStr">
        <is>
          <t>曜</t>
        </is>
      </c>
      <c r="C4" s="8" t="inlineStr">
        <is>
          <t>検出</t>
        </is>
      </c>
      <c r="D4" s="8" t="inlineStr">
        <is>
          <t>対応</t>
        </is>
      </c>
      <c r="E4" s="8" t="inlineStr">
        <is>
          <t>累積検出</t>
        </is>
      </c>
      <c r="F4" s="8" t="inlineStr">
        <is>
          <t>累積対応</t>
        </is>
      </c>
      <c r="G4" s="8" t="inlineStr">
        <is>
          <t>累積未対応</t>
        </is>
      </c>
    </row>
    <row r="5">
      <c r="A5" s="104" t="n">
        <v>45992</v>
      </c>
      <c r="B5" s="29">
        <f>CHOOSE(WEEKDAY(A5,2),"月","火","水","木","金","土","日")</f>
        <v/>
      </c>
      <c r="C5" s="105" t="n">
        <v>0</v>
      </c>
      <c r="D5" s="105" t="n">
        <v>0</v>
      </c>
      <c r="E5" s="105" t="n">
        <v>0</v>
      </c>
      <c r="F5" s="105" t="n">
        <v>0</v>
      </c>
      <c r="G5" s="105" t="n">
        <v>0</v>
      </c>
    </row>
    <row r="6">
      <c r="A6" s="104" t="n">
        <v>45993</v>
      </c>
      <c r="B6" s="29">
        <f>CHOOSE(WEEKDAY(A6,2),"月","火","水","木","金","土","日")</f>
        <v/>
      </c>
      <c r="C6" s="105" t="n">
        <v>0</v>
      </c>
      <c r="D6" s="105" t="n">
        <v>0</v>
      </c>
      <c r="E6" s="105" t="n">
        <v>0</v>
      </c>
      <c r="F6" s="105" t="n">
        <v>0</v>
      </c>
      <c r="G6" s="105" t="n">
        <v>0</v>
      </c>
    </row>
    <row r="7">
      <c r="A7" s="104" t="n">
        <v>45994</v>
      </c>
      <c r="B7" s="29">
        <f>CHOOSE(WEEKDAY(A7,2),"月","火","水","木","金","土","日")</f>
        <v/>
      </c>
      <c r="C7" s="105" t="n">
        <v>0</v>
      </c>
      <c r="D7" s="105" t="n">
        <v>0</v>
      </c>
      <c r="E7" s="105" t="n">
        <v>0</v>
      </c>
      <c r="F7" s="105" t="n">
        <v>0</v>
      </c>
      <c r="G7" s="105" t="n">
        <v>0</v>
      </c>
    </row>
    <row r="8">
      <c r="A8" s="104" t="n">
        <v>45995</v>
      </c>
      <c r="B8" s="29">
        <f>CHOOSE(WEEKDAY(A8,2),"月","火","水","木","金","土","日")</f>
        <v/>
      </c>
      <c r="C8" s="105" t="n">
        <v>2</v>
      </c>
      <c r="D8" s="105" t="n">
        <v>0</v>
      </c>
      <c r="E8" s="105" t="n">
        <v>2</v>
      </c>
      <c r="F8" s="105" t="n">
        <v>0</v>
      </c>
      <c r="G8" s="105" t="n">
        <v>2</v>
      </c>
    </row>
    <row r="9">
      <c r="A9" s="104" t="n">
        <v>45996</v>
      </c>
      <c r="B9" s="29">
        <f>CHOOSE(WEEKDAY(A9,2),"月","火","水","木","金","土","日")</f>
        <v/>
      </c>
      <c r="C9" s="105" t="n">
        <v>0</v>
      </c>
      <c r="D9" s="105" t="n">
        <v>0</v>
      </c>
      <c r="E9" s="105" t="n">
        <v>2</v>
      </c>
      <c r="F9" s="105" t="n">
        <v>0</v>
      </c>
      <c r="G9" s="105" t="n">
        <v>2</v>
      </c>
    </row>
    <row r="10">
      <c r="A10" s="106" t="n">
        <v>45997</v>
      </c>
      <c r="B10" s="107">
        <f>CHOOSE(WEEKDAY(A10,2),"月","火","水","木","金","土","日")</f>
        <v/>
      </c>
      <c r="C10" s="108" t="n">
        <v>0</v>
      </c>
      <c r="D10" s="108" t="n">
        <v>0</v>
      </c>
      <c r="E10" s="108" t="n">
        <v>2</v>
      </c>
      <c r="F10" s="108" t="n">
        <v>0</v>
      </c>
      <c r="G10" s="108" t="n">
        <v>2</v>
      </c>
    </row>
    <row r="11">
      <c r="A11" s="106" t="n">
        <v>45998</v>
      </c>
      <c r="B11" s="107">
        <f>CHOOSE(WEEKDAY(A11,2),"月","火","水","木","金","土","日")</f>
        <v/>
      </c>
      <c r="C11" s="108" t="n">
        <v>0</v>
      </c>
      <c r="D11" s="108" t="n">
        <v>0</v>
      </c>
      <c r="E11" s="108" t="n">
        <v>2</v>
      </c>
      <c r="F11" s="108" t="n">
        <v>0</v>
      </c>
      <c r="G11" s="108" t="n">
        <v>2</v>
      </c>
    </row>
    <row r="12">
      <c r="A12" s="104" t="n">
        <v>45999</v>
      </c>
      <c r="B12" s="29">
        <f>CHOOSE(WEEKDAY(A12,2),"月","火","水","木","金","土","日")</f>
        <v/>
      </c>
      <c r="C12" s="105" t="n">
        <v>0</v>
      </c>
      <c r="D12" s="105" t="n">
        <v>1</v>
      </c>
      <c r="E12" s="105" t="n">
        <v>2</v>
      </c>
      <c r="F12" s="105" t="n">
        <v>1</v>
      </c>
      <c r="G12" s="105" t="n">
        <v>1</v>
      </c>
    </row>
    <row r="13">
      <c r="A13" s="104" t="n">
        <v>46000</v>
      </c>
      <c r="B13" s="29">
        <f>CHOOSE(WEEKDAY(A13,2),"月","火","水","木","金","土","日")</f>
        <v/>
      </c>
      <c r="C13" s="105" t="n">
        <v>0</v>
      </c>
      <c r="D13" s="105" t="n">
        <v>1</v>
      </c>
      <c r="E13" s="105" t="n">
        <v>2</v>
      </c>
      <c r="F13" s="105" t="n">
        <v>2</v>
      </c>
      <c r="G13" s="105" t="n">
        <v>0</v>
      </c>
    </row>
    <row r="14">
      <c r="A14" s="104" t="n">
        <v>46001</v>
      </c>
      <c r="B14" s="29">
        <f>CHOOSE(WEEKDAY(A14,2),"月","火","水","木","金","土","日")</f>
        <v/>
      </c>
      <c r="C14" s="105" t="n">
        <v>0</v>
      </c>
      <c r="D14" s="105" t="n">
        <v>0</v>
      </c>
      <c r="E14" s="105" t="n">
        <v>2</v>
      </c>
      <c r="F14" s="105" t="n">
        <v>2</v>
      </c>
      <c r="G14" s="105" t="n">
        <v>0</v>
      </c>
    </row>
    <row r="15">
      <c r="A15" s="104" t="n">
        <v>46002</v>
      </c>
      <c r="B15" s="29">
        <f>CHOOSE(WEEKDAY(A15,2),"月","火","水","木","金","土","日")</f>
        <v/>
      </c>
      <c r="C15" s="105" t="n">
        <v>0</v>
      </c>
      <c r="D15" s="105" t="n">
        <v>0</v>
      </c>
      <c r="E15" s="105" t="n">
        <v>2</v>
      </c>
      <c r="F15" s="105" t="n">
        <v>2</v>
      </c>
      <c r="G15" s="105" t="n">
        <v>0</v>
      </c>
    </row>
    <row r="16">
      <c r="A16" s="104" t="n">
        <v>46003</v>
      </c>
      <c r="B16" s="29">
        <f>CHOOSE(WEEKDAY(A16,2),"月","火","水","木","金","土","日")</f>
        <v/>
      </c>
      <c r="C16" s="105" t="n">
        <v>0</v>
      </c>
      <c r="D16" s="105" t="n">
        <v>0</v>
      </c>
      <c r="E16" s="105" t="n">
        <v>2</v>
      </c>
      <c r="F16" s="105" t="n">
        <v>2</v>
      </c>
      <c r="G16" s="105" t="n">
        <v>0</v>
      </c>
    </row>
    <row r="17">
      <c r="A17" s="106" t="n">
        <v>46004</v>
      </c>
      <c r="B17" s="107">
        <f>CHOOSE(WEEKDAY(A17,2),"月","火","水","木","金","土","日")</f>
        <v/>
      </c>
      <c r="C17" s="108" t="n">
        <v>0</v>
      </c>
      <c r="D17" s="108" t="n">
        <v>0</v>
      </c>
      <c r="E17" s="108" t="n">
        <v>2</v>
      </c>
      <c r="F17" s="108" t="n">
        <v>2</v>
      </c>
      <c r="G17" s="108" t="n">
        <v>0</v>
      </c>
    </row>
    <row r="18">
      <c r="A18" s="106" t="n">
        <v>46005</v>
      </c>
      <c r="B18" s="107">
        <f>CHOOSE(WEEKDAY(A18,2),"月","火","水","木","金","土","日")</f>
        <v/>
      </c>
      <c r="C18" s="108" t="n">
        <v>0</v>
      </c>
      <c r="D18" s="108" t="n">
        <v>0</v>
      </c>
      <c r="E18" s="108" t="n">
        <v>2</v>
      </c>
      <c r="F18" s="108" t="n">
        <v>2</v>
      </c>
      <c r="G18" s="108" t="n">
        <v>0</v>
      </c>
    </row>
    <row r="19">
      <c r="A19" s="104" t="n">
        <v>46006</v>
      </c>
      <c r="B19" s="29">
        <f>CHOOSE(WEEKDAY(A19,2),"月","火","水","木","金","土","日")</f>
        <v/>
      </c>
      <c r="C19" s="105" t="n">
        <v>0</v>
      </c>
      <c r="D19" s="105" t="n">
        <v>0</v>
      </c>
      <c r="E19" s="105" t="n">
        <v>2</v>
      </c>
      <c r="F19" s="105" t="n">
        <v>2</v>
      </c>
      <c r="G19" s="105" t="n">
        <v>0</v>
      </c>
    </row>
    <row r="20">
      <c r="A20" s="104" t="n">
        <v>46007</v>
      </c>
      <c r="B20" s="29">
        <f>CHOOSE(WEEKDAY(A20,2),"月","火","水","木","金","土","日")</f>
        <v/>
      </c>
      <c r="C20" s="105" t="n">
        <v>2</v>
      </c>
      <c r="D20" s="105" t="n">
        <v>0</v>
      </c>
      <c r="E20" s="105" t="n">
        <v>4</v>
      </c>
      <c r="F20" s="105" t="n">
        <v>2</v>
      </c>
      <c r="G20" s="105" t="n">
        <v>2</v>
      </c>
    </row>
    <row r="21">
      <c r="A21" s="104" t="n">
        <v>46008</v>
      </c>
      <c r="B21" s="29">
        <f>CHOOSE(WEEKDAY(A21,2),"月","火","水","木","金","土","日")</f>
        <v/>
      </c>
      <c r="C21" s="105" t="n">
        <v>0</v>
      </c>
      <c r="D21" s="105" t="n">
        <v>1</v>
      </c>
      <c r="E21" s="105" t="n">
        <v>4</v>
      </c>
      <c r="F21" s="105" t="n">
        <v>3</v>
      </c>
      <c r="G21" s="105" t="n">
        <v>1</v>
      </c>
    </row>
    <row r="22">
      <c r="A22" s="104" t="n">
        <v>46009</v>
      </c>
      <c r="B22" s="29">
        <f>CHOOSE(WEEKDAY(A22,2),"月","火","水","木","金","土","日")</f>
        <v/>
      </c>
      <c r="C22" s="105" t="n">
        <v>2</v>
      </c>
      <c r="D22" s="105" t="n">
        <v>1</v>
      </c>
      <c r="E22" s="105" t="n">
        <v>6</v>
      </c>
      <c r="F22" s="105" t="n">
        <v>4</v>
      </c>
      <c r="G22" s="105" t="n">
        <v>2</v>
      </c>
    </row>
    <row r="23">
      <c r="A23" s="104" t="n">
        <v>46010</v>
      </c>
      <c r="B23" s="29">
        <f>CHOOSE(WEEKDAY(A23,2),"月","火","水","木","金","土","日")</f>
        <v/>
      </c>
      <c r="C23" s="105" t="n">
        <v>1</v>
      </c>
      <c r="D23" s="105" t="n">
        <v>1</v>
      </c>
      <c r="E23" s="105" t="n">
        <v>7</v>
      </c>
      <c r="F23" s="105" t="n">
        <v>5</v>
      </c>
      <c r="G23" s="105" t="n">
        <v>2</v>
      </c>
    </row>
    <row r="24">
      <c r="A24" s="106" t="n">
        <v>46011</v>
      </c>
      <c r="B24" s="107">
        <f>CHOOSE(WEEKDAY(A24,2),"月","火","水","木","金","土","日")</f>
        <v/>
      </c>
      <c r="C24" s="108" t="n">
        <v>0</v>
      </c>
      <c r="D24" s="108" t="n">
        <v>0</v>
      </c>
      <c r="E24" s="108" t="n">
        <v>7</v>
      </c>
      <c r="F24" s="108" t="n">
        <v>5</v>
      </c>
      <c r="G24" s="108" t="n">
        <v>2</v>
      </c>
    </row>
    <row r="25">
      <c r="A25" s="106" t="n">
        <v>46012</v>
      </c>
      <c r="B25" s="107">
        <f>CHOOSE(WEEKDAY(A25,2),"月","火","水","木","金","土","日")</f>
        <v/>
      </c>
      <c r="C25" s="108" t="n">
        <v>0</v>
      </c>
      <c r="D25" s="108" t="n">
        <v>0</v>
      </c>
      <c r="E25" s="108" t="n">
        <v>7</v>
      </c>
      <c r="F25" s="108" t="n">
        <v>5</v>
      </c>
      <c r="G25" s="108" t="n">
        <v>2</v>
      </c>
    </row>
    <row r="26">
      <c r="A26" s="104" t="n">
        <v>46013</v>
      </c>
      <c r="B26" s="29">
        <f>CHOOSE(WEEKDAY(A26,2),"月","火","水","木","金","土","日")</f>
        <v/>
      </c>
      <c r="C26" s="105" t="n">
        <v>1</v>
      </c>
      <c r="D26" s="105" t="n">
        <v>0</v>
      </c>
      <c r="E26" s="105" t="n">
        <v>8</v>
      </c>
      <c r="F26" s="105" t="n">
        <v>5</v>
      </c>
      <c r="G26" s="105" t="n">
        <v>3</v>
      </c>
    </row>
    <row r="27">
      <c r="A27" s="104" t="n">
        <v>46014</v>
      </c>
      <c r="B27" s="29">
        <f>CHOOSE(WEEKDAY(A27,2),"月","火","水","木","金","土","日")</f>
        <v/>
      </c>
      <c r="C27" s="105" t="n">
        <v>0</v>
      </c>
      <c r="D27" s="105" t="n">
        <v>0</v>
      </c>
      <c r="E27" s="105" t="n">
        <v>8</v>
      </c>
      <c r="F27" s="105" t="n">
        <v>5</v>
      </c>
      <c r="G27" s="105" t="n">
        <v>3</v>
      </c>
    </row>
    <row r="28">
      <c r="A28" s="104" t="n">
        <v>46015</v>
      </c>
      <c r="B28" s="29">
        <f>CHOOSE(WEEKDAY(A28,2),"月","火","水","木","金","土","日")</f>
        <v/>
      </c>
      <c r="C28" s="105" t="n">
        <v>1</v>
      </c>
      <c r="D28" s="105" t="n">
        <v>1</v>
      </c>
      <c r="E28" s="105" t="n">
        <v>9</v>
      </c>
      <c r="F28" s="105" t="n">
        <v>6</v>
      </c>
      <c r="G28" s="105" t="n">
        <v>3</v>
      </c>
    </row>
    <row r="29">
      <c r="A29" s="104" t="n">
        <v>46016</v>
      </c>
      <c r="B29" s="29">
        <f>CHOOSE(WEEKDAY(A29,2),"月","火","水","木","金","土","日")</f>
        <v/>
      </c>
      <c r="C29" s="105" t="n">
        <v>0</v>
      </c>
      <c r="D29" s="105" t="n">
        <v>1</v>
      </c>
      <c r="E29" s="105" t="n">
        <v>9</v>
      </c>
      <c r="F29" s="105" t="n">
        <v>7</v>
      </c>
      <c r="G29" s="105" t="n">
        <v>2</v>
      </c>
    </row>
    <row r="30">
      <c r="A30" s="104" t="n">
        <v>46017</v>
      </c>
      <c r="B30" s="29">
        <f>CHOOSE(WEEKDAY(A30,2),"月","火","水","木","金","土","日")</f>
        <v/>
      </c>
      <c r="C30" s="105" t="n">
        <v>0</v>
      </c>
      <c r="D30" s="105" t="n">
        <v>1</v>
      </c>
      <c r="E30" s="105" t="n">
        <v>9</v>
      </c>
      <c r="F30" s="105" t="n">
        <v>8</v>
      </c>
      <c r="G30" s="105" t="n">
        <v>1</v>
      </c>
    </row>
    <row r="31">
      <c r="A31" s="106" t="n">
        <v>46018</v>
      </c>
      <c r="B31" s="107">
        <f>CHOOSE(WEEKDAY(A31,2),"月","火","水","木","金","土","日")</f>
        <v/>
      </c>
      <c r="C31" s="108" t="n">
        <v>0</v>
      </c>
      <c r="D31" s="108" t="n">
        <v>0</v>
      </c>
      <c r="E31" s="108" t="n">
        <v>9</v>
      </c>
      <c r="F31" s="108" t="n">
        <v>8</v>
      </c>
      <c r="G31" s="108" t="n">
        <v>1</v>
      </c>
    </row>
    <row r="32">
      <c r="A32" s="106" t="n">
        <v>46019</v>
      </c>
      <c r="B32" s="107">
        <f>CHOOSE(WEEKDAY(A32,2),"月","火","水","木","金","土","日")</f>
        <v/>
      </c>
      <c r="C32" s="108" t="n">
        <v>0</v>
      </c>
      <c r="D32" s="108" t="n">
        <v>0</v>
      </c>
      <c r="E32" s="108" t="n">
        <v>9</v>
      </c>
      <c r="F32" s="108" t="n">
        <v>8</v>
      </c>
      <c r="G32" s="108" t="n">
        <v>1</v>
      </c>
    </row>
    <row r="33">
      <c r="A33" s="104" t="n">
        <v>46020</v>
      </c>
      <c r="B33" s="29">
        <f>CHOOSE(WEEKDAY(A33,2),"月","火","水","木","金","土","日")</f>
        <v/>
      </c>
      <c r="C33" s="105" t="n">
        <v>0</v>
      </c>
      <c r="D33" s="105" t="n">
        <v>0</v>
      </c>
      <c r="E33" s="105" t="n">
        <v>9</v>
      </c>
      <c r="F33" s="105" t="n">
        <v>8</v>
      </c>
      <c r="G33" s="105" t="n">
        <v>1</v>
      </c>
    </row>
    <row r="34">
      <c r="A34" s="104" t="n">
        <v>46021</v>
      </c>
      <c r="B34" s="29">
        <f>CHOOSE(WEEKDAY(A34,2),"月","火","水","木","金","土","日")</f>
        <v/>
      </c>
      <c r="C34" s="105" t="n">
        <v>0</v>
      </c>
      <c r="D34" s="105" t="n">
        <v>1</v>
      </c>
      <c r="E34" s="105" t="n">
        <v>9</v>
      </c>
      <c r="F34" s="105" t="n">
        <v>9</v>
      </c>
      <c r="G34" s="105" t="n">
        <v>0</v>
      </c>
    </row>
    <row r="35">
      <c r="A35" s="104" t="n">
        <v>46022</v>
      </c>
      <c r="B35" s="29">
        <f>CHOOSE(WEEKDAY(A35,2),"月","火","水","木","金","土","日")</f>
        <v/>
      </c>
      <c r="C35" s="105" t="n">
        <v>0</v>
      </c>
      <c r="D35" s="105" t="n">
        <v>0</v>
      </c>
      <c r="E35" s="105" t="n">
        <v>9</v>
      </c>
      <c r="F35" s="105" t="n">
        <v>9</v>
      </c>
      <c r="G35" s="105" t="n">
        <v>0</v>
      </c>
    </row>
    <row r="36">
      <c r="A36" s="104" t="n">
        <v>46023</v>
      </c>
      <c r="B36" s="29">
        <f>CHOOSE(WEEKDAY(A36,2),"月","火","水","木","金","土","日")</f>
        <v/>
      </c>
      <c r="C36" s="105" t="n">
        <v>0</v>
      </c>
      <c r="D36" s="105" t="n">
        <v>0</v>
      </c>
      <c r="E36" s="105" t="n">
        <v>9</v>
      </c>
      <c r="F36" s="105" t="n">
        <v>9</v>
      </c>
      <c r="G36" s="105" t="n">
        <v>0</v>
      </c>
    </row>
    <row r="37">
      <c r="A37" s="104" t="n">
        <v>46024</v>
      </c>
      <c r="B37" s="29">
        <f>CHOOSE(WEEKDAY(A37,2),"月","火","水","木","金","土","日")</f>
        <v/>
      </c>
      <c r="C37" s="105" t="n">
        <v>0</v>
      </c>
      <c r="D37" s="105" t="n">
        <v>0</v>
      </c>
      <c r="E37" s="105" t="n">
        <v>9</v>
      </c>
      <c r="F37" s="105" t="n">
        <v>9</v>
      </c>
      <c r="G37" s="105" t="n">
        <v>0</v>
      </c>
    </row>
    <row r="38">
      <c r="A38" s="106" t="n">
        <v>46025</v>
      </c>
      <c r="B38" s="107">
        <f>CHOOSE(WEEKDAY(A38,2),"月","火","水","木","金","土","日")</f>
        <v/>
      </c>
      <c r="C38" s="108" t="n">
        <v>0</v>
      </c>
      <c r="D38" s="108" t="n">
        <v>0</v>
      </c>
      <c r="E38" s="108" t="n">
        <v>9</v>
      </c>
      <c r="F38" s="108" t="n">
        <v>9</v>
      </c>
      <c r="G38" s="108" t="n">
        <v>0</v>
      </c>
    </row>
    <row r="39">
      <c r="A39" s="106" t="n">
        <v>46026</v>
      </c>
      <c r="B39" s="107">
        <f>CHOOSE(WEEKDAY(A39,2),"月","火","水","木","金","土","日")</f>
        <v/>
      </c>
      <c r="C39" s="108" t="n">
        <v>0</v>
      </c>
      <c r="D39" s="108" t="n">
        <v>0</v>
      </c>
      <c r="E39" s="108" t="n">
        <v>9</v>
      </c>
      <c r="F39" s="108" t="n">
        <v>9</v>
      </c>
      <c r="G39" s="108" t="n">
        <v>0</v>
      </c>
    </row>
    <row r="40">
      <c r="A40" s="104" t="n">
        <v>46027</v>
      </c>
      <c r="B40" s="29">
        <f>CHOOSE(WEEKDAY(A40,2),"月","火","水","木","金","土","日")</f>
        <v/>
      </c>
      <c r="C40" s="105" t="n">
        <v>0</v>
      </c>
      <c r="D40" s="105" t="n">
        <v>0</v>
      </c>
      <c r="E40" s="105" t="n">
        <v>9</v>
      </c>
      <c r="F40" s="105" t="n">
        <v>9</v>
      </c>
      <c r="G40" s="105" t="n">
        <v>0</v>
      </c>
    </row>
    <row r="41">
      <c r="A41" s="104" t="n">
        <v>46028</v>
      </c>
      <c r="B41" s="29">
        <f>CHOOSE(WEEKDAY(A41,2),"月","火","水","木","金","土","日")</f>
        <v/>
      </c>
      <c r="C41" s="105" t="n">
        <v>0</v>
      </c>
      <c r="D41" s="105" t="n">
        <v>0</v>
      </c>
      <c r="E41" s="105" t="n">
        <v>9</v>
      </c>
      <c r="F41" s="105" t="n">
        <v>9</v>
      </c>
      <c r="G41" s="105" t="n">
        <v>0</v>
      </c>
    </row>
    <row r="42">
      <c r="A42" s="104" t="n">
        <v>46029</v>
      </c>
      <c r="B42" s="29">
        <f>CHOOSE(WEEKDAY(A42,2),"月","火","水","木","金","土","日")</f>
        <v/>
      </c>
      <c r="C42" s="105" t="n">
        <v>0</v>
      </c>
      <c r="D42" s="105" t="n">
        <v>0</v>
      </c>
      <c r="E42" s="105" t="n">
        <v>9</v>
      </c>
      <c r="F42" s="105" t="n">
        <v>9</v>
      </c>
      <c r="G42" s="105" t="n">
        <v>0</v>
      </c>
    </row>
    <row r="43">
      <c r="A43" s="104" t="n">
        <v>46030</v>
      </c>
      <c r="B43" s="29">
        <f>CHOOSE(WEEKDAY(A43,2),"月","火","水","木","金","土","日")</f>
        <v/>
      </c>
      <c r="C43" s="105" t="n">
        <v>1</v>
      </c>
      <c r="D43" s="105" t="n">
        <v>0</v>
      </c>
      <c r="E43" s="105" t="n">
        <v>10</v>
      </c>
      <c r="F43" s="105" t="n">
        <v>9</v>
      </c>
      <c r="G43" s="105" t="n">
        <v>1</v>
      </c>
    </row>
    <row r="44">
      <c r="A44" s="104" t="n">
        <v>46031</v>
      </c>
      <c r="B44" s="29">
        <f>CHOOSE(WEEKDAY(A44,2),"月","火","水","木","金","土","日")</f>
        <v/>
      </c>
      <c r="C44" s="105" t="n">
        <v>0</v>
      </c>
      <c r="D44" s="105" t="n">
        <v>0</v>
      </c>
      <c r="E44" s="105" t="n">
        <v>10</v>
      </c>
      <c r="F44" s="105" t="n">
        <v>9</v>
      </c>
      <c r="G44" s="105" t="n">
        <v>1</v>
      </c>
    </row>
    <row r="45">
      <c r="A45" s="106" t="n">
        <v>46032</v>
      </c>
      <c r="B45" s="107">
        <f>CHOOSE(WEEKDAY(A45,2),"月","火","水","木","金","土","日")</f>
        <v/>
      </c>
      <c r="C45" s="108" t="n">
        <v>0</v>
      </c>
      <c r="D45" s="108" t="n">
        <v>0</v>
      </c>
      <c r="E45" s="108" t="n">
        <v>10</v>
      </c>
      <c r="F45" s="108" t="n">
        <v>9</v>
      </c>
      <c r="G45" s="108" t="n">
        <v>1</v>
      </c>
    </row>
    <row r="46">
      <c r="A46" s="106" t="n">
        <v>46033</v>
      </c>
      <c r="B46" s="107">
        <f>CHOOSE(WEEKDAY(A46,2),"月","火","水","木","金","土","日")</f>
        <v/>
      </c>
      <c r="C46" s="108" t="n">
        <v>0</v>
      </c>
      <c r="D46" s="108" t="n">
        <v>0</v>
      </c>
      <c r="E46" s="108" t="n">
        <v>10</v>
      </c>
      <c r="F46" s="108" t="n">
        <v>9</v>
      </c>
      <c r="G46" s="108" t="n">
        <v>1</v>
      </c>
    </row>
    <row r="47">
      <c r="A47" s="104" t="n">
        <v>46034</v>
      </c>
      <c r="B47" s="29">
        <f>CHOOSE(WEEKDAY(A47,2),"月","火","水","木","金","土","日")</f>
        <v/>
      </c>
      <c r="C47" s="105" t="n">
        <v>0</v>
      </c>
      <c r="D47" s="105" t="n">
        <v>1</v>
      </c>
      <c r="E47" s="105" t="n">
        <v>10</v>
      </c>
      <c r="F47" s="105" t="n">
        <v>10</v>
      </c>
      <c r="G47" s="105" t="n">
        <v>0</v>
      </c>
    </row>
    <row r="48">
      <c r="A48" s="104" t="n">
        <v>46035</v>
      </c>
      <c r="B48" s="29">
        <f>CHOOSE(WEEKDAY(A48,2),"月","火","水","木","金","土","日")</f>
        <v/>
      </c>
      <c r="C48" s="105" t="n">
        <v>0</v>
      </c>
      <c r="D48" s="105" t="n">
        <v>0</v>
      </c>
      <c r="E48" s="105" t="n">
        <v>10</v>
      </c>
      <c r="F48" s="105" t="n">
        <v>10</v>
      </c>
      <c r="G48" s="105" t="n">
        <v>0</v>
      </c>
    </row>
    <row r="49">
      <c r="A49" s="104" t="n">
        <v>46036</v>
      </c>
      <c r="B49" s="29">
        <f>CHOOSE(WEEKDAY(A49,2),"月","火","水","木","金","土","日")</f>
        <v/>
      </c>
      <c r="C49" s="105" t="n">
        <v>0</v>
      </c>
      <c r="D49" s="105" t="n">
        <v>0</v>
      </c>
      <c r="E49" s="105" t="n">
        <v>10</v>
      </c>
      <c r="F49" s="105" t="n">
        <v>10</v>
      </c>
      <c r="G49" s="105" t="n">
        <v>0</v>
      </c>
    </row>
    <row r="50">
      <c r="A50" s="104" t="n">
        <v>46037</v>
      </c>
      <c r="B50" s="29">
        <f>CHOOSE(WEEKDAY(A50,2),"月","火","水","木","金","土","日")</f>
        <v/>
      </c>
      <c r="C50" s="105" t="n">
        <v>0</v>
      </c>
      <c r="D50" s="105" t="n">
        <v>0</v>
      </c>
      <c r="E50" s="105" t="n">
        <v>10</v>
      </c>
      <c r="F50" s="105" t="n">
        <v>10</v>
      </c>
      <c r="G50" s="105" t="n">
        <v>0</v>
      </c>
    </row>
    <row r="51">
      <c r="A51" s="104" t="n">
        <v>46038</v>
      </c>
      <c r="B51" s="29">
        <f>CHOOSE(WEEKDAY(A51,2),"月","火","水","木","金","土","日")</f>
        <v/>
      </c>
      <c r="C51" s="105" t="n">
        <v>0</v>
      </c>
      <c r="D51" s="105" t="n">
        <v>0</v>
      </c>
      <c r="E51" s="105" t="n">
        <v>10</v>
      </c>
      <c r="F51" s="105" t="n">
        <v>10</v>
      </c>
      <c r="G51" s="105" t="n">
        <v>0</v>
      </c>
    </row>
    <row r="52">
      <c r="A52" s="106" t="n">
        <v>46039</v>
      </c>
      <c r="B52" s="107">
        <f>CHOOSE(WEEKDAY(A52,2),"月","火","水","木","金","土","日")</f>
        <v/>
      </c>
      <c r="C52" s="108" t="n">
        <v>0</v>
      </c>
      <c r="D52" s="108" t="n">
        <v>0</v>
      </c>
      <c r="E52" s="108" t="n">
        <v>10</v>
      </c>
      <c r="F52" s="108" t="n">
        <v>10</v>
      </c>
      <c r="G52" s="108" t="n">
        <v>0</v>
      </c>
    </row>
    <row r="53">
      <c r="A53" s="106" t="n">
        <v>46040</v>
      </c>
      <c r="B53" s="107">
        <f>CHOOSE(WEEKDAY(A53,2),"月","火","水","木","金","土","日")</f>
        <v/>
      </c>
      <c r="C53" s="108" t="n">
        <v>0</v>
      </c>
      <c r="D53" s="108" t="n">
        <v>0</v>
      </c>
      <c r="E53" s="108" t="n">
        <v>10</v>
      </c>
      <c r="F53" s="108" t="n">
        <v>10</v>
      </c>
      <c r="G53" s="108" t="n">
        <v>0</v>
      </c>
    </row>
    <row r="54">
      <c r="A54" s="104" t="n">
        <v>46041</v>
      </c>
      <c r="B54" s="29">
        <f>CHOOSE(WEEKDAY(A54,2),"月","火","水","木","金","土","日")</f>
        <v/>
      </c>
      <c r="C54" s="105" t="n">
        <v>0</v>
      </c>
      <c r="D54" s="105" t="n">
        <v>0</v>
      </c>
      <c r="E54" s="105" t="n">
        <v>10</v>
      </c>
      <c r="F54" s="105" t="n">
        <v>10</v>
      </c>
      <c r="G54" s="105" t="n">
        <v>0</v>
      </c>
    </row>
    <row r="55">
      <c r="A55" s="104" t="n">
        <v>46042</v>
      </c>
      <c r="B55" s="29">
        <f>CHOOSE(WEEKDAY(A55,2),"月","火","水","木","金","土","日")</f>
        <v/>
      </c>
      <c r="C55" s="105" t="n">
        <v>0</v>
      </c>
      <c r="D55" s="105" t="n">
        <v>0</v>
      </c>
      <c r="E55" s="105" t="n">
        <v>10</v>
      </c>
      <c r="F55" s="105" t="n">
        <v>10</v>
      </c>
      <c r="G55" s="105" t="n">
        <v>0</v>
      </c>
    </row>
    <row r="56">
      <c r="A56" s="104" t="n">
        <v>46043</v>
      </c>
      <c r="B56" s="29">
        <f>CHOOSE(WEEKDAY(A56,2),"月","火","水","木","金","土","日")</f>
        <v/>
      </c>
      <c r="C56" s="105" t="n">
        <v>0</v>
      </c>
      <c r="D56" s="105" t="n">
        <v>0</v>
      </c>
      <c r="E56" s="105" t="n">
        <v>10</v>
      </c>
      <c r="F56" s="105" t="n">
        <v>10</v>
      </c>
      <c r="G56" s="105" t="n">
        <v>0</v>
      </c>
    </row>
    <row r="57">
      <c r="A57" s="104" t="n">
        <v>46044</v>
      </c>
      <c r="B57" s="29">
        <f>CHOOSE(WEEKDAY(A57,2),"月","火","水","木","金","土","日")</f>
        <v/>
      </c>
      <c r="C57" s="105" t="n">
        <v>0</v>
      </c>
      <c r="D57" s="105" t="n">
        <v>0</v>
      </c>
      <c r="E57" s="105" t="n">
        <v>10</v>
      </c>
      <c r="F57" s="105" t="n">
        <v>10</v>
      </c>
      <c r="G57" s="105" t="n">
        <v>0</v>
      </c>
    </row>
    <row r="58">
      <c r="A58" s="104" t="n">
        <v>46045</v>
      </c>
      <c r="B58" s="29">
        <f>CHOOSE(WEEKDAY(A58,2),"月","火","水","木","金","土","日")</f>
        <v/>
      </c>
      <c r="C58" s="105" t="n">
        <v>0</v>
      </c>
      <c r="D58" s="105" t="n">
        <v>0</v>
      </c>
      <c r="E58" s="105" t="n">
        <v>10</v>
      </c>
      <c r="F58" s="105" t="n">
        <v>10</v>
      </c>
      <c r="G58" s="105" t="n">
        <v>0</v>
      </c>
    </row>
    <row r="59">
      <c r="A59" s="106" t="n">
        <v>46046</v>
      </c>
      <c r="B59" s="107">
        <f>CHOOSE(WEEKDAY(A59,2),"月","火","水","木","金","土","日")</f>
        <v/>
      </c>
      <c r="C59" s="108" t="n">
        <v>0</v>
      </c>
      <c r="D59" s="108" t="n">
        <v>0</v>
      </c>
      <c r="E59" s="108" t="n">
        <v>10</v>
      </c>
      <c r="F59" s="108" t="n">
        <v>10</v>
      </c>
      <c r="G59" s="108" t="n">
        <v>0</v>
      </c>
    </row>
    <row r="60">
      <c r="A60" s="106" t="n">
        <v>46047</v>
      </c>
      <c r="B60" s="107">
        <f>CHOOSE(WEEKDAY(A60,2),"月","火","水","木","金","土","日")</f>
        <v/>
      </c>
      <c r="C60" s="108" t="n">
        <v>0</v>
      </c>
      <c r="D60" s="108" t="n">
        <v>0</v>
      </c>
      <c r="E60" s="108" t="n">
        <v>10</v>
      </c>
      <c r="F60" s="108" t="n">
        <v>10</v>
      </c>
      <c r="G60" s="108" t="n">
        <v>0</v>
      </c>
    </row>
    <row r="61">
      <c r="A61" s="104" t="n">
        <v>46048</v>
      </c>
      <c r="B61" s="29">
        <f>CHOOSE(WEEKDAY(A61,2),"月","火","水","木","金","土","日")</f>
        <v/>
      </c>
      <c r="C61" s="105" t="n">
        <v>0</v>
      </c>
      <c r="D61" s="105" t="n">
        <v>0</v>
      </c>
      <c r="E61" s="105" t="n">
        <v>10</v>
      </c>
      <c r="F61" s="105" t="n">
        <v>10</v>
      </c>
      <c r="G61" s="105" t="n">
        <v>0</v>
      </c>
    </row>
    <row r="62">
      <c r="A62" s="104" t="n">
        <v>46049</v>
      </c>
      <c r="B62" s="29">
        <f>CHOOSE(WEEKDAY(A62,2),"月","火","水","木","金","土","日")</f>
        <v/>
      </c>
      <c r="C62" s="105" t="n">
        <v>0</v>
      </c>
      <c r="D62" s="105" t="n">
        <v>0</v>
      </c>
      <c r="E62" s="105" t="n">
        <v>10</v>
      </c>
      <c r="F62" s="105" t="n">
        <v>10</v>
      </c>
      <c r="G62" s="105" t="n">
        <v>0</v>
      </c>
    </row>
    <row r="63">
      <c r="A63" s="104" t="n">
        <v>46050</v>
      </c>
      <c r="B63" s="29">
        <f>CHOOSE(WEEKDAY(A63,2),"月","火","水","木","金","土","日")</f>
        <v/>
      </c>
      <c r="C63" s="105" t="n">
        <v>0</v>
      </c>
      <c r="D63" s="105" t="n">
        <v>0</v>
      </c>
      <c r="E63" s="105" t="n">
        <v>10</v>
      </c>
      <c r="F63" s="105" t="n">
        <v>10</v>
      </c>
      <c r="G63" s="105" t="n">
        <v>0</v>
      </c>
    </row>
    <row r="64">
      <c r="A64" s="104" t="n">
        <v>46051</v>
      </c>
      <c r="B64" s="29">
        <f>CHOOSE(WEEKDAY(A64,2),"月","火","水","木","金","土","日")</f>
        <v/>
      </c>
      <c r="C64" s="105" t="n">
        <v>2</v>
      </c>
      <c r="D64" s="105" t="n">
        <v>0</v>
      </c>
      <c r="E64" s="105" t="n">
        <v>12</v>
      </c>
      <c r="F64" s="105" t="n">
        <v>10</v>
      </c>
      <c r="G64" s="105" t="n">
        <v>2</v>
      </c>
    </row>
    <row r="65">
      <c r="A65" s="104" t="n">
        <v>46052</v>
      </c>
      <c r="B65" s="29">
        <f>CHOOSE(WEEKDAY(A65,2),"月","火","水","木","金","土","日")</f>
        <v/>
      </c>
      <c r="C65" s="105" t="n">
        <v>0</v>
      </c>
      <c r="D65" s="105" t="n">
        <v>1</v>
      </c>
      <c r="E65" s="105" t="n">
        <v>12</v>
      </c>
      <c r="F65" s="105" t="n">
        <v>11</v>
      </c>
      <c r="G65" s="105" t="n">
        <v>1</v>
      </c>
    </row>
    <row r="66">
      <c r="A66" s="106" t="n">
        <v>46053</v>
      </c>
      <c r="B66" s="107">
        <f>CHOOSE(WEEKDAY(A66,2),"月","火","水","木","金","土","日")</f>
        <v/>
      </c>
      <c r="C66" s="108" t="n">
        <v>0</v>
      </c>
      <c r="D66" s="108" t="n">
        <v>0</v>
      </c>
      <c r="E66" s="108" t="n">
        <v>12</v>
      </c>
      <c r="F66" s="108" t="n">
        <v>11</v>
      </c>
      <c r="G66" s="108" t="n">
        <v>1</v>
      </c>
    </row>
    <row r="67">
      <c r="A67" s="106" t="n">
        <v>46054</v>
      </c>
      <c r="B67" s="107">
        <f>CHOOSE(WEEKDAY(A67,2),"月","火","水","木","金","土","日")</f>
        <v/>
      </c>
      <c r="C67" s="108" t="n">
        <v>0</v>
      </c>
      <c r="D67" s="108" t="n">
        <v>0</v>
      </c>
      <c r="E67" s="108" t="n">
        <v>12</v>
      </c>
      <c r="F67" s="108" t="n">
        <v>11</v>
      </c>
      <c r="G67" s="108" t="n">
        <v>1</v>
      </c>
    </row>
    <row r="68">
      <c r="A68" s="104" t="n">
        <v>46055</v>
      </c>
      <c r="B68" s="29">
        <f>CHOOSE(WEEKDAY(A68,2),"月","火","水","木","金","土","日")</f>
        <v/>
      </c>
      <c r="C68" s="105" t="n">
        <v>0</v>
      </c>
      <c r="D68" s="105" t="n">
        <v>0</v>
      </c>
      <c r="E68" s="105" t="n">
        <v>12</v>
      </c>
      <c r="F68" s="105" t="n">
        <v>11</v>
      </c>
      <c r="G68" s="105" t="n">
        <v>1</v>
      </c>
    </row>
    <row r="69">
      <c r="A69" s="104" t="n">
        <v>46056</v>
      </c>
      <c r="B69" s="29">
        <f>CHOOSE(WEEKDAY(A69,2),"月","火","水","木","金","土","日")</f>
        <v/>
      </c>
      <c r="C69" s="105" t="n">
        <v>0</v>
      </c>
      <c r="D69" s="105" t="n">
        <v>1</v>
      </c>
      <c r="E69" s="105" t="n">
        <v>12</v>
      </c>
      <c r="F69" s="105" t="n">
        <v>12</v>
      </c>
      <c r="G69" s="105" t="n">
        <v>0</v>
      </c>
    </row>
    <row r="70">
      <c r="A70" s="104" t="n">
        <v>46057</v>
      </c>
      <c r="B70" s="29">
        <f>CHOOSE(WEEKDAY(A70,2),"月","火","水","木","金","土","日")</f>
        <v/>
      </c>
      <c r="C70" s="105" t="n">
        <v>2</v>
      </c>
      <c r="D70" s="105" t="n">
        <v>0</v>
      </c>
      <c r="E70" s="105" t="n">
        <v>14</v>
      </c>
      <c r="F70" s="105" t="n">
        <v>12</v>
      </c>
      <c r="G70" s="105" t="n">
        <v>2</v>
      </c>
    </row>
    <row r="71">
      <c r="A71" s="104" t="n">
        <v>46058</v>
      </c>
      <c r="B71" s="29">
        <f>CHOOSE(WEEKDAY(A71,2),"月","火","水","木","金","土","日")</f>
        <v/>
      </c>
      <c r="C71" s="105" t="n">
        <v>0</v>
      </c>
      <c r="D71" s="105" t="n">
        <v>1</v>
      </c>
      <c r="E71" s="105" t="n">
        <v>14</v>
      </c>
      <c r="F71" s="105" t="n">
        <v>13</v>
      </c>
      <c r="G71" s="105" t="n">
        <v>1</v>
      </c>
    </row>
    <row r="72">
      <c r="A72" s="104" t="n">
        <v>46059</v>
      </c>
      <c r="B72" s="29">
        <f>CHOOSE(WEEKDAY(A72,2),"月","火","水","木","金","土","日")</f>
        <v/>
      </c>
      <c r="C72" s="105" t="n">
        <v>1</v>
      </c>
      <c r="D72" s="105" t="n">
        <v>1</v>
      </c>
      <c r="E72" s="105" t="n">
        <v>15</v>
      </c>
      <c r="F72" s="105" t="n">
        <v>14</v>
      </c>
      <c r="G72" s="105" t="n">
        <v>1</v>
      </c>
    </row>
    <row r="73">
      <c r="A73" s="106" t="n">
        <v>46060</v>
      </c>
      <c r="B73" s="107">
        <f>CHOOSE(WEEKDAY(A73,2),"月","火","水","木","金","土","日")</f>
        <v/>
      </c>
      <c r="C73" s="108" t="n">
        <v>0</v>
      </c>
      <c r="D73" s="108" t="n">
        <v>0</v>
      </c>
      <c r="E73" s="108" t="n">
        <v>15</v>
      </c>
      <c r="F73" s="108" t="n">
        <v>14</v>
      </c>
      <c r="G73" s="108" t="n">
        <v>1</v>
      </c>
    </row>
    <row r="74">
      <c r="A74" s="106" t="n">
        <v>46061</v>
      </c>
      <c r="B74" s="107">
        <f>CHOOSE(WEEKDAY(A74,2),"月","火","水","木","金","土","日")</f>
        <v/>
      </c>
      <c r="C74" s="108" t="n">
        <v>0</v>
      </c>
      <c r="D74" s="108" t="n">
        <v>0</v>
      </c>
      <c r="E74" s="108" t="n">
        <v>15</v>
      </c>
      <c r="F74" s="108" t="n">
        <v>14</v>
      </c>
      <c r="G74" s="108" t="n">
        <v>1</v>
      </c>
    </row>
    <row r="75">
      <c r="A75" s="104" t="n">
        <v>46062</v>
      </c>
      <c r="B75" s="29">
        <f>CHOOSE(WEEKDAY(A75,2),"月","火","水","木","金","土","日")</f>
        <v/>
      </c>
      <c r="C75" s="105" t="n">
        <v>1</v>
      </c>
      <c r="D75" s="105" t="n">
        <v>0</v>
      </c>
      <c r="E75" s="105" t="n">
        <v>16</v>
      </c>
      <c r="F75" s="105" t="n">
        <v>14</v>
      </c>
      <c r="G75" s="105" t="n">
        <v>2</v>
      </c>
    </row>
    <row r="76">
      <c r="A76" s="104" t="n">
        <v>46063</v>
      </c>
      <c r="B76" s="29">
        <f>CHOOSE(WEEKDAY(A76,2),"月","火","水","木","金","土","日")</f>
        <v/>
      </c>
      <c r="C76" s="105" t="n">
        <v>0</v>
      </c>
      <c r="D76" s="105" t="n">
        <v>1</v>
      </c>
      <c r="E76" s="105" t="n">
        <v>16</v>
      </c>
      <c r="F76" s="105" t="n">
        <v>15</v>
      </c>
      <c r="G76" s="105" t="n">
        <v>1</v>
      </c>
    </row>
    <row r="77">
      <c r="A77" s="104" t="n">
        <v>46064</v>
      </c>
      <c r="B77" s="29">
        <f>CHOOSE(WEEKDAY(A77,2),"月","火","水","木","金","土","日")</f>
        <v/>
      </c>
      <c r="C77" s="105" t="n">
        <v>0</v>
      </c>
      <c r="D77" s="105" t="n">
        <v>1</v>
      </c>
      <c r="E77" s="105" t="n">
        <v>16</v>
      </c>
      <c r="F77" s="105" t="n">
        <v>16</v>
      </c>
      <c r="G77" s="105" t="n">
        <v>0</v>
      </c>
    </row>
    <row r="78">
      <c r="A78" s="104" t="n">
        <v>46065</v>
      </c>
      <c r="B78" s="29">
        <f>CHOOSE(WEEKDAY(A78,2),"月","火","水","木","金","土","日")</f>
        <v/>
      </c>
      <c r="C78" s="105" t="n">
        <v>0</v>
      </c>
      <c r="D78" s="105" t="n">
        <v>0</v>
      </c>
      <c r="E78" s="105" t="n">
        <v>16</v>
      </c>
      <c r="F78" s="105" t="n">
        <v>16</v>
      </c>
      <c r="G78" s="105" t="n">
        <v>0</v>
      </c>
    </row>
    <row r="79">
      <c r="A79" s="104" t="n">
        <v>46066</v>
      </c>
      <c r="B79" s="29">
        <f>CHOOSE(WEEKDAY(A79,2),"月","火","水","木","金","土","日")</f>
        <v/>
      </c>
      <c r="C79" s="105" t="n">
        <v>0</v>
      </c>
      <c r="D79" s="105" t="n">
        <v>0</v>
      </c>
      <c r="E79" s="105" t="n">
        <v>16</v>
      </c>
      <c r="F79" s="105" t="n">
        <v>16</v>
      </c>
      <c r="G79" s="105" t="n">
        <v>0</v>
      </c>
    </row>
    <row r="80">
      <c r="A80" s="106" t="n">
        <v>46067</v>
      </c>
      <c r="B80" s="107">
        <f>CHOOSE(WEEKDAY(A80,2),"月","火","水","木","金","土","日")</f>
        <v/>
      </c>
      <c r="C80" s="108" t="n">
        <v>0</v>
      </c>
      <c r="D80" s="108" t="n">
        <v>0</v>
      </c>
      <c r="E80" s="108" t="n">
        <v>16</v>
      </c>
      <c r="F80" s="108" t="n">
        <v>16</v>
      </c>
      <c r="G80" s="108" t="n">
        <v>0</v>
      </c>
    </row>
    <row r="81">
      <c r="A81" s="106" t="n">
        <v>46068</v>
      </c>
      <c r="B81" s="107">
        <f>CHOOSE(WEEKDAY(A81,2),"月","火","水","木","金","土","日")</f>
        <v/>
      </c>
      <c r="C81" s="108" t="n">
        <v>0</v>
      </c>
      <c r="D81" s="108" t="n">
        <v>0</v>
      </c>
      <c r="E81" s="108" t="n">
        <v>16</v>
      </c>
      <c r="F81" s="108" t="n">
        <v>16</v>
      </c>
      <c r="G81" s="108" t="n">
        <v>0</v>
      </c>
    </row>
    <row r="82">
      <c r="A82" s="104" t="n">
        <v>46069</v>
      </c>
      <c r="B82" s="29">
        <f>CHOOSE(WEEKDAY(A82,2),"月","火","水","木","金","土","日")</f>
        <v/>
      </c>
      <c r="C82" s="105" t="n">
        <v>0</v>
      </c>
      <c r="D82" s="105" t="n">
        <v>0</v>
      </c>
      <c r="E82" s="105" t="n">
        <v>16</v>
      </c>
      <c r="F82" s="105" t="n">
        <v>16</v>
      </c>
      <c r="G82" s="105" t="n">
        <v>0</v>
      </c>
    </row>
    <row r="83">
      <c r="A83" s="104" t="n">
        <v>46070</v>
      </c>
      <c r="B83" s="29">
        <f>CHOOSE(WEEKDAY(A83,2),"月","火","水","木","金","土","日")</f>
        <v/>
      </c>
      <c r="C83" s="105" t="n">
        <v>0</v>
      </c>
      <c r="D83" s="105" t="n">
        <v>0</v>
      </c>
      <c r="E83" s="105" t="n">
        <v>16</v>
      </c>
      <c r="F83" s="105" t="n">
        <v>16</v>
      </c>
      <c r="G83" s="105" t="n">
        <v>0</v>
      </c>
    </row>
    <row r="84">
      <c r="A84" s="104" t="n">
        <v>46071</v>
      </c>
      <c r="B84" s="29">
        <f>CHOOSE(WEEKDAY(A84,2),"月","火","水","木","金","土","日")</f>
        <v/>
      </c>
      <c r="C84" s="105" t="n">
        <v>0</v>
      </c>
      <c r="D84" s="105" t="n">
        <v>0</v>
      </c>
      <c r="E84" s="105" t="n">
        <v>16</v>
      </c>
      <c r="F84" s="105" t="n">
        <v>16</v>
      </c>
      <c r="G84" s="105" t="n">
        <v>0</v>
      </c>
    </row>
    <row r="85">
      <c r="A85" s="104" t="n">
        <v>46072</v>
      </c>
      <c r="B85" s="29">
        <f>CHOOSE(WEEKDAY(A85,2),"月","火","水","木","金","土","日")</f>
        <v/>
      </c>
      <c r="C85" s="105" t="n">
        <v>0</v>
      </c>
      <c r="D85" s="105" t="n">
        <v>0</v>
      </c>
      <c r="E85" s="105" t="n">
        <v>16</v>
      </c>
      <c r="F85" s="105" t="n">
        <v>16</v>
      </c>
      <c r="G85" s="105" t="n">
        <v>0</v>
      </c>
    </row>
    <row r="86">
      <c r="A86" s="104" t="n">
        <v>46073</v>
      </c>
      <c r="B86" s="29">
        <f>CHOOSE(WEEKDAY(A86,2),"月","火","水","木","金","土","日")</f>
        <v/>
      </c>
      <c r="C86" s="105" t="n">
        <v>0</v>
      </c>
      <c r="D86" s="105" t="n">
        <v>0</v>
      </c>
      <c r="E86" s="105" t="n">
        <v>16</v>
      </c>
      <c r="F86" s="105" t="n">
        <v>16</v>
      </c>
      <c r="G86" s="105" t="n">
        <v>0</v>
      </c>
    </row>
    <row r="87">
      <c r="A87" s="106" t="n">
        <v>46074</v>
      </c>
      <c r="B87" s="107">
        <f>CHOOSE(WEEKDAY(A87,2),"月","火","水","木","金","土","日")</f>
        <v/>
      </c>
      <c r="C87" s="108" t="n">
        <v>0</v>
      </c>
      <c r="D87" s="108" t="n">
        <v>0</v>
      </c>
      <c r="E87" s="108" t="n">
        <v>16</v>
      </c>
      <c r="F87" s="108" t="n">
        <v>16</v>
      </c>
      <c r="G87" s="108" t="n">
        <v>0</v>
      </c>
    </row>
    <row r="88">
      <c r="A88" s="106" t="n">
        <v>46075</v>
      </c>
      <c r="B88" s="107">
        <f>CHOOSE(WEEKDAY(A88,2),"月","火","水","木","金","土","日")</f>
        <v/>
      </c>
      <c r="C88" s="108" t="n">
        <v>0</v>
      </c>
      <c r="D88" s="108" t="n">
        <v>0</v>
      </c>
      <c r="E88" s="108" t="n">
        <v>16</v>
      </c>
      <c r="F88" s="108" t="n">
        <v>16</v>
      </c>
      <c r="G88" s="108" t="n">
        <v>0</v>
      </c>
    </row>
    <row r="89">
      <c r="A89" s="104" t="n">
        <v>46076</v>
      </c>
      <c r="B89" s="29">
        <f>CHOOSE(WEEKDAY(A89,2),"月","火","水","木","金","土","日")</f>
        <v/>
      </c>
      <c r="C89" s="105" t="n">
        <v>0</v>
      </c>
      <c r="D89" s="105" t="n">
        <v>0</v>
      </c>
      <c r="E89" s="105" t="n">
        <v>16</v>
      </c>
      <c r="F89" s="105" t="n">
        <v>16</v>
      </c>
      <c r="G89" s="105" t="n">
        <v>0</v>
      </c>
    </row>
    <row r="90">
      <c r="A90" s="104" t="n">
        <v>46077</v>
      </c>
      <c r="B90" s="29">
        <f>CHOOSE(WEEKDAY(A90,2),"月","火","水","木","金","土","日")</f>
        <v/>
      </c>
      <c r="C90" s="105" t="n">
        <v>2</v>
      </c>
      <c r="D90" s="105" t="n">
        <v>0</v>
      </c>
      <c r="E90" s="105" t="n">
        <v>18</v>
      </c>
      <c r="F90" s="105" t="n">
        <v>16</v>
      </c>
      <c r="G90" s="105" t="n">
        <v>2</v>
      </c>
    </row>
    <row r="91">
      <c r="A91" s="104" t="n">
        <v>46078</v>
      </c>
      <c r="B91" s="29">
        <f>CHOOSE(WEEKDAY(A91,2),"月","火","水","木","金","土","日")</f>
        <v/>
      </c>
      <c r="C91" s="105" t="n">
        <v>0</v>
      </c>
      <c r="D91" s="105" t="n">
        <v>0</v>
      </c>
      <c r="E91" s="105" t="n">
        <v>18</v>
      </c>
      <c r="F91" s="105" t="n">
        <v>16</v>
      </c>
      <c r="G91" s="105" t="n">
        <v>2</v>
      </c>
    </row>
    <row r="92">
      <c r="A92" s="104" t="n">
        <v>46079</v>
      </c>
      <c r="B92" s="29">
        <f>CHOOSE(WEEKDAY(A92,2),"月","火","水","木","金","土","日")</f>
        <v/>
      </c>
      <c r="C92" s="105" t="n">
        <v>1</v>
      </c>
      <c r="D92" s="105" t="n">
        <v>0</v>
      </c>
      <c r="E92" s="105" t="n">
        <v>19</v>
      </c>
      <c r="F92" s="105" t="n">
        <v>16</v>
      </c>
      <c r="G92" s="105" t="n">
        <v>3</v>
      </c>
    </row>
    <row r="93">
      <c r="A93" s="104" t="n">
        <v>46080</v>
      </c>
      <c r="B93" s="29">
        <f>CHOOSE(WEEKDAY(A93,2),"月","火","水","木","金","土","日")</f>
        <v/>
      </c>
      <c r="C93" s="105" t="n">
        <v>2</v>
      </c>
      <c r="D93" s="105" t="n">
        <v>0</v>
      </c>
      <c r="E93" s="105" t="n">
        <v>21</v>
      </c>
      <c r="F93" s="105" t="n">
        <v>16</v>
      </c>
      <c r="G93" s="105" t="n">
        <v>5</v>
      </c>
    </row>
    <row r="94">
      <c r="A94" s="106" t="n">
        <v>46081</v>
      </c>
      <c r="B94" s="107">
        <f>CHOOSE(WEEKDAY(A94,2),"月","火","水","木","金","土","日")</f>
        <v/>
      </c>
      <c r="C94" s="108" t="n">
        <v>0</v>
      </c>
      <c r="D94" s="108" t="n">
        <v>0</v>
      </c>
      <c r="E94" s="108" t="n">
        <v>21</v>
      </c>
      <c r="F94" s="108" t="n">
        <v>16</v>
      </c>
      <c r="G94" s="108" t="n">
        <v>5</v>
      </c>
    </row>
    <row r="95">
      <c r="A95" s="106" t="n">
        <v>46082</v>
      </c>
      <c r="B95" s="107">
        <f>CHOOSE(WEEKDAY(A95,2),"月","火","水","木","金","土","日")</f>
        <v/>
      </c>
      <c r="C95" s="108" t="n">
        <v>0</v>
      </c>
      <c r="D95" s="108" t="n">
        <v>0</v>
      </c>
      <c r="E95" s="108" t="n">
        <v>21</v>
      </c>
      <c r="F95" s="108" t="n">
        <v>16</v>
      </c>
      <c r="G95" s="108" t="n">
        <v>5</v>
      </c>
    </row>
    <row r="96">
      <c r="A96" s="104" t="n">
        <v>46083</v>
      </c>
      <c r="B96" s="29">
        <f>CHOOSE(WEEKDAY(A96,2),"月","火","水","木","金","土","日")</f>
        <v/>
      </c>
      <c r="C96" s="105" t="n">
        <v>2</v>
      </c>
      <c r="D96" s="105" t="n">
        <v>0</v>
      </c>
      <c r="E96" s="105" t="n">
        <v>23</v>
      </c>
      <c r="F96" s="105" t="n">
        <v>16</v>
      </c>
      <c r="G96" s="105" t="n">
        <v>7</v>
      </c>
    </row>
    <row r="97">
      <c r="A97" s="104" t="n">
        <v>46084</v>
      </c>
      <c r="B97" s="29">
        <f>CHOOSE(WEEKDAY(A97,2),"月","火","水","木","金","土","日")</f>
        <v/>
      </c>
      <c r="C97" s="105" t="n">
        <v>0</v>
      </c>
      <c r="D97" s="105" t="n">
        <v>1</v>
      </c>
      <c r="E97" s="105" t="n">
        <v>23</v>
      </c>
      <c r="F97" s="105" t="n">
        <v>17</v>
      </c>
      <c r="G97" s="105" t="n">
        <v>6</v>
      </c>
    </row>
    <row r="98">
      <c r="A98" s="104" t="n">
        <v>46085</v>
      </c>
      <c r="B98" s="29">
        <f>CHOOSE(WEEKDAY(A98,2),"月","火","水","木","金","土","日")</f>
        <v/>
      </c>
      <c r="C98" s="105" t="n">
        <v>0</v>
      </c>
      <c r="D98" s="105" t="n">
        <v>1</v>
      </c>
      <c r="E98" s="105" t="n">
        <v>23</v>
      </c>
      <c r="F98" s="105" t="n">
        <v>18</v>
      </c>
      <c r="G98" s="105" t="n">
        <v>5</v>
      </c>
    </row>
    <row r="99">
      <c r="A99" s="104" t="n">
        <v>46086</v>
      </c>
      <c r="B99" s="29">
        <f>CHOOSE(WEEKDAY(A99,2),"月","火","水","木","金","土","日")</f>
        <v/>
      </c>
      <c r="C99" s="105" t="n">
        <v>0</v>
      </c>
      <c r="D99" s="105" t="n">
        <v>1</v>
      </c>
      <c r="E99" s="105" t="n">
        <v>23</v>
      </c>
      <c r="F99" s="105" t="n">
        <v>19</v>
      </c>
      <c r="G99" s="10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FAADC"/>
    <outlinePr summaryBelow="1" summaryRight="1"/>
    <pageSetUpPr/>
  </sheetPr>
  <dimension ref="A1:G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03" t="inlineStr">
        <is>
          <t>欠陥サマリー - 基盤</t>
        </is>
      </c>
    </row>
    <row r="4">
      <c r="A4" s="8" t="inlineStr">
        <is>
          <t>日付</t>
        </is>
      </c>
      <c r="B4" s="8" t="inlineStr">
        <is>
          <t>曜</t>
        </is>
      </c>
      <c r="C4" s="8" t="inlineStr">
        <is>
          <t>検出</t>
        </is>
      </c>
      <c r="D4" s="8" t="inlineStr">
        <is>
          <t>対応</t>
        </is>
      </c>
      <c r="E4" s="8" t="inlineStr">
        <is>
          <t>累積検出</t>
        </is>
      </c>
      <c r="F4" s="8" t="inlineStr">
        <is>
          <t>累積対応</t>
        </is>
      </c>
      <c r="G4" s="8" t="inlineStr">
        <is>
          <t>累積未対応</t>
        </is>
      </c>
    </row>
    <row r="5">
      <c r="A5" s="104" t="n">
        <v>45992</v>
      </c>
      <c r="B5" s="29">
        <f>CHOOSE(WEEKDAY(A5,2),"月","火","水","木","金","土","日")</f>
        <v/>
      </c>
      <c r="C5" s="105" t="n">
        <v>1</v>
      </c>
      <c r="D5" s="105" t="n">
        <v>0</v>
      </c>
      <c r="E5" s="105" t="n">
        <v>1</v>
      </c>
      <c r="F5" s="105" t="n">
        <v>0</v>
      </c>
      <c r="G5" s="105" t="n">
        <v>1</v>
      </c>
    </row>
    <row r="6">
      <c r="A6" s="104" t="n">
        <v>45993</v>
      </c>
      <c r="B6" s="29">
        <f>CHOOSE(WEEKDAY(A6,2),"月","火","水","木","金","土","日")</f>
        <v/>
      </c>
      <c r="C6" s="105" t="n">
        <v>1</v>
      </c>
      <c r="D6" s="105" t="n">
        <v>0</v>
      </c>
      <c r="E6" s="105" t="n">
        <v>2</v>
      </c>
      <c r="F6" s="105" t="n">
        <v>0</v>
      </c>
      <c r="G6" s="105" t="n">
        <v>2</v>
      </c>
    </row>
    <row r="7">
      <c r="A7" s="104" t="n">
        <v>45994</v>
      </c>
      <c r="B7" s="29">
        <f>CHOOSE(WEEKDAY(A7,2),"月","火","水","木","金","土","日")</f>
        <v/>
      </c>
      <c r="C7" s="105" t="n">
        <v>0</v>
      </c>
      <c r="D7" s="105" t="n">
        <v>1</v>
      </c>
      <c r="E7" s="105" t="n">
        <v>2</v>
      </c>
      <c r="F7" s="105" t="n">
        <v>1</v>
      </c>
      <c r="G7" s="105" t="n">
        <v>1</v>
      </c>
    </row>
    <row r="8">
      <c r="A8" s="104" t="n">
        <v>45995</v>
      </c>
      <c r="B8" s="29">
        <f>CHOOSE(WEEKDAY(A8,2),"月","火","水","木","金","土","日")</f>
        <v/>
      </c>
      <c r="C8" s="105" t="n">
        <v>0</v>
      </c>
      <c r="D8" s="105" t="n">
        <v>1</v>
      </c>
      <c r="E8" s="105" t="n">
        <v>2</v>
      </c>
      <c r="F8" s="105" t="n">
        <v>2</v>
      </c>
      <c r="G8" s="105" t="n">
        <v>0</v>
      </c>
    </row>
    <row r="9">
      <c r="A9" s="104" t="n">
        <v>45996</v>
      </c>
      <c r="B9" s="29">
        <f>CHOOSE(WEEKDAY(A9,2),"月","火","水","木","金","土","日")</f>
        <v/>
      </c>
      <c r="C9" s="105" t="n">
        <v>1</v>
      </c>
      <c r="D9" s="105" t="n">
        <v>0</v>
      </c>
      <c r="E9" s="105" t="n">
        <v>3</v>
      </c>
      <c r="F9" s="105" t="n">
        <v>2</v>
      </c>
      <c r="G9" s="105" t="n">
        <v>1</v>
      </c>
    </row>
    <row r="10">
      <c r="A10" s="106" t="n">
        <v>45997</v>
      </c>
      <c r="B10" s="107">
        <f>CHOOSE(WEEKDAY(A10,2),"月","火","水","木","金","土","日")</f>
        <v/>
      </c>
      <c r="C10" s="108" t="n">
        <v>0</v>
      </c>
      <c r="D10" s="108" t="n">
        <v>0</v>
      </c>
      <c r="E10" s="108" t="n">
        <v>3</v>
      </c>
      <c r="F10" s="108" t="n">
        <v>2</v>
      </c>
      <c r="G10" s="108" t="n">
        <v>1</v>
      </c>
    </row>
    <row r="11">
      <c r="A11" s="106" t="n">
        <v>45998</v>
      </c>
      <c r="B11" s="107">
        <f>CHOOSE(WEEKDAY(A11,2),"月","火","水","木","金","土","日")</f>
        <v/>
      </c>
      <c r="C11" s="108" t="n">
        <v>0</v>
      </c>
      <c r="D11" s="108" t="n">
        <v>0</v>
      </c>
      <c r="E11" s="108" t="n">
        <v>3</v>
      </c>
      <c r="F11" s="108" t="n">
        <v>2</v>
      </c>
      <c r="G11" s="108" t="n">
        <v>1</v>
      </c>
    </row>
    <row r="12">
      <c r="A12" s="104" t="n">
        <v>45999</v>
      </c>
      <c r="B12" s="29">
        <f>CHOOSE(WEEKDAY(A12,2),"月","火","水","木","金","土","日")</f>
        <v/>
      </c>
      <c r="C12" s="105" t="n">
        <v>0</v>
      </c>
      <c r="D12" s="105" t="n">
        <v>0</v>
      </c>
      <c r="E12" s="105" t="n">
        <v>3</v>
      </c>
      <c r="F12" s="105" t="n">
        <v>2</v>
      </c>
      <c r="G12" s="105" t="n">
        <v>1</v>
      </c>
    </row>
    <row r="13">
      <c r="A13" s="104" t="n">
        <v>46000</v>
      </c>
      <c r="B13" s="29">
        <f>CHOOSE(WEEKDAY(A13,2),"月","火","水","木","金","土","日")</f>
        <v/>
      </c>
      <c r="C13" s="105" t="n">
        <v>1</v>
      </c>
      <c r="D13" s="105" t="n">
        <v>1</v>
      </c>
      <c r="E13" s="105" t="n">
        <v>4</v>
      </c>
      <c r="F13" s="105" t="n">
        <v>3</v>
      </c>
      <c r="G13" s="105" t="n">
        <v>1</v>
      </c>
    </row>
    <row r="14">
      <c r="A14" s="104" t="n">
        <v>46001</v>
      </c>
      <c r="B14" s="29">
        <f>CHOOSE(WEEKDAY(A14,2),"月","火","水","木","金","土","日")</f>
        <v/>
      </c>
      <c r="C14" s="105" t="n">
        <v>0</v>
      </c>
      <c r="D14" s="105" t="n">
        <v>1</v>
      </c>
      <c r="E14" s="105" t="n">
        <v>4</v>
      </c>
      <c r="F14" s="105" t="n">
        <v>4</v>
      </c>
      <c r="G14" s="105" t="n">
        <v>0</v>
      </c>
    </row>
    <row r="15">
      <c r="A15" s="104" t="n">
        <v>46002</v>
      </c>
      <c r="B15" s="29">
        <f>CHOOSE(WEEKDAY(A15,2),"月","火","水","木","金","土","日")</f>
        <v/>
      </c>
      <c r="C15" s="105" t="n">
        <v>0</v>
      </c>
      <c r="D15" s="105" t="n">
        <v>0</v>
      </c>
      <c r="E15" s="105" t="n">
        <v>4</v>
      </c>
      <c r="F15" s="105" t="n">
        <v>4</v>
      </c>
      <c r="G15" s="105" t="n">
        <v>0</v>
      </c>
    </row>
    <row r="16">
      <c r="A16" s="104" t="n">
        <v>46003</v>
      </c>
      <c r="B16" s="29">
        <f>CHOOSE(WEEKDAY(A16,2),"月","火","水","木","金","土","日")</f>
        <v/>
      </c>
      <c r="C16" s="105" t="n">
        <v>1</v>
      </c>
      <c r="D16" s="105" t="n">
        <v>0</v>
      </c>
      <c r="E16" s="105" t="n">
        <v>5</v>
      </c>
      <c r="F16" s="105" t="n">
        <v>4</v>
      </c>
      <c r="G16" s="105" t="n">
        <v>1</v>
      </c>
    </row>
    <row r="17">
      <c r="A17" s="106" t="n">
        <v>46004</v>
      </c>
      <c r="B17" s="107">
        <f>CHOOSE(WEEKDAY(A17,2),"月","火","水","木","金","土","日")</f>
        <v/>
      </c>
      <c r="C17" s="108" t="n">
        <v>0</v>
      </c>
      <c r="D17" s="108" t="n">
        <v>0</v>
      </c>
      <c r="E17" s="108" t="n">
        <v>5</v>
      </c>
      <c r="F17" s="108" t="n">
        <v>4</v>
      </c>
      <c r="G17" s="108" t="n">
        <v>1</v>
      </c>
    </row>
    <row r="18">
      <c r="A18" s="106" t="n">
        <v>46005</v>
      </c>
      <c r="B18" s="107">
        <f>CHOOSE(WEEKDAY(A18,2),"月","火","水","木","金","土","日")</f>
        <v/>
      </c>
      <c r="C18" s="108" t="n">
        <v>0</v>
      </c>
      <c r="D18" s="108" t="n">
        <v>0</v>
      </c>
      <c r="E18" s="108" t="n">
        <v>5</v>
      </c>
      <c r="F18" s="108" t="n">
        <v>4</v>
      </c>
      <c r="G18" s="108" t="n">
        <v>1</v>
      </c>
    </row>
    <row r="19">
      <c r="A19" s="104" t="n">
        <v>46006</v>
      </c>
      <c r="B19" s="29">
        <f>CHOOSE(WEEKDAY(A19,2),"月","火","水","木","金","土","日")</f>
        <v/>
      </c>
      <c r="C19" s="105" t="n">
        <v>2</v>
      </c>
      <c r="D19" s="105" t="n">
        <v>1</v>
      </c>
      <c r="E19" s="105" t="n">
        <v>7</v>
      </c>
      <c r="F19" s="105" t="n">
        <v>5</v>
      </c>
      <c r="G19" s="105" t="n">
        <v>2</v>
      </c>
    </row>
    <row r="20">
      <c r="A20" s="104" t="n">
        <v>46007</v>
      </c>
      <c r="B20" s="29">
        <f>CHOOSE(WEEKDAY(A20,2),"月","火","水","木","金","土","日")</f>
        <v/>
      </c>
      <c r="C20" s="105" t="n">
        <v>0</v>
      </c>
      <c r="D20" s="105" t="n">
        <v>1</v>
      </c>
      <c r="E20" s="105" t="n">
        <v>7</v>
      </c>
      <c r="F20" s="105" t="n">
        <v>6</v>
      </c>
      <c r="G20" s="105" t="n">
        <v>1</v>
      </c>
    </row>
    <row r="21">
      <c r="A21" s="104" t="n">
        <v>46008</v>
      </c>
      <c r="B21" s="29">
        <f>CHOOSE(WEEKDAY(A21,2),"月","火","水","木","金","土","日")</f>
        <v/>
      </c>
      <c r="C21" s="105" t="n">
        <v>0</v>
      </c>
      <c r="D21" s="105" t="n">
        <v>1</v>
      </c>
      <c r="E21" s="105" t="n">
        <v>7</v>
      </c>
      <c r="F21" s="105" t="n">
        <v>7</v>
      </c>
      <c r="G21" s="105" t="n">
        <v>0</v>
      </c>
    </row>
    <row r="22">
      <c r="A22" s="104" t="n">
        <v>46009</v>
      </c>
      <c r="B22" s="29">
        <f>CHOOSE(WEEKDAY(A22,2),"月","火","水","木","金","土","日")</f>
        <v/>
      </c>
      <c r="C22" s="105" t="n">
        <v>2</v>
      </c>
      <c r="D22" s="105" t="n">
        <v>0</v>
      </c>
      <c r="E22" s="105" t="n">
        <v>9</v>
      </c>
      <c r="F22" s="105" t="n">
        <v>7</v>
      </c>
      <c r="G22" s="105" t="n">
        <v>2</v>
      </c>
    </row>
    <row r="23">
      <c r="A23" s="104" t="n">
        <v>46010</v>
      </c>
      <c r="B23" s="29">
        <f>CHOOSE(WEEKDAY(A23,2),"月","火","水","木","金","土","日")</f>
        <v/>
      </c>
      <c r="C23" s="105" t="n">
        <v>0</v>
      </c>
      <c r="D23" s="105" t="n">
        <v>0</v>
      </c>
      <c r="E23" s="105" t="n">
        <v>9</v>
      </c>
      <c r="F23" s="105" t="n">
        <v>7</v>
      </c>
      <c r="G23" s="105" t="n">
        <v>2</v>
      </c>
    </row>
    <row r="24">
      <c r="A24" s="106" t="n">
        <v>46011</v>
      </c>
      <c r="B24" s="107">
        <f>CHOOSE(WEEKDAY(A24,2),"月","火","水","木","金","土","日")</f>
        <v/>
      </c>
      <c r="C24" s="108" t="n">
        <v>0</v>
      </c>
      <c r="D24" s="108" t="n">
        <v>0</v>
      </c>
      <c r="E24" s="108" t="n">
        <v>9</v>
      </c>
      <c r="F24" s="108" t="n">
        <v>7</v>
      </c>
      <c r="G24" s="108" t="n">
        <v>2</v>
      </c>
    </row>
    <row r="25">
      <c r="A25" s="106" t="n">
        <v>46012</v>
      </c>
      <c r="B25" s="107">
        <f>CHOOSE(WEEKDAY(A25,2),"月","火","水","木","金","土","日")</f>
        <v/>
      </c>
      <c r="C25" s="108" t="n">
        <v>0</v>
      </c>
      <c r="D25" s="108" t="n">
        <v>0</v>
      </c>
      <c r="E25" s="108" t="n">
        <v>9</v>
      </c>
      <c r="F25" s="108" t="n">
        <v>7</v>
      </c>
      <c r="G25" s="108" t="n">
        <v>2</v>
      </c>
    </row>
    <row r="26">
      <c r="A26" s="104" t="n">
        <v>46013</v>
      </c>
      <c r="B26" s="29">
        <f>CHOOSE(WEEKDAY(A26,2),"月","火","水","木","金","土","日")</f>
        <v/>
      </c>
      <c r="C26" s="105" t="n">
        <v>0</v>
      </c>
      <c r="D26" s="105" t="n">
        <v>1</v>
      </c>
      <c r="E26" s="105" t="n">
        <v>9</v>
      </c>
      <c r="F26" s="105" t="n">
        <v>8</v>
      </c>
      <c r="G26" s="105" t="n">
        <v>1</v>
      </c>
    </row>
    <row r="27">
      <c r="A27" s="104" t="n">
        <v>46014</v>
      </c>
      <c r="B27" s="29">
        <f>CHOOSE(WEEKDAY(A27,2),"月","火","水","木","金","土","日")</f>
        <v/>
      </c>
      <c r="C27" s="105" t="n">
        <v>0</v>
      </c>
      <c r="D27" s="105" t="n">
        <v>1</v>
      </c>
      <c r="E27" s="105" t="n">
        <v>9</v>
      </c>
      <c r="F27" s="105" t="n">
        <v>9</v>
      </c>
      <c r="G27" s="105" t="n">
        <v>0</v>
      </c>
    </row>
    <row r="28">
      <c r="A28" s="104" t="n">
        <v>46015</v>
      </c>
      <c r="B28" s="29">
        <f>CHOOSE(WEEKDAY(A28,2),"月","火","水","木","金","土","日")</f>
        <v/>
      </c>
      <c r="C28" s="105" t="n">
        <v>0</v>
      </c>
      <c r="D28" s="105" t="n">
        <v>0</v>
      </c>
      <c r="E28" s="105" t="n">
        <v>9</v>
      </c>
      <c r="F28" s="105" t="n">
        <v>9</v>
      </c>
      <c r="G28" s="105" t="n">
        <v>0</v>
      </c>
    </row>
    <row r="29">
      <c r="A29" s="104" t="n">
        <v>46016</v>
      </c>
      <c r="B29" s="29">
        <f>CHOOSE(WEEKDAY(A29,2),"月","火","水","木","金","土","日")</f>
        <v/>
      </c>
      <c r="C29" s="105" t="n">
        <v>0</v>
      </c>
      <c r="D29" s="105" t="n">
        <v>0</v>
      </c>
      <c r="E29" s="105" t="n">
        <v>9</v>
      </c>
      <c r="F29" s="105" t="n">
        <v>9</v>
      </c>
      <c r="G29" s="105" t="n">
        <v>0</v>
      </c>
    </row>
    <row r="30">
      <c r="A30" s="104" t="n">
        <v>46017</v>
      </c>
      <c r="B30" s="29">
        <f>CHOOSE(WEEKDAY(A30,2),"月","火","水","木","金","土","日")</f>
        <v/>
      </c>
      <c r="C30" s="105" t="n">
        <v>0</v>
      </c>
      <c r="D30" s="105" t="n">
        <v>0</v>
      </c>
      <c r="E30" s="105" t="n">
        <v>9</v>
      </c>
      <c r="F30" s="105" t="n">
        <v>9</v>
      </c>
      <c r="G30" s="105" t="n">
        <v>0</v>
      </c>
    </row>
    <row r="31">
      <c r="A31" s="106" t="n">
        <v>46018</v>
      </c>
      <c r="B31" s="107">
        <f>CHOOSE(WEEKDAY(A31,2),"月","火","水","木","金","土","日")</f>
        <v/>
      </c>
      <c r="C31" s="108" t="n">
        <v>0</v>
      </c>
      <c r="D31" s="108" t="n">
        <v>0</v>
      </c>
      <c r="E31" s="108" t="n">
        <v>9</v>
      </c>
      <c r="F31" s="108" t="n">
        <v>9</v>
      </c>
      <c r="G31" s="108" t="n">
        <v>0</v>
      </c>
    </row>
    <row r="32">
      <c r="A32" s="106" t="n">
        <v>46019</v>
      </c>
      <c r="B32" s="107">
        <f>CHOOSE(WEEKDAY(A32,2),"月","火","水","木","金","土","日")</f>
        <v/>
      </c>
      <c r="C32" s="108" t="n">
        <v>0</v>
      </c>
      <c r="D32" s="108" t="n">
        <v>0</v>
      </c>
      <c r="E32" s="108" t="n">
        <v>9</v>
      </c>
      <c r="F32" s="108" t="n">
        <v>9</v>
      </c>
      <c r="G32" s="108" t="n">
        <v>0</v>
      </c>
    </row>
    <row r="33">
      <c r="A33" s="104" t="n">
        <v>46020</v>
      </c>
      <c r="B33" s="29">
        <f>CHOOSE(WEEKDAY(A33,2),"月","火","水","木","金","土","日")</f>
        <v/>
      </c>
      <c r="C33" s="105" t="n">
        <v>0</v>
      </c>
      <c r="D33" s="105" t="n">
        <v>0</v>
      </c>
      <c r="E33" s="105" t="n">
        <v>9</v>
      </c>
      <c r="F33" s="105" t="n">
        <v>9</v>
      </c>
      <c r="G33" s="105" t="n">
        <v>0</v>
      </c>
    </row>
    <row r="34">
      <c r="A34" s="104" t="n">
        <v>46021</v>
      </c>
      <c r="B34" s="29">
        <f>CHOOSE(WEEKDAY(A34,2),"月","火","水","木","金","土","日")</f>
        <v/>
      </c>
      <c r="C34" s="105" t="n">
        <v>2</v>
      </c>
      <c r="D34" s="105" t="n">
        <v>0</v>
      </c>
      <c r="E34" s="105" t="n">
        <v>11</v>
      </c>
      <c r="F34" s="105" t="n">
        <v>9</v>
      </c>
      <c r="G34" s="105" t="n">
        <v>2</v>
      </c>
    </row>
    <row r="35">
      <c r="A35" s="104" t="n">
        <v>46022</v>
      </c>
      <c r="B35" s="29">
        <f>CHOOSE(WEEKDAY(A35,2),"月","火","水","木","金","土","日")</f>
        <v/>
      </c>
      <c r="C35" s="105" t="n">
        <v>0</v>
      </c>
      <c r="D35" s="105" t="n">
        <v>1</v>
      </c>
      <c r="E35" s="105" t="n">
        <v>11</v>
      </c>
      <c r="F35" s="105" t="n">
        <v>10</v>
      </c>
      <c r="G35" s="105" t="n">
        <v>1</v>
      </c>
    </row>
    <row r="36">
      <c r="A36" s="104" t="n">
        <v>46023</v>
      </c>
      <c r="B36" s="29">
        <f>CHOOSE(WEEKDAY(A36,2),"月","火","水","木","金","土","日")</f>
        <v/>
      </c>
      <c r="C36" s="105" t="n">
        <v>0</v>
      </c>
      <c r="D36" s="105" t="n">
        <v>0</v>
      </c>
      <c r="E36" s="105" t="n">
        <v>11</v>
      </c>
      <c r="F36" s="105" t="n">
        <v>10</v>
      </c>
      <c r="G36" s="105" t="n">
        <v>1</v>
      </c>
    </row>
    <row r="37">
      <c r="A37" s="104" t="n">
        <v>46024</v>
      </c>
      <c r="B37" s="29">
        <f>CHOOSE(WEEKDAY(A37,2),"月","火","水","木","金","土","日")</f>
        <v/>
      </c>
      <c r="C37" s="105" t="n">
        <v>0</v>
      </c>
      <c r="D37" s="105" t="n">
        <v>0</v>
      </c>
      <c r="E37" s="105" t="n">
        <v>11</v>
      </c>
      <c r="F37" s="105" t="n">
        <v>10</v>
      </c>
      <c r="G37" s="105" t="n">
        <v>1</v>
      </c>
    </row>
    <row r="38">
      <c r="A38" s="106" t="n">
        <v>46025</v>
      </c>
      <c r="B38" s="107">
        <f>CHOOSE(WEEKDAY(A38,2),"月","火","水","木","金","土","日")</f>
        <v/>
      </c>
      <c r="C38" s="108" t="n">
        <v>0</v>
      </c>
      <c r="D38" s="108" t="n">
        <v>0</v>
      </c>
      <c r="E38" s="108" t="n">
        <v>11</v>
      </c>
      <c r="F38" s="108" t="n">
        <v>10</v>
      </c>
      <c r="G38" s="108" t="n">
        <v>1</v>
      </c>
    </row>
    <row r="39">
      <c r="A39" s="106" t="n">
        <v>46026</v>
      </c>
      <c r="B39" s="107">
        <f>CHOOSE(WEEKDAY(A39,2),"月","火","水","木","金","土","日")</f>
        <v/>
      </c>
      <c r="C39" s="108" t="n">
        <v>0</v>
      </c>
      <c r="D39" s="108" t="n">
        <v>0</v>
      </c>
      <c r="E39" s="108" t="n">
        <v>11</v>
      </c>
      <c r="F39" s="108" t="n">
        <v>10</v>
      </c>
      <c r="G39" s="108" t="n">
        <v>1</v>
      </c>
    </row>
    <row r="40">
      <c r="A40" s="104" t="n">
        <v>46027</v>
      </c>
      <c r="B40" s="29">
        <f>CHOOSE(WEEKDAY(A40,2),"月","火","水","木","金","土","日")</f>
        <v/>
      </c>
      <c r="C40" s="105" t="n">
        <v>0</v>
      </c>
      <c r="D40" s="105" t="n">
        <v>1</v>
      </c>
      <c r="E40" s="105" t="n">
        <v>11</v>
      </c>
      <c r="F40" s="105" t="n">
        <v>11</v>
      </c>
      <c r="G40" s="105" t="n">
        <v>0</v>
      </c>
    </row>
    <row r="41">
      <c r="A41" s="104" t="n">
        <v>46028</v>
      </c>
      <c r="B41" s="29">
        <f>CHOOSE(WEEKDAY(A41,2),"月","火","水","木","金","土","日")</f>
        <v/>
      </c>
      <c r="C41" s="105" t="n">
        <v>1</v>
      </c>
      <c r="D41" s="105" t="n">
        <v>0</v>
      </c>
      <c r="E41" s="105" t="n">
        <v>12</v>
      </c>
      <c r="F41" s="105" t="n">
        <v>11</v>
      </c>
      <c r="G41" s="105" t="n">
        <v>1</v>
      </c>
    </row>
    <row r="42">
      <c r="A42" s="104" t="n">
        <v>46029</v>
      </c>
      <c r="B42" s="29">
        <f>CHOOSE(WEEKDAY(A42,2),"月","火","水","木","金","土","日")</f>
        <v/>
      </c>
      <c r="C42" s="105" t="n">
        <v>0</v>
      </c>
      <c r="D42" s="105" t="n">
        <v>1</v>
      </c>
      <c r="E42" s="105" t="n">
        <v>12</v>
      </c>
      <c r="F42" s="105" t="n">
        <v>12</v>
      </c>
      <c r="G42" s="105" t="n">
        <v>0</v>
      </c>
    </row>
    <row r="43">
      <c r="A43" s="104" t="n">
        <v>46030</v>
      </c>
      <c r="B43" s="29">
        <f>CHOOSE(WEEKDAY(A43,2),"月","火","水","木","金","土","日")</f>
        <v/>
      </c>
      <c r="C43" s="105" t="n">
        <v>0</v>
      </c>
      <c r="D43" s="105" t="n">
        <v>0</v>
      </c>
      <c r="E43" s="105" t="n">
        <v>12</v>
      </c>
      <c r="F43" s="105" t="n">
        <v>12</v>
      </c>
      <c r="G43" s="105" t="n">
        <v>0</v>
      </c>
    </row>
    <row r="44">
      <c r="A44" s="104" t="n">
        <v>46031</v>
      </c>
      <c r="B44" s="29">
        <f>CHOOSE(WEEKDAY(A44,2),"月","火","水","木","金","土","日")</f>
        <v/>
      </c>
      <c r="C44" s="105" t="n">
        <v>0</v>
      </c>
      <c r="D44" s="105" t="n">
        <v>0</v>
      </c>
      <c r="E44" s="105" t="n">
        <v>12</v>
      </c>
      <c r="F44" s="105" t="n">
        <v>12</v>
      </c>
      <c r="G44" s="105" t="n">
        <v>0</v>
      </c>
    </row>
    <row r="45">
      <c r="A45" s="106" t="n">
        <v>46032</v>
      </c>
      <c r="B45" s="107">
        <f>CHOOSE(WEEKDAY(A45,2),"月","火","水","木","金","土","日")</f>
        <v/>
      </c>
      <c r="C45" s="108" t="n">
        <v>0</v>
      </c>
      <c r="D45" s="108" t="n">
        <v>0</v>
      </c>
      <c r="E45" s="108" t="n">
        <v>12</v>
      </c>
      <c r="F45" s="108" t="n">
        <v>12</v>
      </c>
      <c r="G45" s="108" t="n">
        <v>0</v>
      </c>
    </row>
    <row r="46">
      <c r="A46" s="106" t="n">
        <v>46033</v>
      </c>
      <c r="B46" s="107">
        <f>CHOOSE(WEEKDAY(A46,2),"月","火","水","木","金","土","日")</f>
        <v/>
      </c>
      <c r="C46" s="108" t="n">
        <v>0</v>
      </c>
      <c r="D46" s="108" t="n">
        <v>0</v>
      </c>
      <c r="E46" s="108" t="n">
        <v>12</v>
      </c>
      <c r="F46" s="108" t="n">
        <v>12</v>
      </c>
      <c r="G46" s="108" t="n">
        <v>0</v>
      </c>
    </row>
    <row r="47">
      <c r="A47" s="104" t="n">
        <v>46034</v>
      </c>
      <c r="B47" s="29">
        <f>CHOOSE(WEEKDAY(A47,2),"月","火","水","木","金","土","日")</f>
        <v/>
      </c>
      <c r="C47" s="105" t="n">
        <v>2</v>
      </c>
      <c r="D47" s="105" t="n">
        <v>0</v>
      </c>
      <c r="E47" s="105" t="n">
        <v>14</v>
      </c>
      <c r="F47" s="105" t="n">
        <v>12</v>
      </c>
      <c r="G47" s="105" t="n">
        <v>2</v>
      </c>
    </row>
    <row r="48">
      <c r="A48" s="104" t="n">
        <v>46035</v>
      </c>
      <c r="B48" s="29">
        <f>CHOOSE(WEEKDAY(A48,2),"月","火","水","木","金","土","日")</f>
        <v/>
      </c>
      <c r="C48" s="105" t="n">
        <v>2</v>
      </c>
      <c r="D48" s="105" t="n">
        <v>0</v>
      </c>
      <c r="E48" s="105" t="n">
        <v>16</v>
      </c>
      <c r="F48" s="105" t="n">
        <v>12</v>
      </c>
      <c r="G48" s="105" t="n">
        <v>4</v>
      </c>
    </row>
    <row r="49">
      <c r="A49" s="104" t="n">
        <v>46036</v>
      </c>
      <c r="B49" s="29">
        <f>CHOOSE(WEEKDAY(A49,2),"月","火","水","木","金","土","日")</f>
        <v/>
      </c>
      <c r="C49" s="105" t="n">
        <v>0</v>
      </c>
      <c r="D49" s="105" t="n">
        <v>0</v>
      </c>
      <c r="E49" s="105" t="n">
        <v>16</v>
      </c>
      <c r="F49" s="105" t="n">
        <v>12</v>
      </c>
      <c r="G49" s="105" t="n">
        <v>4</v>
      </c>
    </row>
    <row r="50">
      <c r="A50" s="104" t="n">
        <v>46037</v>
      </c>
      <c r="B50" s="29">
        <f>CHOOSE(WEEKDAY(A50,2),"月","火","水","木","金","土","日")</f>
        <v/>
      </c>
      <c r="C50" s="105" t="n">
        <v>1</v>
      </c>
      <c r="D50" s="105" t="n">
        <v>0</v>
      </c>
      <c r="E50" s="105" t="n">
        <v>17</v>
      </c>
      <c r="F50" s="105" t="n">
        <v>12</v>
      </c>
      <c r="G50" s="105" t="n">
        <v>5</v>
      </c>
    </row>
    <row r="51">
      <c r="A51" s="104" t="n">
        <v>46038</v>
      </c>
      <c r="B51" s="29">
        <f>CHOOSE(WEEKDAY(A51,2),"月","火","水","木","金","土","日")</f>
        <v/>
      </c>
      <c r="C51" s="105" t="n">
        <v>0</v>
      </c>
      <c r="D51" s="105" t="n">
        <v>0</v>
      </c>
      <c r="E51" s="105" t="n">
        <v>17</v>
      </c>
      <c r="F51" s="105" t="n">
        <v>12</v>
      </c>
      <c r="G51" s="105" t="n">
        <v>5</v>
      </c>
    </row>
    <row r="52">
      <c r="A52" s="106" t="n">
        <v>46039</v>
      </c>
      <c r="B52" s="107">
        <f>CHOOSE(WEEKDAY(A52,2),"月","火","水","木","金","土","日")</f>
        <v/>
      </c>
      <c r="C52" s="108" t="n">
        <v>0</v>
      </c>
      <c r="D52" s="108" t="n">
        <v>0</v>
      </c>
      <c r="E52" s="108" t="n">
        <v>17</v>
      </c>
      <c r="F52" s="108" t="n">
        <v>12</v>
      </c>
      <c r="G52" s="108" t="n">
        <v>5</v>
      </c>
    </row>
    <row r="53">
      <c r="A53" s="106" t="n">
        <v>46040</v>
      </c>
      <c r="B53" s="107">
        <f>CHOOSE(WEEKDAY(A53,2),"月","火","水","木","金","土","日")</f>
        <v/>
      </c>
      <c r="C53" s="108" t="n">
        <v>0</v>
      </c>
      <c r="D53" s="108" t="n">
        <v>0</v>
      </c>
      <c r="E53" s="108" t="n">
        <v>17</v>
      </c>
      <c r="F53" s="108" t="n">
        <v>12</v>
      </c>
      <c r="G53" s="108" t="n">
        <v>5</v>
      </c>
    </row>
    <row r="54">
      <c r="A54" s="104" t="n">
        <v>46041</v>
      </c>
      <c r="B54" s="29">
        <f>CHOOSE(WEEKDAY(A54,2),"月","火","水","木","金","土","日")</f>
        <v/>
      </c>
      <c r="C54" s="105" t="n">
        <v>2</v>
      </c>
      <c r="D54" s="105" t="n">
        <v>1</v>
      </c>
      <c r="E54" s="105" t="n">
        <v>19</v>
      </c>
      <c r="F54" s="105" t="n">
        <v>13</v>
      </c>
      <c r="G54" s="105" t="n">
        <v>6</v>
      </c>
    </row>
    <row r="55">
      <c r="A55" s="104" t="n">
        <v>46042</v>
      </c>
      <c r="B55" s="29">
        <f>CHOOSE(WEEKDAY(A55,2),"月","火","水","木","金","土","日")</f>
        <v/>
      </c>
      <c r="C55" s="105" t="n">
        <v>1</v>
      </c>
      <c r="D55" s="105" t="n">
        <v>1</v>
      </c>
      <c r="E55" s="105" t="n">
        <v>20</v>
      </c>
      <c r="F55" s="105" t="n">
        <v>14</v>
      </c>
      <c r="G55" s="105" t="n">
        <v>6</v>
      </c>
    </row>
    <row r="56">
      <c r="A56" s="104" t="n">
        <v>46043</v>
      </c>
      <c r="B56" s="29">
        <f>CHOOSE(WEEKDAY(A56,2),"月","火","水","木","金","土","日")</f>
        <v/>
      </c>
      <c r="C56" s="105" t="n">
        <v>0</v>
      </c>
      <c r="D56" s="105" t="n">
        <v>1</v>
      </c>
      <c r="E56" s="105" t="n">
        <v>20</v>
      </c>
      <c r="F56" s="105" t="n">
        <v>15</v>
      </c>
      <c r="G56" s="105" t="n">
        <v>5</v>
      </c>
    </row>
    <row r="57">
      <c r="A57" s="104" t="n">
        <v>46044</v>
      </c>
      <c r="B57" s="29">
        <f>CHOOSE(WEEKDAY(A57,2),"月","火","水","木","金","土","日")</f>
        <v/>
      </c>
      <c r="C57" s="105" t="n">
        <v>0</v>
      </c>
      <c r="D57" s="105" t="n">
        <v>1</v>
      </c>
      <c r="E57" s="105" t="n">
        <v>20</v>
      </c>
      <c r="F57" s="105" t="n">
        <v>16</v>
      </c>
      <c r="G57" s="105" t="n">
        <v>4</v>
      </c>
    </row>
    <row r="58">
      <c r="A58" s="104" t="n">
        <v>46045</v>
      </c>
      <c r="B58" s="29">
        <f>CHOOSE(WEEKDAY(A58,2),"月","火","水","木","金","土","日")</f>
        <v/>
      </c>
      <c r="C58" s="105" t="n">
        <v>1</v>
      </c>
      <c r="D58" s="105" t="n">
        <v>0</v>
      </c>
      <c r="E58" s="105" t="n">
        <v>21</v>
      </c>
      <c r="F58" s="105" t="n">
        <v>16</v>
      </c>
      <c r="G58" s="105" t="n">
        <v>5</v>
      </c>
    </row>
    <row r="59">
      <c r="A59" s="106" t="n">
        <v>46046</v>
      </c>
      <c r="B59" s="107">
        <f>CHOOSE(WEEKDAY(A59,2),"月","火","水","木","金","土","日")</f>
        <v/>
      </c>
      <c r="C59" s="108" t="n">
        <v>0</v>
      </c>
      <c r="D59" s="108" t="n">
        <v>0</v>
      </c>
      <c r="E59" s="108" t="n">
        <v>21</v>
      </c>
      <c r="F59" s="108" t="n">
        <v>16</v>
      </c>
      <c r="G59" s="108" t="n">
        <v>5</v>
      </c>
    </row>
    <row r="60">
      <c r="A60" s="106" t="n">
        <v>46047</v>
      </c>
      <c r="B60" s="107">
        <f>CHOOSE(WEEKDAY(A60,2),"月","火","水","木","金","土","日")</f>
        <v/>
      </c>
      <c r="C60" s="108" t="n">
        <v>0</v>
      </c>
      <c r="D60" s="108" t="n">
        <v>0</v>
      </c>
      <c r="E60" s="108" t="n">
        <v>21</v>
      </c>
      <c r="F60" s="108" t="n">
        <v>16</v>
      </c>
      <c r="G60" s="108" t="n">
        <v>5</v>
      </c>
    </row>
    <row r="61">
      <c r="A61" s="104" t="n">
        <v>46048</v>
      </c>
      <c r="B61" s="29">
        <f>CHOOSE(WEEKDAY(A61,2),"月","火","水","木","金","土","日")</f>
        <v/>
      </c>
      <c r="C61" s="105" t="n">
        <v>0</v>
      </c>
      <c r="D61" s="105" t="n">
        <v>0</v>
      </c>
      <c r="E61" s="105" t="n">
        <v>21</v>
      </c>
      <c r="F61" s="105" t="n">
        <v>16</v>
      </c>
      <c r="G61" s="105" t="n">
        <v>5</v>
      </c>
    </row>
    <row r="62">
      <c r="A62" s="104" t="n">
        <v>46049</v>
      </c>
      <c r="B62" s="29">
        <f>CHOOSE(WEEKDAY(A62,2),"月","火","水","木","金","土","日")</f>
        <v/>
      </c>
      <c r="C62" s="105" t="n">
        <v>0</v>
      </c>
      <c r="D62" s="105" t="n">
        <v>0</v>
      </c>
      <c r="E62" s="105" t="n">
        <v>21</v>
      </c>
      <c r="F62" s="105" t="n">
        <v>16</v>
      </c>
      <c r="G62" s="105" t="n">
        <v>5</v>
      </c>
    </row>
    <row r="63">
      <c r="A63" s="104" t="n">
        <v>46050</v>
      </c>
      <c r="B63" s="29">
        <f>CHOOSE(WEEKDAY(A63,2),"月","火","水","木","金","土","日")</f>
        <v/>
      </c>
      <c r="C63" s="105" t="n">
        <v>0</v>
      </c>
      <c r="D63" s="105" t="n">
        <v>1</v>
      </c>
      <c r="E63" s="105" t="n">
        <v>21</v>
      </c>
      <c r="F63" s="105" t="n">
        <v>17</v>
      </c>
      <c r="G63" s="105" t="n">
        <v>4</v>
      </c>
    </row>
    <row r="64">
      <c r="A64" s="104" t="n">
        <v>46051</v>
      </c>
      <c r="B64" s="29">
        <f>CHOOSE(WEEKDAY(A64,2),"月","火","水","木","金","土","日")</f>
        <v/>
      </c>
      <c r="C64" s="105" t="n">
        <v>0</v>
      </c>
      <c r="D64" s="105" t="n">
        <v>0</v>
      </c>
      <c r="E64" s="105" t="n">
        <v>21</v>
      </c>
      <c r="F64" s="105" t="n">
        <v>17</v>
      </c>
      <c r="G64" s="105" t="n">
        <v>4</v>
      </c>
    </row>
    <row r="65">
      <c r="A65" s="104" t="n">
        <v>46052</v>
      </c>
      <c r="B65" s="29">
        <f>CHOOSE(WEEKDAY(A65,2),"月","火","水","木","金","土","日")</f>
        <v/>
      </c>
      <c r="C65" s="105" t="n">
        <v>0</v>
      </c>
      <c r="D65" s="105" t="n">
        <v>1</v>
      </c>
      <c r="E65" s="105" t="n">
        <v>21</v>
      </c>
      <c r="F65" s="105" t="n">
        <v>18</v>
      </c>
      <c r="G65" s="105" t="n">
        <v>3</v>
      </c>
    </row>
    <row r="66">
      <c r="A66" s="106" t="n">
        <v>46053</v>
      </c>
      <c r="B66" s="107">
        <f>CHOOSE(WEEKDAY(A66,2),"月","火","水","木","金","土","日")</f>
        <v/>
      </c>
      <c r="C66" s="108" t="n">
        <v>0</v>
      </c>
      <c r="D66" s="108" t="n">
        <v>0</v>
      </c>
      <c r="E66" s="108" t="n">
        <v>21</v>
      </c>
      <c r="F66" s="108" t="n">
        <v>18</v>
      </c>
      <c r="G66" s="108" t="n">
        <v>3</v>
      </c>
    </row>
    <row r="67">
      <c r="A67" s="106" t="n">
        <v>46054</v>
      </c>
      <c r="B67" s="107">
        <f>CHOOSE(WEEKDAY(A67,2),"月","火","水","木","金","土","日")</f>
        <v/>
      </c>
      <c r="C67" s="108" t="n">
        <v>0</v>
      </c>
      <c r="D67" s="108" t="n">
        <v>0</v>
      </c>
      <c r="E67" s="108" t="n">
        <v>21</v>
      </c>
      <c r="F67" s="108" t="n">
        <v>18</v>
      </c>
      <c r="G67" s="108" t="n">
        <v>3</v>
      </c>
    </row>
    <row r="68">
      <c r="A68" s="104" t="n">
        <v>46055</v>
      </c>
      <c r="B68" s="29">
        <f>CHOOSE(WEEKDAY(A68,2),"月","火","水","木","金","土","日")</f>
        <v/>
      </c>
      <c r="C68" s="105" t="n">
        <v>0</v>
      </c>
      <c r="D68" s="105" t="n">
        <v>0</v>
      </c>
      <c r="E68" s="105" t="n">
        <v>21</v>
      </c>
      <c r="F68" s="105" t="n">
        <v>18</v>
      </c>
      <c r="G68" s="105" t="n">
        <v>3</v>
      </c>
    </row>
    <row r="69">
      <c r="A69" s="104" t="n">
        <v>46056</v>
      </c>
      <c r="B69" s="29">
        <f>CHOOSE(WEEKDAY(A69,2),"月","火","水","木","金","土","日")</f>
        <v/>
      </c>
      <c r="C69" s="105" t="n">
        <v>0</v>
      </c>
      <c r="D69" s="105" t="n">
        <v>0</v>
      </c>
      <c r="E69" s="105" t="n">
        <v>21</v>
      </c>
      <c r="F69" s="105" t="n">
        <v>18</v>
      </c>
      <c r="G69" s="105" t="n">
        <v>3</v>
      </c>
    </row>
    <row r="70">
      <c r="A70" s="104" t="n">
        <v>46057</v>
      </c>
      <c r="B70" s="29">
        <f>CHOOSE(WEEKDAY(A70,2),"月","火","水","木","金","土","日")</f>
        <v/>
      </c>
      <c r="C70" s="105" t="n">
        <v>0</v>
      </c>
      <c r="D70" s="105" t="n">
        <v>1</v>
      </c>
      <c r="E70" s="105" t="n">
        <v>21</v>
      </c>
      <c r="F70" s="105" t="n">
        <v>19</v>
      </c>
      <c r="G70" s="105" t="n">
        <v>2</v>
      </c>
    </row>
    <row r="71">
      <c r="A71" s="104" t="n">
        <v>46058</v>
      </c>
      <c r="B71" s="29">
        <f>CHOOSE(WEEKDAY(A71,2),"月","火","水","木","金","土","日")</f>
        <v/>
      </c>
      <c r="C71" s="105" t="n">
        <v>0</v>
      </c>
      <c r="D71" s="105" t="n">
        <v>1</v>
      </c>
      <c r="E71" s="105" t="n">
        <v>21</v>
      </c>
      <c r="F71" s="105" t="n">
        <v>20</v>
      </c>
      <c r="G71" s="105" t="n">
        <v>1</v>
      </c>
    </row>
    <row r="72">
      <c r="A72" s="104" t="n">
        <v>46059</v>
      </c>
      <c r="B72" s="29">
        <f>CHOOSE(WEEKDAY(A72,2),"月","火","水","木","金","土","日")</f>
        <v/>
      </c>
      <c r="C72" s="105" t="n">
        <v>0</v>
      </c>
      <c r="D72" s="105" t="n">
        <v>1</v>
      </c>
      <c r="E72" s="105" t="n">
        <v>21</v>
      </c>
      <c r="F72" s="105" t="n">
        <v>21</v>
      </c>
      <c r="G72" s="105" t="n">
        <v>0</v>
      </c>
    </row>
    <row r="73">
      <c r="A73" s="106" t="n">
        <v>46060</v>
      </c>
      <c r="B73" s="107">
        <f>CHOOSE(WEEKDAY(A73,2),"月","火","水","木","金","土","日")</f>
        <v/>
      </c>
      <c r="C73" s="108" t="n">
        <v>0</v>
      </c>
      <c r="D73" s="108" t="n">
        <v>0</v>
      </c>
      <c r="E73" s="108" t="n">
        <v>21</v>
      </c>
      <c r="F73" s="108" t="n">
        <v>21</v>
      </c>
      <c r="G73" s="108" t="n">
        <v>0</v>
      </c>
    </row>
    <row r="74">
      <c r="A74" s="106" t="n">
        <v>46061</v>
      </c>
      <c r="B74" s="107">
        <f>CHOOSE(WEEKDAY(A74,2),"月","火","水","木","金","土","日")</f>
        <v/>
      </c>
      <c r="C74" s="108" t="n">
        <v>0</v>
      </c>
      <c r="D74" s="108" t="n">
        <v>0</v>
      </c>
      <c r="E74" s="108" t="n">
        <v>21</v>
      </c>
      <c r="F74" s="108" t="n">
        <v>21</v>
      </c>
      <c r="G74" s="108" t="n">
        <v>0</v>
      </c>
    </row>
    <row r="75">
      <c r="A75" s="104" t="n">
        <v>46062</v>
      </c>
      <c r="B75" s="29">
        <f>CHOOSE(WEEKDAY(A75,2),"月","火","水","木","金","土","日")</f>
        <v/>
      </c>
      <c r="C75" s="105" t="n">
        <v>0</v>
      </c>
      <c r="D75" s="105" t="n">
        <v>0</v>
      </c>
      <c r="E75" s="105" t="n">
        <v>21</v>
      </c>
      <c r="F75" s="105" t="n">
        <v>21</v>
      </c>
      <c r="G75" s="105" t="n">
        <v>0</v>
      </c>
    </row>
    <row r="76">
      <c r="A76" s="104" t="n">
        <v>46063</v>
      </c>
      <c r="B76" s="29">
        <f>CHOOSE(WEEKDAY(A76,2),"月","火","水","木","金","土","日")</f>
        <v/>
      </c>
      <c r="C76" s="105" t="n">
        <v>1</v>
      </c>
      <c r="D76" s="105" t="n">
        <v>0</v>
      </c>
      <c r="E76" s="105" t="n">
        <v>22</v>
      </c>
      <c r="F76" s="105" t="n">
        <v>21</v>
      </c>
      <c r="G76" s="105" t="n">
        <v>1</v>
      </c>
    </row>
    <row r="77">
      <c r="A77" s="104" t="n">
        <v>46064</v>
      </c>
      <c r="B77" s="29">
        <f>CHOOSE(WEEKDAY(A77,2),"月","火","水","木","金","土","日")</f>
        <v/>
      </c>
      <c r="C77" s="105" t="n">
        <v>1</v>
      </c>
      <c r="D77" s="105" t="n">
        <v>0</v>
      </c>
      <c r="E77" s="105" t="n">
        <v>23</v>
      </c>
      <c r="F77" s="105" t="n">
        <v>21</v>
      </c>
      <c r="G77" s="105" t="n">
        <v>2</v>
      </c>
    </row>
    <row r="78">
      <c r="A78" s="104" t="n">
        <v>46065</v>
      </c>
      <c r="B78" s="29">
        <f>CHOOSE(WEEKDAY(A78,2),"月","火","水","木","金","土","日")</f>
        <v/>
      </c>
      <c r="C78" s="105" t="n">
        <v>0</v>
      </c>
      <c r="D78" s="105" t="n">
        <v>1</v>
      </c>
      <c r="E78" s="105" t="n">
        <v>23</v>
      </c>
      <c r="F78" s="105" t="n">
        <v>22</v>
      </c>
      <c r="G78" s="105" t="n">
        <v>1</v>
      </c>
    </row>
    <row r="79">
      <c r="A79" s="104" t="n">
        <v>46066</v>
      </c>
      <c r="B79" s="29">
        <f>CHOOSE(WEEKDAY(A79,2),"月","火","水","木","金","土","日")</f>
        <v/>
      </c>
      <c r="C79" s="105" t="n">
        <v>0</v>
      </c>
      <c r="D79" s="105" t="n">
        <v>0</v>
      </c>
      <c r="E79" s="105" t="n">
        <v>23</v>
      </c>
      <c r="F79" s="105" t="n">
        <v>22</v>
      </c>
      <c r="G79" s="105" t="n">
        <v>1</v>
      </c>
    </row>
    <row r="80">
      <c r="A80" s="106" t="n">
        <v>46067</v>
      </c>
      <c r="B80" s="107">
        <f>CHOOSE(WEEKDAY(A80,2),"月","火","水","木","金","土","日")</f>
        <v/>
      </c>
      <c r="C80" s="108" t="n">
        <v>0</v>
      </c>
      <c r="D80" s="108" t="n">
        <v>0</v>
      </c>
      <c r="E80" s="108" t="n">
        <v>23</v>
      </c>
      <c r="F80" s="108" t="n">
        <v>22</v>
      </c>
      <c r="G80" s="108" t="n">
        <v>1</v>
      </c>
    </row>
    <row r="81">
      <c r="A81" s="106" t="n">
        <v>46068</v>
      </c>
      <c r="B81" s="107">
        <f>CHOOSE(WEEKDAY(A81,2),"月","火","水","木","金","土","日")</f>
        <v/>
      </c>
      <c r="C81" s="108" t="n">
        <v>0</v>
      </c>
      <c r="D81" s="108" t="n">
        <v>0</v>
      </c>
      <c r="E81" s="108" t="n">
        <v>23</v>
      </c>
      <c r="F81" s="108" t="n">
        <v>22</v>
      </c>
      <c r="G81" s="108" t="n">
        <v>1</v>
      </c>
    </row>
    <row r="82">
      <c r="A82" s="104" t="n">
        <v>46069</v>
      </c>
      <c r="B82" s="29">
        <f>CHOOSE(WEEKDAY(A82,2),"月","火","水","木","金","土","日")</f>
        <v/>
      </c>
      <c r="C82" s="105" t="n">
        <v>1</v>
      </c>
      <c r="D82" s="105" t="n">
        <v>1</v>
      </c>
      <c r="E82" s="105" t="n">
        <v>24</v>
      </c>
      <c r="F82" s="105" t="n">
        <v>23</v>
      </c>
      <c r="G82" s="105" t="n">
        <v>1</v>
      </c>
    </row>
    <row r="83">
      <c r="A83" s="104" t="n">
        <v>46070</v>
      </c>
      <c r="B83" s="29">
        <f>CHOOSE(WEEKDAY(A83,2),"月","火","水","木","金","土","日")</f>
        <v/>
      </c>
      <c r="C83" s="105" t="n">
        <v>0</v>
      </c>
      <c r="D83" s="105" t="n">
        <v>0</v>
      </c>
      <c r="E83" s="105" t="n">
        <v>24</v>
      </c>
      <c r="F83" s="105" t="n">
        <v>23</v>
      </c>
      <c r="G83" s="105" t="n">
        <v>1</v>
      </c>
    </row>
    <row r="84">
      <c r="A84" s="104" t="n">
        <v>46071</v>
      </c>
      <c r="B84" s="29">
        <f>CHOOSE(WEEKDAY(A84,2),"月","火","水","木","金","土","日")</f>
        <v/>
      </c>
      <c r="C84" s="105" t="n">
        <v>1</v>
      </c>
      <c r="D84" s="105" t="n">
        <v>0</v>
      </c>
      <c r="E84" s="105" t="n">
        <v>25</v>
      </c>
      <c r="F84" s="105" t="n">
        <v>23</v>
      </c>
      <c r="G84" s="105" t="n">
        <v>2</v>
      </c>
    </row>
    <row r="85">
      <c r="A85" s="104" t="n">
        <v>46072</v>
      </c>
      <c r="B85" s="29">
        <f>CHOOSE(WEEKDAY(A85,2),"月","火","水","木","金","土","日")</f>
        <v/>
      </c>
      <c r="C85" s="105" t="n">
        <v>0</v>
      </c>
      <c r="D85" s="105" t="n">
        <v>1</v>
      </c>
      <c r="E85" s="105" t="n">
        <v>25</v>
      </c>
      <c r="F85" s="105" t="n">
        <v>24</v>
      </c>
      <c r="G85" s="105" t="n">
        <v>1</v>
      </c>
    </row>
    <row r="86">
      <c r="A86" s="104" t="n">
        <v>46073</v>
      </c>
      <c r="B86" s="29">
        <f>CHOOSE(WEEKDAY(A86,2),"月","火","水","木","金","土","日")</f>
        <v/>
      </c>
      <c r="C86" s="105" t="n">
        <v>1</v>
      </c>
      <c r="D86" s="105" t="n">
        <v>1</v>
      </c>
      <c r="E86" s="105" t="n">
        <v>26</v>
      </c>
      <c r="F86" s="105" t="n">
        <v>25</v>
      </c>
      <c r="G86" s="105" t="n">
        <v>1</v>
      </c>
    </row>
    <row r="87">
      <c r="A87" s="106" t="n">
        <v>46074</v>
      </c>
      <c r="B87" s="107">
        <f>CHOOSE(WEEKDAY(A87,2),"月","火","水","木","金","土","日")</f>
        <v/>
      </c>
      <c r="C87" s="108" t="n">
        <v>0</v>
      </c>
      <c r="D87" s="108" t="n">
        <v>0</v>
      </c>
      <c r="E87" s="108" t="n">
        <v>26</v>
      </c>
      <c r="F87" s="108" t="n">
        <v>25</v>
      </c>
      <c r="G87" s="108" t="n">
        <v>1</v>
      </c>
    </row>
    <row r="88">
      <c r="A88" s="106" t="n">
        <v>46075</v>
      </c>
      <c r="B88" s="107">
        <f>CHOOSE(WEEKDAY(A88,2),"月","火","水","木","金","土","日")</f>
        <v/>
      </c>
      <c r="C88" s="108" t="n">
        <v>0</v>
      </c>
      <c r="D88" s="108" t="n">
        <v>0</v>
      </c>
      <c r="E88" s="108" t="n">
        <v>26</v>
      </c>
      <c r="F88" s="108" t="n">
        <v>25</v>
      </c>
      <c r="G88" s="108" t="n">
        <v>1</v>
      </c>
    </row>
    <row r="89">
      <c r="A89" s="104" t="n">
        <v>46076</v>
      </c>
      <c r="B89" s="29">
        <f>CHOOSE(WEEKDAY(A89,2),"月","火","水","木","金","土","日")</f>
        <v/>
      </c>
      <c r="C89" s="105" t="n">
        <v>0</v>
      </c>
      <c r="D89" s="105" t="n">
        <v>0</v>
      </c>
      <c r="E89" s="105" t="n">
        <v>26</v>
      </c>
      <c r="F89" s="105" t="n">
        <v>25</v>
      </c>
      <c r="G89" s="105" t="n">
        <v>1</v>
      </c>
    </row>
    <row r="90">
      <c r="A90" s="104" t="n">
        <v>46077</v>
      </c>
      <c r="B90" s="29">
        <f>CHOOSE(WEEKDAY(A90,2),"月","火","水","木","金","土","日")</f>
        <v/>
      </c>
      <c r="C90" s="105" t="n">
        <v>0</v>
      </c>
      <c r="D90" s="105" t="n">
        <v>1</v>
      </c>
      <c r="E90" s="105" t="n">
        <v>26</v>
      </c>
      <c r="F90" s="105" t="n">
        <v>26</v>
      </c>
      <c r="G90" s="105" t="n">
        <v>0</v>
      </c>
    </row>
    <row r="91">
      <c r="A91" s="104" t="n">
        <v>46078</v>
      </c>
      <c r="B91" s="29">
        <f>CHOOSE(WEEKDAY(A91,2),"月","火","水","木","金","土","日")</f>
        <v/>
      </c>
      <c r="C91" s="105" t="n">
        <v>2</v>
      </c>
      <c r="D91" s="105" t="n">
        <v>0</v>
      </c>
      <c r="E91" s="105" t="n">
        <v>28</v>
      </c>
      <c r="F91" s="105" t="n">
        <v>26</v>
      </c>
      <c r="G91" s="105" t="n">
        <v>2</v>
      </c>
    </row>
    <row r="92">
      <c r="A92" s="104" t="n">
        <v>46079</v>
      </c>
      <c r="B92" s="29">
        <f>CHOOSE(WEEKDAY(A92,2),"月","火","水","木","金","土","日")</f>
        <v/>
      </c>
      <c r="C92" s="105" t="n">
        <v>1</v>
      </c>
      <c r="D92" s="105" t="n">
        <v>1</v>
      </c>
      <c r="E92" s="105" t="n">
        <v>29</v>
      </c>
      <c r="F92" s="105" t="n">
        <v>27</v>
      </c>
      <c r="G92" s="105" t="n">
        <v>2</v>
      </c>
    </row>
    <row r="93">
      <c r="A93" s="104" t="n">
        <v>46080</v>
      </c>
      <c r="B93" s="29">
        <f>CHOOSE(WEEKDAY(A93,2),"月","火","水","木","金","土","日")</f>
        <v/>
      </c>
      <c r="C93" s="105" t="n">
        <v>0</v>
      </c>
      <c r="D93" s="105" t="n">
        <v>1</v>
      </c>
      <c r="E93" s="105" t="n">
        <v>29</v>
      </c>
      <c r="F93" s="105" t="n">
        <v>28</v>
      </c>
      <c r="G93" s="105" t="n">
        <v>1</v>
      </c>
    </row>
    <row r="94">
      <c r="A94" s="106" t="n">
        <v>46081</v>
      </c>
      <c r="B94" s="107">
        <f>CHOOSE(WEEKDAY(A94,2),"月","火","水","木","金","土","日")</f>
        <v/>
      </c>
      <c r="C94" s="108" t="n">
        <v>0</v>
      </c>
      <c r="D94" s="108" t="n">
        <v>0</v>
      </c>
      <c r="E94" s="108" t="n">
        <v>29</v>
      </c>
      <c r="F94" s="108" t="n">
        <v>28</v>
      </c>
      <c r="G94" s="108" t="n">
        <v>1</v>
      </c>
    </row>
    <row r="95">
      <c r="A95" s="106" t="n">
        <v>46082</v>
      </c>
      <c r="B95" s="107">
        <f>CHOOSE(WEEKDAY(A95,2),"月","火","水","木","金","土","日")</f>
        <v/>
      </c>
      <c r="C95" s="108" t="n">
        <v>0</v>
      </c>
      <c r="D95" s="108" t="n">
        <v>0</v>
      </c>
      <c r="E95" s="108" t="n">
        <v>29</v>
      </c>
      <c r="F95" s="108" t="n">
        <v>28</v>
      </c>
      <c r="G95" s="108" t="n">
        <v>1</v>
      </c>
    </row>
    <row r="96">
      <c r="A96" s="104" t="n">
        <v>46083</v>
      </c>
      <c r="B96" s="29">
        <f>CHOOSE(WEEKDAY(A96,2),"月","火","水","木","金","土","日")</f>
        <v/>
      </c>
      <c r="C96" s="105" t="n">
        <v>0</v>
      </c>
      <c r="D96" s="105" t="n">
        <v>0</v>
      </c>
      <c r="E96" s="105" t="n">
        <v>29</v>
      </c>
      <c r="F96" s="105" t="n">
        <v>28</v>
      </c>
      <c r="G96" s="105" t="n">
        <v>1</v>
      </c>
    </row>
    <row r="97">
      <c r="A97" s="104" t="n">
        <v>46084</v>
      </c>
      <c r="B97" s="29">
        <f>CHOOSE(WEEKDAY(A97,2),"月","火","水","木","金","土","日")</f>
        <v/>
      </c>
      <c r="C97" s="105" t="n">
        <v>0</v>
      </c>
      <c r="D97" s="105" t="n">
        <v>0</v>
      </c>
      <c r="E97" s="105" t="n">
        <v>29</v>
      </c>
      <c r="F97" s="105" t="n">
        <v>28</v>
      </c>
      <c r="G97" s="105" t="n">
        <v>1</v>
      </c>
    </row>
    <row r="98">
      <c r="A98" s="104" t="n">
        <v>46085</v>
      </c>
      <c r="B98" s="29">
        <f>CHOOSE(WEEKDAY(A98,2),"月","火","水","木","金","土","日")</f>
        <v/>
      </c>
      <c r="C98" s="105" t="n">
        <v>0</v>
      </c>
      <c r="D98" s="105" t="n">
        <v>1</v>
      </c>
      <c r="E98" s="105" t="n">
        <v>29</v>
      </c>
      <c r="F98" s="105" t="n">
        <v>29</v>
      </c>
      <c r="G98" s="105" t="n">
        <v>0</v>
      </c>
    </row>
    <row r="99">
      <c r="A99" s="104" t="n">
        <v>46086</v>
      </c>
      <c r="B99" s="29">
        <f>CHOOSE(WEEKDAY(A99,2),"月","火","水","木","金","土","日")</f>
        <v/>
      </c>
      <c r="C99" s="105" t="n">
        <v>0</v>
      </c>
      <c r="D99" s="105" t="n">
        <v>0</v>
      </c>
      <c r="E99" s="105" t="n">
        <v>29</v>
      </c>
      <c r="F99" s="105" t="n">
        <v>29</v>
      </c>
      <c r="G99" s="1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FAADC"/>
    <outlinePr summaryBelow="1" summaryRight="1"/>
    <pageSetUpPr/>
  </sheetPr>
  <dimension ref="A1:G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25" customHeight="1">
      <c r="A1" s="103" t="inlineStr">
        <is>
          <t>欠陥サマリー - 運用</t>
        </is>
      </c>
    </row>
    <row r="4">
      <c r="A4" s="8" t="inlineStr">
        <is>
          <t>日付</t>
        </is>
      </c>
      <c r="B4" s="8" t="inlineStr">
        <is>
          <t>曜</t>
        </is>
      </c>
      <c r="C4" s="8" t="inlineStr">
        <is>
          <t>検出</t>
        </is>
      </c>
      <c r="D4" s="8" t="inlineStr">
        <is>
          <t>対応</t>
        </is>
      </c>
      <c r="E4" s="8" t="inlineStr">
        <is>
          <t>累積検出</t>
        </is>
      </c>
      <c r="F4" s="8" t="inlineStr">
        <is>
          <t>累積対応</t>
        </is>
      </c>
      <c r="G4" s="8" t="inlineStr">
        <is>
          <t>累積未対応</t>
        </is>
      </c>
    </row>
    <row r="5">
      <c r="A5" s="104" t="n">
        <v>45992</v>
      </c>
      <c r="B5" s="29">
        <f>CHOOSE(WEEKDAY(A5,2),"月","火","水","木","金","土","日")</f>
        <v/>
      </c>
      <c r="C5" s="105" t="n">
        <v>0</v>
      </c>
      <c r="D5" s="105" t="n">
        <v>0</v>
      </c>
      <c r="E5" s="105" t="n">
        <v>0</v>
      </c>
      <c r="F5" s="105" t="n">
        <v>0</v>
      </c>
      <c r="G5" s="105" t="n">
        <v>0</v>
      </c>
    </row>
    <row r="6">
      <c r="A6" s="104" t="n">
        <v>45993</v>
      </c>
      <c r="B6" s="29">
        <f>CHOOSE(WEEKDAY(A6,2),"月","火","水","木","金","土","日")</f>
        <v/>
      </c>
      <c r="C6" s="105" t="n">
        <v>1</v>
      </c>
      <c r="D6" s="105" t="n">
        <v>0</v>
      </c>
      <c r="E6" s="105" t="n">
        <v>1</v>
      </c>
      <c r="F6" s="105" t="n">
        <v>0</v>
      </c>
      <c r="G6" s="105" t="n">
        <v>1</v>
      </c>
    </row>
    <row r="7">
      <c r="A7" s="104" t="n">
        <v>45994</v>
      </c>
      <c r="B7" s="29">
        <f>CHOOSE(WEEKDAY(A7,2),"月","火","水","木","金","土","日")</f>
        <v/>
      </c>
      <c r="C7" s="105" t="n">
        <v>0</v>
      </c>
      <c r="D7" s="105" t="n">
        <v>0</v>
      </c>
      <c r="E7" s="105" t="n">
        <v>1</v>
      </c>
      <c r="F7" s="105" t="n">
        <v>0</v>
      </c>
      <c r="G7" s="105" t="n">
        <v>1</v>
      </c>
    </row>
    <row r="8">
      <c r="A8" s="104" t="n">
        <v>45995</v>
      </c>
      <c r="B8" s="29">
        <f>CHOOSE(WEEKDAY(A8,2),"月","火","水","木","金","土","日")</f>
        <v/>
      </c>
      <c r="C8" s="105" t="n">
        <v>0</v>
      </c>
      <c r="D8" s="105" t="n">
        <v>1</v>
      </c>
      <c r="E8" s="105" t="n">
        <v>1</v>
      </c>
      <c r="F8" s="105" t="n">
        <v>1</v>
      </c>
      <c r="G8" s="105" t="n">
        <v>0</v>
      </c>
    </row>
    <row r="9">
      <c r="A9" s="104" t="n">
        <v>45996</v>
      </c>
      <c r="B9" s="29">
        <f>CHOOSE(WEEKDAY(A9,2),"月","火","水","木","金","土","日")</f>
        <v/>
      </c>
      <c r="C9" s="105" t="n">
        <v>0</v>
      </c>
      <c r="D9" s="105" t="n">
        <v>0</v>
      </c>
      <c r="E9" s="105" t="n">
        <v>1</v>
      </c>
      <c r="F9" s="105" t="n">
        <v>1</v>
      </c>
      <c r="G9" s="105" t="n">
        <v>0</v>
      </c>
    </row>
    <row r="10">
      <c r="A10" s="106" t="n">
        <v>45997</v>
      </c>
      <c r="B10" s="107">
        <f>CHOOSE(WEEKDAY(A10,2),"月","火","水","木","金","土","日")</f>
        <v/>
      </c>
      <c r="C10" s="108" t="n">
        <v>0</v>
      </c>
      <c r="D10" s="108" t="n">
        <v>0</v>
      </c>
      <c r="E10" s="108" t="n">
        <v>1</v>
      </c>
      <c r="F10" s="108" t="n">
        <v>1</v>
      </c>
      <c r="G10" s="108" t="n">
        <v>0</v>
      </c>
    </row>
    <row r="11">
      <c r="A11" s="106" t="n">
        <v>45998</v>
      </c>
      <c r="B11" s="107">
        <f>CHOOSE(WEEKDAY(A11,2),"月","火","水","木","金","土","日")</f>
        <v/>
      </c>
      <c r="C11" s="108" t="n">
        <v>0</v>
      </c>
      <c r="D11" s="108" t="n">
        <v>0</v>
      </c>
      <c r="E11" s="108" t="n">
        <v>1</v>
      </c>
      <c r="F11" s="108" t="n">
        <v>1</v>
      </c>
      <c r="G11" s="108" t="n">
        <v>0</v>
      </c>
    </row>
    <row r="12">
      <c r="A12" s="104" t="n">
        <v>45999</v>
      </c>
      <c r="B12" s="29">
        <f>CHOOSE(WEEKDAY(A12,2),"月","火","水","木","金","土","日")</f>
        <v/>
      </c>
      <c r="C12" s="105" t="n">
        <v>1</v>
      </c>
      <c r="D12" s="105" t="n">
        <v>0</v>
      </c>
      <c r="E12" s="105" t="n">
        <v>2</v>
      </c>
      <c r="F12" s="105" t="n">
        <v>1</v>
      </c>
      <c r="G12" s="105" t="n">
        <v>1</v>
      </c>
    </row>
    <row r="13">
      <c r="A13" s="104" t="n">
        <v>46000</v>
      </c>
      <c r="B13" s="29">
        <f>CHOOSE(WEEKDAY(A13,2),"月","火","水","木","金","土","日")</f>
        <v/>
      </c>
      <c r="C13" s="105" t="n">
        <v>0</v>
      </c>
      <c r="D13" s="105" t="n">
        <v>0</v>
      </c>
      <c r="E13" s="105" t="n">
        <v>2</v>
      </c>
      <c r="F13" s="105" t="n">
        <v>1</v>
      </c>
      <c r="G13" s="105" t="n">
        <v>1</v>
      </c>
    </row>
    <row r="14">
      <c r="A14" s="104" t="n">
        <v>46001</v>
      </c>
      <c r="B14" s="29">
        <f>CHOOSE(WEEKDAY(A14,2),"月","火","水","木","金","土","日")</f>
        <v/>
      </c>
      <c r="C14" s="105" t="n">
        <v>0</v>
      </c>
      <c r="D14" s="105" t="n">
        <v>0</v>
      </c>
      <c r="E14" s="105" t="n">
        <v>2</v>
      </c>
      <c r="F14" s="105" t="n">
        <v>1</v>
      </c>
      <c r="G14" s="105" t="n">
        <v>1</v>
      </c>
    </row>
    <row r="15">
      <c r="A15" s="104" t="n">
        <v>46002</v>
      </c>
      <c r="B15" s="29">
        <f>CHOOSE(WEEKDAY(A15,2),"月","火","水","木","金","土","日")</f>
        <v/>
      </c>
      <c r="C15" s="105" t="n">
        <v>0</v>
      </c>
      <c r="D15" s="105" t="n">
        <v>1</v>
      </c>
      <c r="E15" s="105" t="n">
        <v>2</v>
      </c>
      <c r="F15" s="105" t="n">
        <v>2</v>
      </c>
      <c r="G15" s="105" t="n">
        <v>0</v>
      </c>
    </row>
    <row r="16">
      <c r="A16" s="104" t="n">
        <v>46003</v>
      </c>
      <c r="B16" s="29">
        <f>CHOOSE(WEEKDAY(A16,2),"月","火","水","木","金","土","日")</f>
        <v/>
      </c>
      <c r="C16" s="105" t="n">
        <v>2</v>
      </c>
      <c r="D16" s="105" t="n">
        <v>0</v>
      </c>
      <c r="E16" s="105" t="n">
        <v>4</v>
      </c>
      <c r="F16" s="105" t="n">
        <v>2</v>
      </c>
      <c r="G16" s="105" t="n">
        <v>2</v>
      </c>
    </row>
    <row r="17">
      <c r="A17" s="106" t="n">
        <v>46004</v>
      </c>
      <c r="B17" s="107">
        <f>CHOOSE(WEEKDAY(A17,2),"月","火","水","木","金","土","日")</f>
        <v/>
      </c>
      <c r="C17" s="108" t="n">
        <v>0</v>
      </c>
      <c r="D17" s="108" t="n">
        <v>0</v>
      </c>
      <c r="E17" s="108" t="n">
        <v>4</v>
      </c>
      <c r="F17" s="108" t="n">
        <v>2</v>
      </c>
      <c r="G17" s="108" t="n">
        <v>2</v>
      </c>
    </row>
    <row r="18">
      <c r="A18" s="106" t="n">
        <v>46005</v>
      </c>
      <c r="B18" s="107">
        <f>CHOOSE(WEEKDAY(A18,2),"月","火","水","木","金","土","日")</f>
        <v/>
      </c>
      <c r="C18" s="108" t="n">
        <v>0</v>
      </c>
      <c r="D18" s="108" t="n">
        <v>0</v>
      </c>
      <c r="E18" s="108" t="n">
        <v>4</v>
      </c>
      <c r="F18" s="108" t="n">
        <v>2</v>
      </c>
      <c r="G18" s="108" t="n">
        <v>2</v>
      </c>
    </row>
    <row r="19">
      <c r="A19" s="104" t="n">
        <v>46006</v>
      </c>
      <c r="B19" s="29">
        <f>CHOOSE(WEEKDAY(A19,2),"月","火","水","木","金","土","日")</f>
        <v/>
      </c>
      <c r="C19" s="105" t="n">
        <v>0</v>
      </c>
      <c r="D19" s="105" t="n">
        <v>1</v>
      </c>
      <c r="E19" s="105" t="n">
        <v>4</v>
      </c>
      <c r="F19" s="105" t="n">
        <v>3</v>
      </c>
      <c r="G19" s="105" t="n">
        <v>1</v>
      </c>
    </row>
    <row r="20">
      <c r="A20" s="104" t="n">
        <v>46007</v>
      </c>
      <c r="B20" s="29">
        <f>CHOOSE(WEEKDAY(A20,2),"月","火","水","木","金","土","日")</f>
        <v/>
      </c>
      <c r="C20" s="105" t="n">
        <v>0</v>
      </c>
      <c r="D20" s="105" t="n">
        <v>1</v>
      </c>
      <c r="E20" s="105" t="n">
        <v>4</v>
      </c>
      <c r="F20" s="105" t="n">
        <v>4</v>
      </c>
      <c r="G20" s="105" t="n">
        <v>0</v>
      </c>
    </row>
    <row r="21">
      <c r="A21" s="104" t="n">
        <v>46008</v>
      </c>
      <c r="B21" s="29">
        <f>CHOOSE(WEEKDAY(A21,2),"月","火","水","木","金","土","日")</f>
        <v/>
      </c>
      <c r="C21" s="105" t="n">
        <v>0</v>
      </c>
      <c r="D21" s="105" t="n">
        <v>0</v>
      </c>
      <c r="E21" s="105" t="n">
        <v>4</v>
      </c>
      <c r="F21" s="105" t="n">
        <v>4</v>
      </c>
      <c r="G21" s="105" t="n">
        <v>0</v>
      </c>
    </row>
    <row r="22">
      <c r="A22" s="104" t="n">
        <v>46009</v>
      </c>
      <c r="B22" s="29">
        <f>CHOOSE(WEEKDAY(A22,2),"月","火","水","木","金","土","日")</f>
        <v/>
      </c>
      <c r="C22" s="105" t="n">
        <v>2</v>
      </c>
      <c r="D22" s="105" t="n">
        <v>0</v>
      </c>
      <c r="E22" s="105" t="n">
        <v>6</v>
      </c>
      <c r="F22" s="105" t="n">
        <v>4</v>
      </c>
      <c r="G22" s="105" t="n">
        <v>2</v>
      </c>
    </row>
    <row r="23">
      <c r="A23" s="104" t="n">
        <v>46010</v>
      </c>
      <c r="B23" s="29">
        <f>CHOOSE(WEEKDAY(A23,2),"月","火","水","木","金","土","日")</f>
        <v/>
      </c>
      <c r="C23" s="105" t="n">
        <v>0</v>
      </c>
      <c r="D23" s="105" t="n">
        <v>0</v>
      </c>
      <c r="E23" s="105" t="n">
        <v>6</v>
      </c>
      <c r="F23" s="105" t="n">
        <v>4</v>
      </c>
      <c r="G23" s="105" t="n">
        <v>2</v>
      </c>
    </row>
    <row r="24">
      <c r="A24" s="106" t="n">
        <v>46011</v>
      </c>
      <c r="B24" s="107">
        <f>CHOOSE(WEEKDAY(A24,2),"月","火","水","木","金","土","日")</f>
        <v/>
      </c>
      <c r="C24" s="108" t="n">
        <v>0</v>
      </c>
      <c r="D24" s="108" t="n">
        <v>0</v>
      </c>
      <c r="E24" s="108" t="n">
        <v>6</v>
      </c>
      <c r="F24" s="108" t="n">
        <v>4</v>
      </c>
      <c r="G24" s="108" t="n">
        <v>2</v>
      </c>
    </row>
    <row r="25">
      <c r="A25" s="106" t="n">
        <v>46012</v>
      </c>
      <c r="B25" s="107">
        <f>CHOOSE(WEEKDAY(A25,2),"月","火","水","木","金","土","日")</f>
        <v/>
      </c>
      <c r="C25" s="108" t="n">
        <v>0</v>
      </c>
      <c r="D25" s="108" t="n">
        <v>0</v>
      </c>
      <c r="E25" s="108" t="n">
        <v>6</v>
      </c>
      <c r="F25" s="108" t="n">
        <v>4</v>
      </c>
      <c r="G25" s="108" t="n">
        <v>2</v>
      </c>
    </row>
    <row r="26">
      <c r="A26" s="104" t="n">
        <v>46013</v>
      </c>
      <c r="B26" s="29">
        <f>CHOOSE(WEEKDAY(A26,2),"月","火","水","木","金","土","日")</f>
        <v/>
      </c>
      <c r="C26" s="105" t="n">
        <v>0</v>
      </c>
      <c r="D26" s="105" t="n">
        <v>0</v>
      </c>
      <c r="E26" s="105" t="n">
        <v>6</v>
      </c>
      <c r="F26" s="105" t="n">
        <v>4</v>
      </c>
      <c r="G26" s="105" t="n">
        <v>2</v>
      </c>
    </row>
    <row r="27">
      <c r="A27" s="104" t="n">
        <v>46014</v>
      </c>
      <c r="B27" s="29">
        <f>CHOOSE(WEEKDAY(A27,2),"月","火","水","木","金","土","日")</f>
        <v/>
      </c>
      <c r="C27" s="105" t="n">
        <v>0</v>
      </c>
      <c r="D27" s="105" t="n">
        <v>0</v>
      </c>
      <c r="E27" s="105" t="n">
        <v>6</v>
      </c>
      <c r="F27" s="105" t="n">
        <v>4</v>
      </c>
      <c r="G27" s="105" t="n">
        <v>2</v>
      </c>
    </row>
    <row r="28">
      <c r="A28" s="104" t="n">
        <v>46015</v>
      </c>
      <c r="B28" s="29">
        <f>CHOOSE(WEEKDAY(A28,2),"月","火","水","木","金","土","日")</f>
        <v/>
      </c>
      <c r="C28" s="105" t="n">
        <v>1</v>
      </c>
      <c r="D28" s="105" t="n">
        <v>1</v>
      </c>
      <c r="E28" s="105" t="n">
        <v>7</v>
      </c>
      <c r="F28" s="105" t="n">
        <v>5</v>
      </c>
      <c r="G28" s="105" t="n">
        <v>2</v>
      </c>
    </row>
    <row r="29">
      <c r="A29" s="104" t="n">
        <v>46016</v>
      </c>
      <c r="B29" s="29">
        <f>CHOOSE(WEEKDAY(A29,2),"月","火","水","木","金","土","日")</f>
        <v/>
      </c>
      <c r="C29" s="105" t="n">
        <v>0</v>
      </c>
      <c r="D29" s="105" t="n">
        <v>0</v>
      </c>
      <c r="E29" s="105" t="n">
        <v>7</v>
      </c>
      <c r="F29" s="105" t="n">
        <v>5</v>
      </c>
      <c r="G29" s="105" t="n">
        <v>2</v>
      </c>
    </row>
    <row r="30">
      <c r="A30" s="104" t="n">
        <v>46017</v>
      </c>
      <c r="B30" s="29">
        <f>CHOOSE(WEEKDAY(A30,2),"月","火","水","木","金","土","日")</f>
        <v/>
      </c>
      <c r="C30" s="105" t="n">
        <v>1</v>
      </c>
      <c r="D30" s="105" t="n">
        <v>1</v>
      </c>
      <c r="E30" s="105" t="n">
        <v>8</v>
      </c>
      <c r="F30" s="105" t="n">
        <v>6</v>
      </c>
      <c r="G30" s="105" t="n">
        <v>2</v>
      </c>
    </row>
    <row r="31">
      <c r="A31" s="106" t="n">
        <v>46018</v>
      </c>
      <c r="B31" s="107">
        <f>CHOOSE(WEEKDAY(A31,2),"月","火","水","木","金","土","日")</f>
        <v/>
      </c>
      <c r="C31" s="108" t="n">
        <v>0</v>
      </c>
      <c r="D31" s="108" t="n">
        <v>0</v>
      </c>
      <c r="E31" s="108" t="n">
        <v>8</v>
      </c>
      <c r="F31" s="108" t="n">
        <v>6</v>
      </c>
      <c r="G31" s="108" t="n">
        <v>2</v>
      </c>
    </row>
    <row r="32">
      <c r="A32" s="106" t="n">
        <v>46019</v>
      </c>
      <c r="B32" s="107">
        <f>CHOOSE(WEEKDAY(A32,2),"月","火","水","木","金","土","日")</f>
        <v/>
      </c>
      <c r="C32" s="108" t="n">
        <v>0</v>
      </c>
      <c r="D32" s="108" t="n">
        <v>0</v>
      </c>
      <c r="E32" s="108" t="n">
        <v>8</v>
      </c>
      <c r="F32" s="108" t="n">
        <v>6</v>
      </c>
      <c r="G32" s="108" t="n">
        <v>2</v>
      </c>
    </row>
    <row r="33">
      <c r="A33" s="104" t="n">
        <v>46020</v>
      </c>
      <c r="B33" s="29">
        <f>CHOOSE(WEEKDAY(A33,2),"月","火","水","木","金","土","日")</f>
        <v/>
      </c>
      <c r="C33" s="105" t="n">
        <v>0</v>
      </c>
      <c r="D33" s="105" t="n">
        <v>0</v>
      </c>
      <c r="E33" s="105" t="n">
        <v>8</v>
      </c>
      <c r="F33" s="105" t="n">
        <v>6</v>
      </c>
      <c r="G33" s="105" t="n">
        <v>2</v>
      </c>
    </row>
    <row r="34">
      <c r="A34" s="104" t="n">
        <v>46021</v>
      </c>
      <c r="B34" s="29">
        <f>CHOOSE(WEEKDAY(A34,2),"月","火","水","木","金","土","日")</f>
        <v/>
      </c>
      <c r="C34" s="105" t="n">
        <v>0</v>
      </c>
      <c r="D34" s="105" t="n">
        <v>1</v>
      </c>
      <c r="E34" s="105" t="n">
        <v>8</v>
      </c>
      <c r="F34" s="105" t="n">
        <v>7</v>
      </c>
      <c r="G34" s="105" t="n">
        <v>1</v>
      </c>
    </row>
    <row r="35">
      <c r="A35" s="104" t="n">
        <v>46022</v>
      </c>
      <c r="B35" s="29">
        <f>CHOOSE(WEEKDAY(A35,2),"月","火","水","木","金","土","日")</f>
        <v/>
      </c>
      <c r="C35" s="105" t="n">
        <v>0</v>
      </c>
      <c r="D35" s="105" t="n">
        <v>0</v>
      </c>
      <c r="E35" s="105" t="n">
        <v>8</v>
      </c>
      <c r="F35" s="105" t="n">
        <v>7</v>
      </c>
      <c r="G35" s="105" t="n">
        <v>1</v>
      </c>
    </row>
    <row r="36">
      <c r="A36" s="104" t="n">
        <v>46023</v>
      </c>
      <c r="B36" s="29">
        <f>CHOOSE(WEEKDAY(A36,2),"月","火","水","木","金","土","日")</f>
        <v/>
      </c>
      <c r="C36" s="105" t="n">
        <v>0</v>
      </c>
      <c r="D36" s="105" t="n">
        <v>0</v>
      </c>
      <c r="E36" s="105" t="n">
        <v>8</v>
      </c>
      <c r="F36" s="105" t="n">
        <v>7</v>
      </c>
      <c r="G36" s="105" t="n">
        <v>1</v>
      </c>
    </row>
    <row r="37">
      <c r="A37" s="104" t="n">
        <v>46024</v>
      </c>
      <c r="B37" s="29">
        <f>CHOOSE(WEEKDAY(A37,2),"月","火","水","木","金","土","日")</f>
        <v/>
      </c>
      <c r="C37" s="105" t="n">
        <v>1</v>
      </c>
      <c r="D37" s="105" t="n">
        <v>1</v>
      </c>
      <c r="E37" s="105" t="n">
        <v>9</v>
      </c>
      <c r="F37" s="105" t="n">
        <v>8</v>
      </c>
      <c r="G37" s="105" t="n">
        <v>1</v>
      </c>
    </row>
    <row r="38">
      <c r="A38" s="106" t="n">
        <v>46025</v>
      </c>
      <c r="B38" s="107">
        <f>CHOOSE(WEEKDAY(A38,2),"月","火","水","木","金","土","日")</f>
        <v/>
      </c>
      <c r="C38" s="108" t="n">
        <v>0</v>
      </c>
      <c r="D38" s="108" t="n">
        <v>0</v>
      </c>
      <c r="E38" s="108" t="n">
        <v>9</v>
      </c>
      <c r="F38" s="108" t="n">
        <v>8</v>
      </c>
      <c r="G38" s="108" t="n">
        <v>1</v>
      </c>
    </row>
    <row r="39">
      <c r="A39" s="106" t="n">
        <v>46026</v>
      </c>
      <c r="B39" s="107">
        <f>CHOOSE(WEEKDAY(A39,2),"月","火","水","木","金","土","日")</f>
        <v/>
      </c>
      <c r="C39" s="108" t="n">
        <v>0</v>
      </c>
      <c r="D39" s="108" t="n">
        <v>0</v>
      </c>
      <c r="E39" s="108" t="n">
        <v>9</v>
      </c>
      <c r="F39" s="108" t="n">
        <v>8</v>
      </c>
      <c r="G39" s="108" t="n">
        <v>1</v>
      </c>
    </row>
    <row r="40">
      <c r="A40" s="104" t="n">
        <v>46027</v>
      </c>
      <c r="B40" s="29">
        <f>CHOOSE(WEEKDAY(A40,2),"月","火","水","木","金","土","日")</f>
        <v/>
      </c>
      <c r="C40" s="105" t="n">
        <v>2</v>
      </c>
      <c r="D40" s="105" t="n">
        <v>0</v>
      </c>
      <c r="E40" s="105" t="n">
        <v>11</v>
      </c>
      <c r="F40" s="105" t="n">
        <v>8</v>
      </c>
      <c r="G40" s="105" t="n">
        <v>3</v>
      </c>
    </row>
    <row r="41">
      <c r="A41" s="104" t="n">
        <v>46028</v>
      </c>
      <c r="B41" s="29">
        <f>CHOOSE(WEEKDAY(A41,2),"月","火","水","木","金","土","日")</f>
        <v/>
      </c>
      <c r="C41" s="105" t="n">
        <v>0</v>
      </c>
      <c r="D41" s="105" t="n">
        <v>1</v>
      </c>
      <c r="E41" s="105" t="n">
        <v>11</v>
      </c>
      <c r="F41" s="105" t="n">
        <v>9</v>
      </c>
      <c r="G41" s="105" t="n">
        <v>2</v>
      </c>
    </row>
    <row r="42">
      <c r="A42" s="104" t="n">
        <v>46029</v>
      </c>
      <c r="B42" s="29">
        <f>CHOOSE(WEEKDAY(A42,2),"月","火","水","木","金","土","日")</f>
        <v/>
      </c>
      <c r="C42" s="105" t="n">
        <v>1</v>
      </c>
      <c r="D42" s="105" t="n">
        <v>0</v>
      </c>
      <c r="E42" s="105" t="n">
        <v>12</v>
      </c>
      <c r="F42" s="105" t="n">
        <v>9</v>
      </c>
      <c r="G42" s="105" t="n">
        <v>3</v>
      </c>
    </row>
    <row r="43">
      <c r="A43" s="104" t="n">
        <v>46030</v>
      </c>
      <c r="B43" s="29">
        <f>CHOOSE(WEEKDAY(A43,2),"月","火","水","木","金","土","日")</f>
        <v/>
      </c>
      <c r="C43" s="105" t="n">
        <v>0</v>
      </c>
      <c r="D43" s="105" t="n">
        <v>0</v>
      </c>
      <c r="E43" s="105" t="n">
        <v>12</v>
      </c>
      <c r="F43" s="105" t="n">
        <v>9</v>
      </c>
      <c r="G43" s="105" t="n">
        <v>3</v>
      </c>
    </row>
    <row r="44">
      <c r="A44" s="104" t="n">
        <v>46031</v>
      </c>
      <c r="B44" s="29">
        <f>CHOOSE(WEEKDAY(A44,2),"月","火","水","木","金","土","日")</f>
        <v/>
      </c>
      <c r="C44" s="105" t="n">
        <v>1</v>
      </c>
      <c r="D44" s="105" t="n">
        <v>0</v>
      </c>
      <c r="E44" s="105" t="n">
        <v>13</v>
      </c>
      <c r="F44" s="105" t="n">
        <v>9</v>
      </c>
      <c r="G44" s="105" t="n">
        <v>4</v>
      </c>
    </row>
    <row r="45">
      <c r="A45" s="106" t="n">
        <v>46032</v>
      </c>
      <c r="B45" s="107">
        <f>CHOOSE(WEEKDAY(A45,2),"月","火","水","木","金","土","日")</f>
        <v/>
      </c>
      <c r="C45" s="108" t="n">
        <v>0</v>
      </c>
      <c r="D45" s="108" t="n">
        <v>0</v>
      </c>
      <c r="E45" s="108" t="n">
        <v>13</v>
      </c>
      <c r="F45" s="108" t="n">
        <v>9</v>
      </c>
      <c r="G45" s="108" t="n">
        <v>4</v>
      </c>
    </row>
    <row r="46">
      <c r="A46" s="106" t="n">
        <v>46033</v>
      </c>
      <c r="B46" s="107">
        <f>CHOOSE(WEEKDAY(A46,2),"月","火","水","木","金","土","日")</f>
        <v/>
      </c>
      <c r="C46" s="108" t="n">
        <v>0</v>
      </c>
      <c r="D46" s="108" t="n">
        <v>0</v>
      </c>
      <c r="E46" s="108" t="n">
        <v>13</v>
      </c>
      <c r="F46" s="108" t="n">
        <v>9</v>
      </c>
      <c r="G46" s="108" t="n">
        <v>4</v>
      </c>
    </row>
    <row r="47">
      <c r="A47" s="104" t="n">
        <v>46034</v>
      </c>
      <c r="B47" s="29">
        <f>CHOOSE(WEEKDAY(A47,2),"月","火","水","木","金","土","日")</f>
        <v/>
      </c>
      <c r="C47" s="105" t="n">
        <v>2</v>
      </c>
      <c r="D47" s="105" t="n">
        <v>0</v>
      </c>
      <c r="E47" s="105" t="n">
        <v>15</v>
      </c>
      <c r="F47" s="105" t="n">
        <v>9</v>
      </c>
      <c r="G47" s="105" t="n">
        <v>6</v>
      </c>
    </row>
    <row r="48">
      <c r="A48" s="104" t="n">
        <v>46035</v>
      </c>
      <c r="B48" s="29">
        <f>CHOOSE(WEEKDAY(A48,2),"月","火","水","木","金","土","日")</f>
        <v/>
      </c>
      <c r="C48" s="105" t="n">
        <v>0</v>
      </c>
      <c r="D48" s="105" t="n">
        <v>0</v>
      </c>
      <c r="E48" s="105" t="n">
        <v>15</v>
      </c>
      <c r="F48" s="105" t="n">
        <v>9</v>
      </c>
      <c r="G48" s="105" t="n">
        <v>6</v>
      </c>
    </row>
    <row r="49">
      <c r="A49" s="104" t="n">
        <v>46036</v>
      </c>
      <c r="B49" s="29">
        <f>CHOOSE(WEEKDAY(A49,2),"月","火","水","木","金","土","日")</f>
        <v/>
      </c>
      <c r="C49" s="105" t="n">
        <v>0</v>
      </c>
      <c r="D49" s="105" t="n">
        <v>1</v>
      </c>
      <c r="E49" s="105" t="n">
        <v>15</v>
      </c>
      <c r="F49" s="105" t="n">
        <v>10</v>
      </c>
      <c r="G49" s="105" t="n">
        <v>5</v>
      </c>
    </row>
    <row r="50">
      <c r="A50" s="104" t="n">
        <v>46037</v>
      </c>
      <c r="B50" s="29">
        <f>CHOOSE(WEEKDAY(A50,2),"月","火","水","木","金","土","日")</f>
        <v/>
      </c>
      <c r="C50" s="105" t="n">
        <v>2</v>
      </c>
      <c r="D50" s="105" t="n">
        <v>1</v>
      </c>
      <c r="E50" s="105" t="n">
        <v>17</v>
      </c>
      <c r="F50" s="105" t="n">
        <v>11</v>
      </c>
      <c r="G50" s="105" t="n">
        <v>6</v>
      </c>
    </row>
    <row r="51">
      <c r="A51" s="104" t="n">
        <v>46038</v>
      </c>
      <c r="B51" s="29">
        <f>CHOOSE(WEEKDAY(A51,2),"月","火","水","木","金","土","日")</f>
        <v/>
      </c>
      <c r="C51" s="105" t="n">
        <v>1</v>
      </c>
      <c r="D51" s="105" t="n">
        <v>1</v>
      </c>
      <c r="E51" s="105" t="n">
        <v>18</v>
      </c>
      <c r="F51" s="105" t="n">
        <v>12</v>
      </c>
      <c r="G51" s="105" t="n">
        <v>6</v>
      </c>
    </row>
    <row r="52">
      <c r="A52" s="106" t="n">
        <v>46039</v>
      </c>
      <c r="B52" s="107">
        <f>CHOOSE(WEEKDAY(A52,2),"月","火","水","木","金","土","日")</f>
        <v/>
      </c>
      <c r="C52" s="108" t="n">
        <v>0</v>
      </c>
      <c r="D52" s="108" t="n">
        <v>0</v>
      </c>
      <c r="E52" s="108" t="n">
        <v>18</v>
      </c>
      <c r="F52" s="108" t="n">
        <v>12</v>
      </c>
      <c r="G52" s="108" t="n">
        <v>6</v>
      </c>
    </row>
    <row r="53">
      <c r="A53" s="106" t="n">
        <v>46040</v>
      </c>
      <c r="B53" s="107">
        <f>CHOOSE(WEEKDAY(A53,2),"月","火","水","木","金","土","日")</f>
        <v/>
      </c>
      <c r="C53" s="108" t="n">
        <v>0</v>
      </c>
      <c r="D53" s="108" t="n">
        <v>0</v>
      </c>
      <c r="E53" s="108" t="n">
        <v>18</v>
      </c>
      <c r="F53" s="108" t="n">
        <v>12</v>
      </c>
      <c r="G53" s="108" t="n">
        <v>6</v>
      </c>
    </row>
    <row r="54">
      <c r="A54" s="104" t="n">
        <v>46041</v>
      </c>
      <c r="B54" s="29">
        <f>CHOOSE(WEEKDAY(A54,2),"月","火","水","木","金","土","日")</f>
        <v/>
      </c>
      <c r="C54" s="105" t="n">
        <v>0</v>
      </c>
      <c r="D54" s="105" t="n">
        <v>1</v>
      </c>
      <c r="E54" s="105" t="n">
        <v>18</v>
      </c>
      <c r="F54" s="105" t="n">
        <v>13</v>
      </c>
      <c r="G54" s="105" t="n">
        <v>5</v>
      </c>
    </row>
    <row r="55">
      <c r="A55" s="104" t="n">
        <v>46042</v>
      </c>
      <c r="B55" s="29">
        <f>CHOOSE(WEEKDAY(A55,2),"月","火","水","木","金","土","日")</f>
        <v/>
      </c>
      <c r="C55" s="105" t="n">
        <v>2</v>
      </c>
      <c r="D55" s="105" t="n">
        <v>1</v>
      </c>
      <c r="E55" s="105" t="n">
        <v>20</v>
      </c>
      <c r="F55" s="105" t="n">
        <v>14</v>
      </c>
      <c r="G55" s="105" t="n">
        <v>6</v>
      </c>
    </row>
    <row r="56">
      <c r="A56" s="104" t="n">
        <v>46043</v>
      </c>
      <c r="B56" s="29">
        <f>CHOOSE(WEEKDAY(A56,2),"月","火","水","木","金","土","日")</f>
        <v/>
      </c>
      <c r="C56" s="105" t="n">
        <v>0</v>
      </c>
      <c r="D56" s="105" t="n">
        <v>1</v>
      </c>
      <c r="E56" s="105" t="n">
        <v>20</v>
      </c>
      <c r="F56" s="105" t="n">
        <v>15</v>
      </c>
      <c r="G56" s="105" t="n">
        <v>5</v>
      </c>
    </row>
    <row r="57">
      <c r="A57" s="104" t="n">
        <v>46044</v>
      </c>
      <c r="B57" s="29">
        <f>CHOOSE(WEEKDAY(A57,2),"月","火","水","木","金","土","日")</f>
        <v/>
      </c>
      <c r="C57" s="105" t="n">
        <v>0</v>
      </c>
      <c r="D57" s="105" t="n">
        <v>0</v>
      </c>
      <c r="E57" s="105" t="n">
        <v>20</v>
      </c>
      <c r="F57" s="105" t="n">
        <v>15</v>
      </c>
      <c r="G57" s="105" t="n">
        <v>5</v>
      </c>
    </row>
    <row r="58">
      <c r="A58" s="104" t="n">
        <v>46045</v>
      </c>
      <c r="B58" s="29">
        <f>CHOOSE(WEEKDAY(A58,2),"月","火","水","木","金","土","日")</f>
        <v/>
      </c>
      <c r="C58" s="105" t="n">
        <v>1</v>
      </c>
      <c r="D58" s="105" t="n">
        <v>0</v>
      </c>
      <c r="E58" s="105" t="n">
        <v>21</v>
      </c>
      <c r="F58" s="105" t="n">
        <v>15</v>
      </c>
      <c r="G58" s="105" t="n">
        <v>6</v>
      </c>
    </row>
    <row r="59">
      <c r="A59" s="106" t="n">
        <v>46046</v>
      </c>
      <c r="B59" s="107">
        <f>CHOOSE(WEEKDAY(A59,2),"月","火","水","木","金","土","日")</f>
        <v/>
      </c>
      <c r="C59" s="108" t="n">
        <v>0</v>
      </c>
      <c r="D59" s="108" t="n">
        <v>0</v>
      </c>
      <c r="E59" s="108" t="n">
        <v>21</v>
      </c>
      <c r="F59" s="108" t="n">
        <v>15</v>
      </c>
      <c r="G59" s="108" t="n">
        <v>6</v>
      </c>
    </row>
    <row r="60">
      <c r="A60" s="106" t="n">
        <v>46047</v>
      </c>
      <c r="B60" s="107">
        <f>CHOOSE(WEEKDAY(A60,2),"月","火","水","木","金","土","日")</f>
        <v/>
      </c>
      <c r="C60" s="108" t="n">
        <v>0</v>
      </c>
      <c r="D60" s="108" t="n">
        <v>0</v>
      </c>
      <c r="E60" s="108" t="n">
        <v>21</v>
      </c>
      <c r="F60" s="108" t="n">
        <v>15</v>
      </c>
      <c r="G60" s="108" t="n">
        <v>6</v>
      </c>
    </row>
    <row r="61">
      <c r="A61" s="104" t="n">
        <v>46048</v>
      </c>
      <c r="B61" s="29">
        <f>CHOOSE(WEEKDAY(A61,2),"月","火","水","木","金","土","日")</f>
        <v/>
      </c>
      <c r="C61" s="105" t="n">
        <v>0</v>
      </c>
      <c r="D61" s="105" t="n">
        <v>1</v>
      </c>
      <c r="E61" s="105" t="n">
        <v>21</v>
      </c>
      <c r="F61" s="105" t="n">
        <v>16</v>
      </c>
      <c r="G61" s="105" t="n">
        <v>5</v>
      </c>
    </row>
    <row r="62">
      <c r="A62" s="104" t="n">
        <v>46049</v>
      </c>
      <c r="B62" s="29">
        <f>CHOOSE(WEEKDAY(A62,2),"月","火","水","木","金","土","日")</f>
        <v/>
      </c>
      <c r="C62" s="105" t="n">
        <v>0</v>
      </c>
      <c r="D62" s="105" t="n">
        <v>1</v>
      </c>
      <c r="E62" s="105" t="n">
        <v>21</v>
      </c>
      <c r="F62" s="105" t="n">
        <v>17</v>
      </c>
      <c r="G62" s="105" t="n">
        <v>4</v>
      </c>
    </row>
    <row r="63">
      <c r="A63" s="104" t="n">
        <v>46050</v>
      </c>
      <c r="B63" s="29">
        <f>CHOOSE(WEEKDAY(A63,2),"月","火","水","木","金","土","日")</f>
        <v/>
      </c>
      <c r="C63" s="105" t="n">
        <v>1</v>
      </c>
      <c r="D63" s="105" t="n">
        <v>1</v>
      </c>
      <c r="E63" s="105" t="n">
        <v>22</v>
      </c>
      <c r="F63" s="105" t="n">
        <v>18</v>
      </c>
      <c r="G63" s="105" t="n">
        <v>4</v>
      </c>
    </row>
    <row r="64">
      <c r="A64" s="104" t="n">
        <v>46051</v>
      </c>
      <c r="B64" s="29">
        <f>CHOOSE(WEEKDAY(A64,2),"月","火","水","木","金","土","日")</f>
        <v/>
      </c>
      <c r="C64" s="105" t="n">
        <v>1</v>
      </c>
      <c r="D64" s="105" t="n">
        <v>0</v>
      </c>
      <c r="E64" s="105" t="n">
        <v>23</v>
      </c>
      <c r="F64" s="105" t="n">
        <v>18</v>
      </c>
      <c r="G64" s="105" t="n">
        <v>5</v>
      </c>
    </row>
    <row r="65">
      <c r="A65" s="104" t="n">
        <v>46052</v>
      </c>
      <c r="B65" s="29">
        <f>CHOOSE(WEEKDAY(A65,2),"月","火","水","木","金","土","日")</f>
        <v/>
      </c>
      <c r="C65" s="105" t="n">
        <v>1</v>
      </c>
      <c r="D65" s="105" t="n">
        <v>1</v>
      </c>
      <c r="E65" s="105" t="n">
        <v>24</v>
      </c>
      <c r="F65" s="105" t="n">
        <v>19</v>
      </c>
      <c r="G65" s="105" t="n">
        <v>5</v>
      </c>
    </row>
    <row r="66">
      <c r="A66" s="106" t="n">
        <v>46053</v>
      </c>
      <c r="B66" s="107">
        <f>CHOOSE(WEEKDAY(A66,2),"月","火","水","木","金","土","日")</f>
        <v/>
      </c>
      <c r="C66" s="108" t="n">
        <v>0</v>
      </c>
      <c r="D66" s="108" t="n">
        <v>0</v>
      </c>
      <c r="E66" s="108" t="n">
        <v>24</v>
      </c>
      <c r="F66" s="108" t="n">
        <v>19</v>
      </c>
      <c r="G66" s="108" t="n">
        <v>5</v>
      </c>
    </row>
    <row r="67">
      <c r="A67" s="106" t="n">
        <v>46054</v>
      </c>
      <c r="B67" s="107">
        <f>CHOOSE(WEEKDAY(A67,2),"月","火","水","木","金","土","日")</f>
        <v/>
      </c>
      <c r="C67" s="108" t="n">
        <v>0</v>
      </c>
      <c r="D67" s="108" t="n">
        <v>0</v>
      </c>
      <c r="E67" s="108" t="n">
        <v>24</v>
      </c>
      <c r="F67" s="108" t="n">
        <v>19</v>
      </c>
      <c r="G67" s="108" t="n">
        <v>5</v>
      </c>
    </row>
    <row r="68">
      <c r="A68" s="104" t="n">
        <v>46055</v>
      </c>
      <c r="B68" s="29">
        <f>CHOOSE(WEEKDAY(A68,2),"月","火","水","木","金","土","日")</f>
        <v/>
      </c>
      <c r="C68" s="105" t="n">
        <v>0</v>
      </c>
      <c r="D68" s="105" t="n">
        <v>0</v>
      </c>
      <c r="E68" s="105" t="n">
        <v>24</v>
      </c>
      <c r="F68" s="105" t="n">
        <v>19</v>
      </c>
      <c r="G68" s="105" t="n">
        <v>5</v>
      </c>
    </row>
    <row r="69">
      <c r="A69" s="104" t="n">
        <v>46056</v>
      </c>
      <c r="B69" s="29">
        <f>CHOOSE(WEEKDAY(A69,2),"月","火","水","木","金","土","日")</f>
        <v/>
      </c>
      <c r="C69" s="105" t="n">
        <v>2</v>
      </c>
      <c r="D69" s="105" t="n">
        <v>1</v>
      </c>
      <c r="E69" s="105" t="n">
        <v>26</v>
      </c>
      <c r="F69" s="105" t="n">
        <v>20</v>
      </c>
      <c r="G69" s="105" t="n">
        <v>6</v>
      </c>
    </row>
    <row r="70">
      <c r="A70" s="104" t="n">
        <v>46057</v>
      </c>
      <c r="B70" s="29">
        <f>CHOOSE(WEEKDAY(A70,2),"月","火","水","木","金","土","日")</f>
        <v/>
      </c>
      <c r="C70" s="105" t="n">
        <v>1</v>
      </c>
      <c r="D70" s="105" t="n">
        <v>0</v>
      </c>
      <c r="E70" s="105" t="n">
        <v>27</v>
      </c>
      <c r="F70" s="105" t="n">
        <v>20</v>
      </c>
      <c r="G70" s="105" t="n">
        <v>7</v>
      </c>
    </row>
    <row r="71">
      <c r="A71" s="104" t="n">
        <v>46058</v>
      </c>
      <c r="B71" s="29">
        <f>CHOOSE(WEEKDAY(A71,2),"月","火","水","木","金","土","日")</f>
        <v/>
      </c>
      <c r="C71" s="105" t="n">
        <v>0</v>
      </c>
      <c r="D71" s="105" t="n">
        <v>0</v>
      </c>
      <c r="E71" s="105" t="n">
        <v>27</v>
      </c>
      <c r="F71" s="105" t="n">
        <v>20</v>
      </c>
      <c r="G71" s="105" t="n">
        <v>7</v>
      </c>
    </row>
    <row r="72">
      <c r="A72" s="104" t="n">
        <v>46059</v>
      </c>
      <c r="B72" s="29">
        <f>CHOOSE(WEEKDAY(A72,2),"月","火","水","木","金","土","日")</f>
        <v/>
      </c>
      <c r="C72" s="105" t="n">
        <v>1</v>
      </c>
      <c r="D72" s="105" t="n">
        <v>1</v>
      </c>
      <c r="E72" s="105" t="n">
        <v>28</v>
      </c>
      <c r="F72" s="105" t="n">
        <v>21</v>
      </c>
      <c r="G72" s="105" t="n">
        <v>7</v>
      </c>
    </row>
    <row r="73">
      <c r="A73" s="106" t="n">
        <v>46060</v>
      </c>
      <c r="B73" s="107">
        <f>CHOOSE(WEEKDAY(A73,2),"月","火","水","木","金","土","日")</f>
        <v/>
      </c>
      <c r="C73" s="108" t="n">
        <v>0</v>
      </c>
      <c r="D73" s="108" t="n">
        <v>0</v>
      </c>
      <c r="E73" s="108" t="n">
        <v>28</v>
      </c>
      <c r="F73" s="108" t="n">
        <v>21</v>
      </c>
      <c r="G73" s="108" t="n">
        <v>7</v>
      </c>
    </row>
    <row r="74">
      <c r="A74" s="106" t="n">
        <v>46061</v>
      </c>
      <c r="B74" s="107">
        <f>CHOOSE(WEEKDAY(A74,2),"月","火","水","木","金","土","日")</f>
        <v/>
      </c>
      <c r="C74" s="108" t="n">
        <v>0</v>
      </c>
      <c r="D74" s="108" t="n">
        <v>0</v>
      </c>
      <c r="E74" s="108" t="n">
        <v>28</v>
      </c>
      <c r="F74" s="108" t="n">
        <v>21</v>
      </c>
      <c r="G74" s="108" t="n">
        <v>7</v>
      </c>
    </row>
    <row r="75">
      <c r="A75" s="104" t="n">
        <v>46062</v>
      </c>
      <c r="B75" s="29">
        <f>CHOOSE(WEEKDAY(A75,2),"月","火","水","木","金","土","日")</f>
        <v/>
      </c>
      <c r="C75" s="105" t="n">
        <v>0</v>
      </c>
      <c r="D75" s="105" t="n">
        <v>1</v>
      </c>
      <c r="E75" s="105" t="n">
        <v>28</v>
      </c>
      <c r="F75" s="105" t="n">
        <v>22</v>
      </c>
      <c r="G75" s="105" t="n">
        <v>6</v>
      </c>
    </row>
    <row r="76">
      <c r="A76" s="104" t="n">
        <v>46063</v>
      </c>
      <c r="B76" s="29">
        <f>CHOOSE(WEEKDAY(A76,2),"月","火","水","木","金","土","日")</f>
        <v/>
      </c>
      <c r="C76" s="105" t="n">
        <v>2</v>
      </c>
      <c r="D76" s="105" t="n">
        <v>0</v>
      </c>
      <c r="E76" s="105" t="n">
        <v>30</v>
      </c>
      <c r="F76" s="105" t="n">
        <v>22</v>
      </c>
      <c r="G76" s="105" t="n">
        <v>8</v>
      </c>
    </row>
    <row r="77">
      <c r="A77" s="104" t="n">
        <v>46064</v>
      </c>
      <c r="B77" s="29">
        <f>CHOOSE(WEEKDAY(A77,2),"月","火","水","木","金","土","日")</f>
        <v/>
      </c>
      <c r="C77" s="105" t="n">
        <v>0</v>
      </c>
      <c r="D77" s="105" t="n">
        <v>1</v>
      </c>
      <c r="E77" s="105" t="n">
        <v>30</v>
      </c>
      <c r="F77" s="105" t="n">
        <v>23</v>
      </c>
      <c r="G77" s="105" t="n">
        <v>7</v>
      </c>
    </row>
    <row r="78">
      <c r="A78" s="104" t="n">
        <v>46065</v>
      </c>
      <c r="B78" s="29">
        <f>CHOOSE(WEEKDAY(A78,2),"月","火","水","木","金","土","日")</f>
        <v/>
      </c>
      <c r="C78" s="105" t="n">
        <v>0</v>
      </c>
      <c r="D78" s="105" t="n">
        <v>1</v>
      </c>
      <c r="E78" s="105" t="n">
        <v>30</v>
      </c>
      <c r="F78" s="105" t="n">
        <v>24</v>
      </c>
      <c r="G78" s="105" t="n">
        <v>6</v>
      </c>
    </row>
    <row r="79">
      <c r="A79" s="104" t="n">
        <v>46066</v>
      </c>
      <c r="B79" s="29">
        <f>CHOOSE(WEEKDAY(A79,2),"月","火","水","木","金","土","日")</f>
        <v/>
      </c>
      <c r="C79" s="105" t="n">
        <v>1</v>
      </c>
      <c r="D79" s="105" t="n">
        <v>0</v>
      </c>
      <c r="E79" s="105" t="n">
        <v>31</v>
      </c>
      <c r="F79" s="105" t="n">
        <v>24</v>
      </c>
      <c r="G79" s="105" t="n">
        <v>7</v>
      </c>
    </row>
    <row r="80">
      <c r="A80" s="106" t="n">
        <v>46067</v>
      </c>
      <c r="B80" s="107">
        <f>CHOOSE(WEEKDAY(A80,2),"月","火","水","木","金","土","日")</f>
        <v/>
      </c>
      <c r="C80" s="108" t="n">
        <v>0</v>
      </c>
      <c r="D80" s="108" t="n">
        <v>0</v>
      </c>
      <c r="E80" s="108" t="n">
        <v>31</v>
      </c>
      <c r="F80" s="108" t="n">
        <v>24</v>
      </c>
      <c r="G80" s="108" t="n">
        <v>7</v>
      </c>
    </row>
    <row r="81">
      <c r="A81" s="106" t="n">
        <v>46068</v>
      </c>
      <c r="B81" s="107">
        <f>CHOOSE(WEEKDAY(A81,2),"月","火","水","木","金","土","日")</f>
        <v/>
      </c>
      <c r="C81" s="108" t="n">
        <v>0</v>
      </c>
      <c r="D81" s="108" t="n">
        <v>0</v>
      </c>
      <c r="E81" s="108" t="n">
        <v>31</v>
      </c>
      <c r="F81" s="108" t="n">
        <v>24</v>
      </c>
      <c r="G81" s="108" t="n">
        <v>7</v>
      </c>
    </row>
    <row r="82">
      <c r="A82" s="104" t="n">
        <v>46069</v>
      </c>
      <c r="B82" s="29">
        <f>CHOOSE(WEEKDAY(A82,2),"月","火","水","木","金","土","日")</f>
        <v/>
      </c>
      <c r="C82" s="105" t="n">
        <v>1</v>
      </c>
      <c r="D82" s="105" t="n">
        <v>1</v>
      </c>
      <c r="E82" s="105" t="n">
        <v>32</v>
      </c>
      <c r="F82" s="105" t="n">
        <v>25</v>
      </c>
      <c r="G82" s="105" t="n">
        <v>7</v>
      </c>
    </row>
    <row r="83">
      <c r="A83" s="104" t="n">
        <v>46070</v>
      </c>
      <c r="B83" s="29">
        <f>CHOOSE(WEEKDAY(A83,2),"月","火","水","木","金","土","日")</f>
        <v/>
      </c>
      <c r="C83" s="105" t="n">
        <v>1</v>
      </c>
      <c r="D83" s="105" t="n">
        <v>1</v>
      </c>
      <c r="E83" s="105" t="n">
        <v>33</v>
      </c>
      <c r="F83" s="105" t="n">
        <v>26</v>
      </c>
      <c r="G83" s="105" t="n">
        <v>7</v>
      </c>
    </row>
    <row r="84">
      <c r="A84" s="104" t="n">
        <v>46071</v>
      </c>
      <c r="B84" s="29">
        <f>CHOOSE(WEEKDAY(A84,2),"月","火","水","木","金","土","日")</f>
        <v/>
      </c>
      <c r="C84" s="105" t="n">
        <v>0</v>
      </c>
      <c r="D84" s="105" t="n">
        <v>0</v>
      </c>
      <c r="E84" s="105" t="n">
        <v>33</v>
      </c>
      <c r="F84" s="105" t="n">
        <v>26</v>
      </c>
      <c r="G84" s="105" t="n">
        <v>7</v>
      </c>
    </row>
    <row r="85">
      <c r="A85" s="104" t="n">
        <v>46072</v>
      </c>
      <c r="B85" s="29">
        <f>CHOOSE(WEEKDAY(A85,2),"月","火","水","木","金","土","日")</f>
        <v/>
      </c>
      <c r="C85" s="105" t="n">
        <v>1</v>
      </c>
      <c r="D85" s="105" t="n">
        <v>0</v>
      </c>
      <c r="E85" s="105" t="n">
        <v>34</v>
      </c>
      <c r="F85" s="105" t="n">
        <v>26</v>
      </c>
      <c r="G85" s="105" t="n">
        <v>8</v>
      </c>
    </row>
    <row r="86">
      <c r="A86" s="104" t="n">
        <v>46073</v>
      </c>
      <c r="B86" s="29">
        <f>CHOOSE(WEEKDAY(A86,2),"月","火","水","木","金","土","日")</f>
        <v/>
      </c>
      <c r="C86" s="105" t="n">
        <v>0</v>
      </c>
      <c r="D86" s="105" t="n">
        <v>0</v>
      </c>
      <c r="E86" s="105" t="n">
        <v>34</v>
      </c>
      <c r="F86" s="105" t="n">
        <v>26</v>
      </c>
      <c r="G86" s="105" t="n">
        <v>8</v>
      </c>
    </row>
    <row r="87">
      <c r="A87" s="106" t="n">
        <v>46074</v>
      </c>
      <c r="B87" s="107">
        <f>CHOOSE(WEEKDAY(A87,2),"月","火","水","木","金","土","日")</f>
        <v/>
      </c>
      <c r="C87" s="108" t="n">
        <v>0</v>
      </c>
      <c r="D87" s="108" t="n">
        <v>0</v>
      </c>
      <c r="E87" s="108" t="n">
        <v>34</v>
      </c>
      <c r="F87" s="108" t="n">
        <v>26</v>
      </c>
      <c r="G87" s="108" t="n">
        <v>8</v>
      </c>
    </row>
    <row r="88">
      <c r="A88" s="106" t="n">
        <v>46075</v>
      </c>
      <c r="B88" s="107">
        <f>CHOOSE(WEEKDAY(A88,2),"月","火","水","木","金","土","日")</f>
        <v/>
      </c>
      <c r="C88" s="108" t="n">
        <v>0</v>
      </c>
      <c r="D88" s="108" t="n">
        <v>0</v>
      </c>
      <c r="E88" s="108" t="n">
        <v>34</v>
      </c>
      <c r="F88" s="108" t="n">
        <v>26</v>
      </c>
      <c r="G88" s="108" t="n">
        <v>8</v>
      </c>
    </row>
    <row r="89">
      <c r="A89" s="104" t="n">
        <v>46076</v>
      </c>
      <c r="B89" s="29">
        <f>CHOOSE(WEEKDAY(A89,2),"月","火","水","木","金","土","日")</f>
        <v/>
      </c>
      <c r="C89" s="105" t="n">
        <v>0</v>
      </c>
      <c r="D89" s="105" t="n">
        <v>1</v>
      </c>
      <c r="E89" s="105" t="n">
        <v>34</v>
      </c>
      <c r="F89" s="105" t="n">
        <v>27</v>
      </c>
      <c r="G89" s="105" t="n">
        <v>7</v>
      </c>
    </row>
    <row r="90">
      <c r="A90" s="104" t="n">
        <v>46077</v>
      </c>
      <c r="B90" s="29">
        <f>CHOOSE(WEEKDAY(A90,2),"月","火","水","木","金","土","日")</f>
        <v/>
      </c>
      <c r="C90" s="105" t="n">
        <v>0</v>
      </c>
      <c r="D90" s="105" t="n">
        <v>0</v>
      </c>
      <c r="E90" s="105" t="n">
        <v>34</v>
      </c>
      <c r="F90" s="105" t="n">
        <v>27</v>
      </c>
      <c r="G90" s="105" t="n">
        <v>7</v>
      </c>
    </row>
    <row r="91">
      <c r="A91" s="104" t="n">
        <v>46078</v>
      </c>
      <c r="B91" s="29">
        <f>CHOOSE(WEEKDAY(A91,2),"月","火","水","木","金","土","日")</f>
        <v/>
      </c>
      <c r="C91" s="105" t="n">
        <v>0</v>
      </c>
      <c r="D91" s="105" t="n">
        <v>1</v>
      </c>
      <c r="E91" s="105" t="n">
        <v>34</v>
      </c>
      <c r="F91" s="105" t="n">
        <v>28</v>
      </c>
      <c r="G91" s="105" t="n">
        <v>6</v>
      </c>
    </row>
    <row r="92">
      <c r="A92" s="104" t="n">
        <v>46079</v>
      </c>
      <c r="B92" s="29">
        <f>CHOOSE(WEEKDAY(A92,2),"月","火","水","木","金","土","日")</f>
        <v/>
      </c>
      <c r="C92" s="105" t="n">
        <v>0</v>
      </c>
      <c r="D92" s="105" t="n">
        <v>0</v>
      </c>
      <c r="E92" s="105" t="n">
        <v>34</v>
      </c>
      <c r="F92" s="105" t="n">
        <v>28</v>
      </c>
      <c r="G92" s="105" t="n">
        <v>6</v>
      </c>
    </row>
    <row r="93">
      <c r="A93" s="104" t="n">
        <v>46080</v>
      </c>
      <c r="B93" s="29">
        <f>CHOOSE(WEEKDAY(A93,2),"月","火","水","木","金","土","日")</f>
        <v/>
      </c>
      <c r="C93" s="105" t="n">
        <v>0</v>
      </c>
      <c r="D93" s="105" t="n">
        <v>0</v>
      </c>
      <c r="E93" s="105" t="n">
        <v>34</v>
      </c>
      <c r="F93" s="105" t="n">
        <v>28</v>
      </c>
      <c r="G93" s="105" t="n">
        <v>6</v>
      </c>
    </row>
    <row r="94">
      <c r="A94" s="106" t="n">
        <v>46081</v>
      </c>
      <c r="B94" s="107">
        <f>CHOOSE(WEEKDAY(A94,2),"月","火","水","木","金","土","日")</f>
        <v/>
      </c>
      <c r="C94" s="108" t="n">
        <v>0</v>
      </c>
      <c r="D94" s="108" t="n">
        <v>0</v>
      </c>
      <c r="E94" s="108" t="n">
        <v>34</v>
      </c>
      <c r="F94" s="108" t="n">
        <v>28</v>
      </c>
      <c r="G94" s="108" t="n">
        <v>6</v>
      </c>
    </row>
    <row r="95">
      <c r="A95" s="106" t="n">
        <v>46082</v>
      </c>
      <c r="B95" s="107">
        <f>CHOOSE(WEEKDAY(A95,2),"月","火","水","木","金","土","日")</f>
        <v/>
      </c>
      <c r="C95" s="108" t="n">
        <v>0</v>
      </c>
      <c r="D95" s="108" t="n">
        <v>0</v>
      </c>
      <c r="E95" s="108" t="n">
        <v>34</v>
      </c>
      <c r="F95" s="108" t="n">
        <v>28</v>
      </c>
      <c r="G95" s="108" t="n">
        <v>6</v>
      </c>
    </row>
    <row r="96">
      <c r="A96" s="104" t="n">
        <v>46083</v>
      </c>
      <c r="B96" s="29">
        <f>CHOOSE(WEEKDAY(A96,2),"月","火","水","木","金","土","日")</f>
        <v/>
      </c>
      <c r="C96" s="105" t="n">
        <v>0</v>
      </c>
      <c r="D96" s="105" t="n">
        <v>0</v>
      </c>
      <c r="E96" s="105" t="n">
        <v>34</v>
      </c>
      <c r="F96" s="105" t="n">
        <v>28</v>
      </c>
      <c r="G96" s="105" t="n">
        <v>6</v>
      </c>
    </row>
    <row r="97">
      <c r="A97" s="104" t="n">
        <v>46084</v>
      </c>
      <c r="B97" s="29">
        <f>CHOOSE(WEEKDAY(A97,2),"月","火","水","木","金","土","日")</f>
        <v/>
      </c>
      <c r="C97" s="105" t="n">
        <v>0</v>
      </c>
      <c r="D97" s="105" t="n">
        <v>0</v>
      </c>
      <c r="E97" s="105" t="n">
        <v>34</v>
      </c>
      <c r="F97" s="105" t="n">
        <v>28</v>
      </c>
      <c r="G97" s="105" t="n">
        <v>6</v>
      </c>
    </row>
    <row r="98">
      <c r="A98" s="104" t="n">
        <v>46085</v>
      </c>
      <c r="B98" s="29">
        <f>CHOOSE(WEEKDAY(A98,2),"月","火","水","木","金","土","日")</f>
        <v/>
      </c>
      <c r="C98" s="105" t="n">
        <v>1</v>
      </c>
      <c r="D98" s="105" t="n">
        <v>0</v>
      </c>
      <c r="E98" s="105" t="n">
        <v>35</v>
      </c>
      <c r="F98" s="105" t="n">
        <v>28</v>
      </c>
      <c r="G98" s="105" t="n">
        <v>7</v>
      </c>
    </row>
    <row r="99">
      <c r="A99" s="104" t="n">
        <v>46086</v>
      </c>
      <c r="B99" s="29">
        <f>CHOOSE(WEEKDAY(A99,2),"月","火","水","木","金","土","日")</f>
        <v/>
      </c>
      <c r="C99" s="105" t="n">
        <v>0</v>
      </c>
      <c r="D99" s="105" t="n">
        <v>0</v>
      </c>
      <c r="E99" s="105" t="n">
        <v>35</v>
      </c>
      <c r="F99" s="105" t="n">
        <v>28</v>
      </c>
      <c r="G99" s="105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B5797"/>
    <outlinePr summaryBelow="1" summaryRight="1"/>
    <pageSetUpPr/>
  </sheetPr>
  <dimension ref="A1:V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12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</cols>
  <sheetData>
    <row r="1" ht="25" customHeight="1">
      <c r="A1" s="103" t="inlineStr">
        <is>
          <t>欠陥詳細 - ALL</t>
        </is>
      </c>
    </row>
    <row r="3">
      <c r="A3" s="51" t="inlineStr">
        <is>
          <t>チーム名</t>
        </is>
      </c>
      <c r="B3" s="51" t="inlineStr">
        <is>
          <t>欠陥ID</t>
        </is>
      </c>
      <c r="C3" s="51" t="inlineStr">
        <is>
          <t>対応状況</t>
        </is>
      </c>
      <c r="D3" s="51" t="inlineStr">
        <is>
          <t>件名</t>
        </is>
      </c>
      <c r="E3" s="51" t="inlineStr">
        <is>
          <t>発見日</t>
        </is>
      </c>
      <c r="F3" s="51" t="inlineStr">
        <is>
          <t>業務機能分類</t>
        </is>
      </c>
      <c r="G3" s="51" t="inlineStr">
        <is>
          <t>緊急度</t>
        </is>
      </c>
      <c r="H3" s="51" t="inlineStr">
        <is>
          <t>影響度</t>
        </is>
      </c>
      <c r="I3" s="51" t="inlineStr">
        <is>
          <t>調査予定日</t>
        </is>
      </c>
      <c r="J3" s="51" t="inlineStr">
        <is>
          <t>調査完了日</t>
        </is>
      </c>
      <c r="K3" s="51" t="inlineStr">
        <is>
          <t>欠陥原因</t>
        </is>
      </c>
      <c r="L3" s="51" t="inlineStr">
        <is>
          <t>欠陥埋込フェーズ</t>
        </is>
      </c>
      <c r="M3" s="51" t="inlineStr">
        <is>
          <t>検出すべきフェーズ</t>
        </is>
      </c>
      <c r="N3" s="51" t="inlineStr">
        <is>
          <t>対応予定日</t>
        </is>
      </c>
      <c r="O3" s="51" t="inlineStr">
        <is>
          <t>対応日</t>
        </is>
      </c>
      <c r="P3" s="51" t="inlineStr">
        <is>
          <t>横展開有無</t>
        </is>
      </c>
      <c r="Q3" s="51" t="inlineStr">
        <is>
          <t>横展開先</t>
        </is>
      </c>
      <c r="R3" s="51" t="inlineStr">
        <is>
          <t>横展開完了予定日</t>
        </is>
      </c>
      <c r="S3" s="51" t="inlineStr">
        <is>
          <t>横展開完了日</t>
        </is>
      </c>
      <c r="T3" s="51" t="inlineStr">
        <is>
          <t>リリース予定日</t>
        </is>
      </c>
      <c r="U3" s="51" t="inlineStr">
        <is>
          <t>リリース日</t>
        </is>
      </c>
      <c r="V3" s="51" t="inlineStr">
        <is>
          <t>検証日</t>
        </is>
      </c>
    </row>
    <row r="4">
      <c r="A4" s="57" t="inlineStr">
        <is>
          <t>オンライン</t>
        </is>
      </c>
      <c r="B4" s="57" t="inlineStr">
        <is>
          <t>DEF-オ-0001</t>
        </is>
      </c>
      <c r="C4" s="57" t="inlineStr">
        <is>
          <t>05:完了</t>
        </is>
      </c>
      <c r="D4" s="59" t="inlineStr">
        <is>
          <t>欠陥1: 09_事務支(その他)の不具合</t>
        </is>
      </c>
      <c r="E4" s="109" t="n">
        <v>46042</v>
      </c>
      <c r="F4" s="57" t="inlineStr">
        <is>
          <t>40_基盤</t>
        </is>
      </c>
      <c r="G4" s="57" t="inlineStr">
        <is>
          <t>低</t>
        </is>
      </c>
      <c r="H4" s="57" t="inlineStr">
        <is>
          <t>低</t>
        </is>
      </c>
      <c r="I4" s="109" t="n">
        <v>46043</v>
      </c>
      <c r="J4" s="109" t="n">
        <v>46044</v>
      </c>
      <c r="K4" s="57" t="inlineStr">
        <is>
          <t>未知</t>
        </is>
      </c>
      <c r="L4" s="57" t="inlineStr">
        <is>
          <t>ID</t>
        </is>
      </c>
      <c r="M4" s="57" t="inlineStr">
        <is>
          <t>非欠陥</t>
        </is>
      </c>
      <c r="N4" s="109" t="n">
        <v>46052</v>
      </c>
      <c r="O4" s="109" t="n">
        <v>46056</v>
      </c>
      <c r="P4" s="57" t="inlineStr">
        <is>
          <t>無</t>
        </is>
      </c>
      <c r="Q4" s="59" t="inlineStr"/>
      <c r="R4" s="57" t="n"/>
      <c r="S4" s="57" t="n"/>
      <c r="T4" s="109" t="n">
        <v>46066</v>
      </c>
      <c r="U4" s="109" t="n">
        <v>46069</v>
      </c>
      <c r="V4" s="109" t="n">
        <v>46060</v>
      </c>
    </row>
    <row r="5">
      <c r="A5" s="57" t="inlineStr">
        <is>
          <t>オンライン</t>
        </is>
      </c>
      <c r="B5" s="57" t="inlineStr">
        <is>
          <t>DEF-オ-0002</t>
        </is>
      </c>
      <c r="C5" s="57" t="inlineStr">
        <is>
          <t>05:完了</t>
        </is>
      </c>
      <c r="D5" s="59" t="inlineStr">
        <is>
          <t>欠陥2: 10_共通の不具合</t>
        </is>
      </c>
      <c r="E5" s="109" t="n">
        <v>46059</v>
      </c>
      <c r="F5" s="57" t="inlineStr">
        <is>
          <t>40_基盤</t>
        </is>
      </c>
      <c r="G5" s="57" t="inlineStr">
        <is>
          <t>高</t>
        </is>
      </c>
      <c r="H5" s="57" t="inlineStr">
        <is>
          <t>高</t>
        </is>
      </c>
      <c r="I5" s="109" t="n">
        <v>46062</v>
      </c>
      <c r="J5" s="109" t="n">
        <v>46063</v>
      </c>
      <c r="K5" s="57" t="inlineStr">
        <is>
          <t>業務/仕様理解不足</t>
        </is>
      </c>
      <c r="L5" s="57" t="inlineStr">
        <is>
          <t>PD</t>
        </is>
      </c>
      <c r="M5" s="57" t="inlineStr">
        <is>
          <t>非欠陥</t>
        </is>
      </c>
      <c r="N5" s="109" t="n">
        <v>46070</v>
      </c>
      <c r="O5" s="109" t="n">
        <v>46075</v>
      </c>
      <c r="P5" s="57" t="inlineStr">
        <is>
          <t>有</t>
        </is>
      </c>
      <c r="Q5" s="59" t="inlineStr">
        <is>
          <t>04_欠陥・返戻</t>
        </is>
      </c>
      <c r="R5" s="109" t="n">
        <v>46077</v>
      </c>
      <c r="S5" s="109" t="n">
        <v>46078</v>
      </c>
      <c r="T5" s="109" t="n">
        <v>46079</v>
      </c>
      <c r="U5" s="109" t="n">
        <v>46080</v>
      </c>
      <c r="V5" s="109" t="n">
        <v>46078</v>
      </c>
    </row>
    <row r="6">
      <c r="A6" s="57" t="inlineStr">
        <is>
          <t>オンライン</t>
        </is>
      </c>
      <c r="B6" s="57" t="inlineStr">
        <is>
          <t>DEF-オ-0003</t>
        </is>
      </c>
      <c r="C6" s="57" t="inlineStr">
        <is>
          <t>05:完了</t>
        </is>
      </c>
      <c r="D6" s="59" t="inlineStr">
        <is>
          <t>欠陥3: 06_受入準備の不具合</t>
        </is>
      </c>
      <c r="E6" s="109" t="n">
        <v>46051</v>
      </c>
      <c r="F6" s="57" t="inlineStr">
        <is>
          <t>02_受付</t>
        </is>
      </c>
      <c r="G6" s="57" t="inlineStr">
        <is>
          <t>低</t>
        </is>
      </c>
      <c r="H6" s="57" t="inlineStr">
        <is>
          <t>低</t>
        </is>
      </c>
      <c r="I6" s="109" t="n">
        <v>46054</v>
      </c>
      <c r="J6" s="109" t="n">
        <v>46057</v>
      </c>
      <c r="K6" s="57" t="inlineStr">
        <is>
          <t>非欠陥</t>
        </is>
      </c>
      <c r="L6" s="57" t="inlineStr">
        <is>
          <t>ED</t>
        </is>
      </c>
      <c r="M6" s="57" t="inlineStr">
        <is>
          <t>ITb</t>
        </is>
      </c>
      <c r="N6" s="109" t="n">
        <v>46059</v>
      </c>
      <c r="O6" s="109" t="n">
        <v>46063</v>
      </c>
      <c r="P6" s="57" t="inlineStr">
        <is>
          <t>無</t>
        </is>
      </c>
      <c r="Q6" s="59" t="inlineStr"/>
      <c r="R6" s="57" t="n"/>
      <c r="S6" s="57" t="n"/>
      <c r="T6" s="109" t="n">
        <v>46068</v>
      </c>
      <c r="U6" s="109" t="n">
        <v>46068</v>
      </c>
      <c r="V6" s="109" t="n">
        <v>46064</v>
      </c>
    </row>
    <row r="7">
      <c r="A7" s="57" t="inlineStr">
        <is>
          <t>オンライン</t>
        </is>
      </c>
      <c r="B7" s="57" t="inlineStr">
        <is>
          <t>DEF-オ-0004</t>
        </is>
      </c>
      <c r="C7" s="57" t="inlineStr">
        <is>
          <t>05:完了</t>
        </is>
      </c>
      <c r="D7" s="59" t="inlineStr">
        <is>
          <t>欠陥4: 20_移行の不具合</t>
        </is>
      </c>
      <c r="E7" s="109" t="n">
        <v>45995</v>
      </c>
      <c r="F7" s="57" t="inlineStr">
        <is>
          <t>05_清算</t>
        </is>
      </c>
      <c r="G7" s="57" t="inlineStr">
        <is>
          <t>高</t>
        </is>
      </c>
      <c r="H7" s="57" t="inlineStr">
        <is>
          <t>高</t>
        </is>
      </c>
      <c r="I7" s="109" t="n">
        <v>46000</v>
      </c>
      <c r="J7" s="109" t="n">
        <v>46001</v>
      </c>
      <c r="K7" s="57" t="inlineStr">
        <is>
          <t>注意不足</t>
        </is>
      </c>
      <c r="L7" s="57" t="inlineStr">
        <is>
          <t>RD</t>
        </is>
      </c>
      <c r="M7" s="57" t="inlineStr">
        <is>
          <t>ITa</t>
        </is>
      </c>
      <c r="N7" s="109" t="n">
        <v>46004</v>
      </c>
      <c r="O7" s="109" t="n">
        <v>46009</v>
      </c>
      <c r="P7" s="57" t="inlineStr">
        <is>
          <t>無</t>
        </is>
      </c>
      <c r="Q7" s="59" t="inlineStr"/>
      <c r="R7" s="57" t="n"/>
      <c r="S7" s="57" t="n"/>
      <c r="T7" s="109" t="n">
        <v>46014</v>
      </c>
      <c r="U7" s="109" t="n">
        <v>46016</v>
      </c>
      <c r="V7" s="109" t="n">
        <v>46011</v>
      </c>
    </row>
    <row r="8">
      <c r="A8" s="57" t="inlineStr">
        <is>
          <t>オンライン</t>
        </is>
      </c>
      <c r="B8" s="57" t="inlineStr">
        <is>
          <t>DEF-オ-0005</t>
        </is>
      </c>
      <c r="C8" s="57" t="inlineStr">
        <is>
          <t>05:完了</t>
        </is>
      </c>
      <c r="D8" s="59" t="inlineStr">
        <is>
          <t>欠陥5: 06_受入準備の不具合</t>
        </is>
      </c>
      <c r="E8" s="109" t="n">
        <v>46037</v>
      </c>
      <c r="F8" s="57" t="inlineStr">
        <is>
          <t>02_受付</t>
        </is>
      </c>
      <c r="G8" s="57" t="inlineStr">
        <is>
          <t>中</t>
        </is>
      </c>
      <c r="H8" s="57" t="inlineStr">
        <is>
          <t>低</t>
        </is>
      </c>
      <c r="I8" s="109" t="n">
        <v>46041</v>
      </c>
      <c r="J8" s="109" t="n">
        <v>46043</v>
      </c>
      <c r="K8" s="57" t="inlineStr">
        <is>
          <t>影響範囲調査不足</t>
        </is>
      </c>
      <c r="L8" s="57" t="inlineStr">
        <is>
          <t>非欠陥</t>
        </is>
      </c>
      <c r="M8" s="57" t="inlineStr">
        <is>
          <t>ITb</t>
        </is>
      </c>
      <c r="N8" s="109" t="n">
        <v>46046</v>
      </c>
      <c r="O8" s="109" t="n">
        <v>46051</v>
      </c>
      <c r="P8" s="57" t="inlineStr">
        <is>
          <t>無</t>
        </is>
      </c>
      <c r="Q8" s="59" t="inlineStr"/>
      <c r="R8" s="57" t="n"/>
      <c r="S8" s="57" t="n"/>
      <c r="T8" s="109" t="n">
        <v>46054</v>
      </c>
      <c r="U8" s="109" t="n">
        <v>46057</v>
      </c>
      <c r="V8" s="109" t="n">
        <v>46053</v>
      </c>
    </row>
    <row r="9">
      <c r="A9" s="57" t="inlineStr">
        <is>
          <t>オンライン</t>
        </is>
      </c>
      <c r="B9" s="57" t="inlineStr">
        <is>
          <t>DEF-オ-0006</t>
        </is>
      </c>
      <c r="C9" s="57" t="inlineStr">
        <is>
          <t>05:完了</t>
        </is>
      </c>
      <c r="D9" s="59" t="inlineStr">
        <is>
          <t>欠陥6: 20_移行の不具合</t>
        </is>
      </c>
      <c r="E9" s="109" t="n">
        <v>46028</v>
      </c>
      <c r="F9" s="57" t="inlineStr">
        <is>
          <t>07_口振契約受付</t>
        </is>
      </c>
      <c r="G9" s="57" t="inlineStr">
        <is>
          <t>高</t>
        </is>
      </c>
      <c r="H9" s="57" t="inlineStr">
        <is>
          <t>低</t>
        </is>
      </c>
      <c r="I9" s="109" t="n">
        <v>46029</v>
      </c>
      <c r="J9" s="109" t="n">
        <v>46029</v>
      </c>
      <c r="K9" s="57" t="inlineStr">
        <is>
          <t>考慮不足</t>
        </is>
      </c>
      <c r="L9" s="57" t="inlineStr">
        <is>
          <t>RD</t>
        </is>
      </c>
      <c r="M9" s="57" t="inlineStr">
        <is>
          <t>非欠陥</t>
        </is>
      </c>
      <c r="N9" s="109" t="n">
        <v>46033</v>
      </c>
      <c r="O9" s="109" t="n">
        <v>46033</v>
      </c>
      <c r="P9" s="57" t="inlineStr">
        <is>
          <t>有</t>
        </is>
      </c>
      <c r="Q9" s="59" t="inlineStr">
        <is>
          <t>20_移行</t>
        </is>
      </c>
      <c r="R9" s="109" t="n">
        <v>46039</v>
      </c>
      <c r="S9" s="57" t="n"/>
      <c r="T9" s="109" t="n">
        <v>46041</v>
      </c>
      <c r="U9" s="109" t="n">
        <v>46044</v>
      </c>
      <c r="V9" s="109" t="n">
        <v>46037</v>
      </c>
    </row>
    <row r="10">
      <c r="A10" s="57" t="inlineStr">
        <is>
          <t>オンライン</t>
        </is>
      </c>
      <c r="B10" s="57" t="inlineStr">
        <is>
          <t>DEF-オ-0007</t>
        </is>
      </c>
      <c r="C10" s="57" t="inlineStr">
        <is>
          <t>05:完了</t>
        </is>
      </c>
      <c r="D10" s="59" t="inlineStr">
        <is>
          <t>欠陥7: 20_移行の不具合</t>
        </is>
      </c>
      <c r="E10" s="109" t="n">
        <v>46025</v>
      </c>
      <c r="F10" s="57" t="inlineStr">
        <is>
          <t>09_事務支(その他)</t>
        </is>
      </c>
      <c r="G10" s="57" t="inlineStr">
        <is>
          <t>中</t>
        </is>
      </c>
      <c r="H10" s="57" t="inlineStr">
        <is>
          <t>高</t>
        </is>
      </c>
      <c r="I10" s="109" t="n">
        <v>46026</v>
      </c>
      <c r="J10" s="109" t="n">
        <v>46027</v>
      </c>
      <c r="K10" s="57" t="inlineStr">
        <is>
          <t>技術力不足</t>
        </is>
      </c>
      <c r="L10" s="57" t="inlineStr">
        <is>
          <t>PD</t>
        </is>
      </c>
      <c r="M10" s="57" t="inlineStr">
        <is>
          <t>ITb</t>
        </is>
      </c>
      <c r="N10" s="109" t="n">
        <v>46036</v>
      </c>
      <c r="O10" s="109" t="n">
        <v>46037</v>
      </c>
      <c r="P10" s="57" t="inlineStr">
        <is>
          <t>無</t>
        </is>
      </c>
      <c r="Q10" s="59" t="inlineStr"/>
      <c r="R10" s="57" t="n"/>
      <c r="S10" s="57" t="n"/>
      <c r="T10" s="109" t="n">
        <v>46043</v>
      </c>
      <c r="U10" s="109" t="n">
        <v>46045</v>
      </c>
      <c r="V10" s="109" t="n">
        <v>46038</v>
      </c>
    </row>
    <row r="11">
      <c r="A11" s="57" t="inlineStr">
        <is>
          <t>オンライン</t>
        </is>
      </c>
      <c r="B11" s="57" t="inlineStr">
        <is>
          <t>DEF-オ-0008</t>
        </is>
      </c>
      <c r="C11" s="57" t="inlineStr">
        <is>
          <t>05:完了</t>
        </is>
      </c>
      <c r="D11" s="59" t="inlineStr">
        <is>
          <t>欠陥8: 06_受入準備の不具合</t>
        </is>
      </c>
      <c r="E11" s="109" t="n">
        <v>46060</v>
      </c>
      <c r="F11" s="57" t="inlineStr">
        <is>
          <t>02_受付</t>
        </is>
      </c>
      <c r="G11" s="57" t="inlineStr">
        <is>
          <t>高</t>
        </is>
      </c>
      <c r="H11" s="57" t="inlineStr">
        <is>
          <t>低</t>
        </is>
      </c>
      <c r="I11" s="109" t="n">
        <v>46063</v>
      </c>
      <c r="J11" s="109" t="n">
        <v>46066</v>
      </c>
      <c r="K11" s="57" t="inlineStr">
        <is>
          <t>考慮不足</t>
        </is>
      </c>
      <c r="L11" s="57" t="inlineStr">
        <is>
          <t>非欠陥</t>
        </is>
      </c>
      <c r="M11" s="57" t="inlineStr">
        <is>
          <t>ST</t>
        </is>
      </c>
      <c r="N11" s="109" t="n">
        <v>46067</v>
      </c>
      <c r="O11" s="109" t="n">
        <v>46070</v>
      </c>
      <c r="P11" s="57" t="inlineStr">
        <is>
          <t>無</t>
        </is>
      </c>
      <c r="Q11" s="59" t="inlineStr"/>
      <c r="R11" s="57" t="n"/>
      <c r="S11" s="57" t="n"/>
      <c r="T11" s="109" t="n">
        <v>46075</v>
      </c>
      <c r="U11" s="109" t="n">
        <v>46077</v>
      </c>
      <c r="V11" s="109" t="n">
        <v>46072</v>
      </c>
    </row>
    <row r="12">
      <c r="A12" s="57" t="inlineStr">
        <is>
          <t>オンライン</t>
        </is>
      </c>
      <c r="B12" s="57" t="inlineStr">
        <is>
          <t>DEF-オ-0009</t>
        </is>
      </c>
      <c r="C12" s="57" t="inlineStr">
        <is>
          <t>04:検証中</t>
        </is>
      </c>
      <c r="D12" s="59" t="inlineStr">
        <is>
          <t>欠陥9: 08_事務支(変更通知)の不具合</t>
        </is>
      </c>
      <c r="E12" s="109" t="n">
        <v>46031</v>
      </c>
      <c r="F12" s="57" t="inlineStr">
        <is>
          <t>40_基盤</t>
        </is>
      </c>
      <c r="G12" s="57" t="inlineStr">
        <is>
          <t>高</t>
        </is>
      </c>
      <c r="H12" s="57" t="inlineStr">
        <is>
          <t>低</t>
        </is>
      </c>
      <c r="I12" s="109" t="n">
        <v>46032</v>
      </c>
      <c r="J12" s="109" t="n">
        <v>46031</v>
      </c>
      <c r="K12" s="57" t="inlineStr">
        <is>
          <t>注意不足</t>
        </is>
      </c>
      <c r="L12" s="57" t="inlineStr">
        <is>
          <t>ID</t>
        </is>
      </c>
      <c r="M12" s="57" t="inlineStr">
        <is>
          <t>ITa</t>
        </is>
      </c>
      <c r="N12" s="109" t="n">
        <v>46042</v>
      </c>
      <c r="O12" s="109" t="n">
        <v>46043</v>
      </c>
      <c r="P12" s="57" t="inlineStr">
        <is>
          <t>無</t>
        </is>
      </c>
      <c r="Q12" s="59" t="inlineStr"/>
      <c r="R12" s="57" t="n"/>
      <c r="S12" s="57" t="n"/>
      <c r="T12" s="109" t="n">
        <v>46054</v>
      </c>
      <c r="U12" s="57" t="n"/>
      <c r="V12" s="57" t="n"/>
    </row>
    <row r="13">
      <c r="A13" s="57" t="inlineStr">
        <is>
          <t>オンライン</t>
        </is>
      </c>
      <c r="B13" s="57" t="inlineStr">
        <is>
          <t>DEF-オ-0010</t>
        </is>
      </c>
      <c r="C13" s="57" t="inlineStr">
        <is>
          <t>04:検証中</t>
        </is>
      </c>
      <c r="D13" s="59" t="inlineStr">
        <is>
          <t>欠陥10: 09_事務支(その他)の不具合</t>
        </is>
      </c>
      <c r="E13" s="109" t="n">
        <v>46000</v>
      </c>
      <c r="F13" s="57" t="inlineStr">
        <is>
          <t>04_欠陥・返戻</t>
        </is>
      </c>
      <c r="G13" s="57" t="inlineStr">
        <is>
          <t>低</t>
        </is>
      </c>
      <c r="H13" s="57" t="inlineStr">
        <is>
          <t>高</t>
        </is>
      </c>
      <c r="I13" s="109" t="n">
        <v>46005</v>
      </c>
      <c r="J13" s="109" t="n">
        <v>46006</v>
      </c>
      <c r="K13" s="57" t="inlineStr">
        <is>
          <t>影響範囲調査不足</t>
        </is>
      </c>
      <c r="L13" s="57" t="inlineStr">
        <is>
          <t>ID</t>
        </is>
      </c>
      <c r="M13" s="57" t="inlineStr">
        <is>
          <t>ST</t>
        </is>
      </c>
      <c r="N13" s="109" t="n">
        <v>46013</v>
      </c>
      <c r="O13" s="109" t="n">
        <v>46011</v>
      </c>
      <c r="P13" s="57" t="inlineStr">
        <is>
          <t>無</t>
        </is>
      </c>
      <c r="Q13" s="59" t="inlineStr"/>
      <c r="R13" s="57" t="n"/>
      <c r="S13" s="57" t="n"/>
      <c r="T13" s="109" t="n">
        <v>46019</v>
      </c>
      <c r="U13" s="57" t="n"/>
      <c r="V13" s="57" t="n"/>
    </row>
    <row r="14">
      <c r="A14" s="57" t="inlineStr">
        <is>
          <t>オンライン</t>
        </is>
      </c>
      <c r="B14" s="57" t="inlineStr">
        <is>
          <t>DEF-オ-0011</t>
        </is>
      </c>
      <c r="C14" s="57" t="inlineStr">
        <is>
          <t>04:検証中</t>
        </is>
      </c>
      <c r="D14" s="59" t="inlineStr">
        <is>
          <t>欠陥11: 07_口振契約受付の不具合</t>
        </is>
      </c>
      <c r="E14" s="109" t="n">
        <v>46045</v>
      </c>
      <c r="F14" s="57" t="inlineStr">
        <is>
          <t>07_口振契約受付</t>
        </is>
      </c>
      <c r="G14" s="57" t="inlineStr">
        <is>
          <t>低</t>
        </is>
      </c>
      <c r="H14" s="57" t="inlineStr">
        <is>
          <t>低</t>
        </is>
      </c>
      <c r="I14" s="109" t="n">
        <v>46050</v>
      </c>
      <c r="J14" s="109" t="n">
        <v>46050</v>
      </c>
      <c r="K14" s="57" t="inlineStr">
        <is>
          <t>業務/仕様理解不足</t>
        </is>
      </c>
      <c r="L14" s="57" t="inlineStr">
        <is>
          <t>その他</t>
        </is>
      </c>
      <c r="M14" s="57" t="inlineStr">
        <is>
          <t>CT</t>
        </is>
      </c>
      <c r="N14" s="109" t="n">
        <v>46055</v>
      </c>
      <c r="O14" s="109" t="n">
        <v>46058</v>
      </c>
      <c r="P14" s="57" t="inlineStr">
        <is>
          <t>無</t>
        </is>
      </c>
      <c r="Q14" s="59" t="inlineStr"/>
      <c r="R14" s="57" t="n"/>
      <c r="S14" s="57" t="n"/>
      <c r="T14" s="109" t="n">
        <v>46062</v>
      </c>
      <c r="U14" s="57" t="n"/>
      <c r="V14" s="57" t="n"/>
    </row>
    <row r="15">
      <c r="A15" s="57" t="inlineStr">
        <is>
          <t>オンライン</t>
        </is>
      </c>
      <c r="B15" s="57" t="inlineStr">
        <is>
          <t>DEF-オ-0012</t>
        </is>
      </c>
      <c r="C15" s="57" t="inlineStr">
        <is>
          <t>04:検証中</t>
        </is>
      </c>
      <c r="D15" s="59" t="inlineStr">
        <is>
          <t>欠陥12: 06_受入準備の不具合</t>
        </is>
      </c>
      <c r="E15" s="109" t="n">
        <v>46085</v>
      </c>
      <c r="F15" s="57" t="inlineStr">
        <is>
          <t>20_移行</t>
        </is>
      </c>
      <c r="G15" s="57" t="inlineStr">
        <is>
          <t>中</t>
        </is>
      </c>
      <c r="H15" s="57" t="inlineStr">
        <is>
          <t>高</t>
        </is>
      </c>
      <c r="I15" s="109" t="n">
        <v>46087</v>
      </c>
      <c r="J15" s="109" t="n">
        <v>46086</v>
      </c>
      <c r="K15" s="57" t="inlineStr">
        <is>
          <t>外的要因</t>
        </is>
      </c>
      <c r="L15" s="57" t="inlineStr">
        <is>
          <t>RD</t>
        </is>
      </c>
      <c r="M15" s="57" t="inlineStr">
        <is>
          <t>非欠陥</t>
        </is>
      </c>
      <c r="N15" s="109" t="n">
        <v>46094</v>
      </c>
      <c r="O15" s="109" t="n">
        <v>46098</v>
      </c>
      <c r="P15" s="57" t="inlineStr">
        <is>
          <t>無</t>
        </is>
      </c>
      <c r="Q15" s="59" t="inlineStr"/>
      <c r="R15" s="57" t="n"/>
      <c r="S15" s="57" t="n"/>
      <c r="T15" s="109" t="n">
        <v>46099</v>
      </c>
      <c r="U15" s="57" t="n"/>
      <c r="V15" s="57" t="n"/>
    </row>
    <row r="16">
      <c r="A16" s="57" t="inlineStr">
        <is>
          <t>オンライン</t>
        </is>
      </c>
      <c r="B16" s="57" t="inlineStr">
        <is>
          <t>DEF-オ-0013</t>
        </is>
      </c>
      <c r="C16" s="57" t="inlineStr">
        <is>
          <t>03:対応中</t>
        </is>
      </c>
      <c r="D16" s="59" t="inlineStr">
        <is>
          <t>欠陥13: 03_請求の不具合</t>
        </is>
      </c>
      <c r="E16" s="109" t="n">
        <v>46012</v>
      </c>
      <c r="F16" s="57" t="inlineStr">
        <is>
          <t>40_基盤</t>
        </is>
      </c>
      <c r="G16" s="57" t="inlineStr">
        <is>
          <t>中</t>
        </is>
      </c>
      <c r="H16" s="57" t="inlineStr">
        <is>
          <t>低</t>
        </is>
      </c>
      <c r="I16" s="109" t="n">
        <v>46015</v>
      </c>
      <c r="J16" s="109" t="n">
        <v>46015</v>
      </c>
      <c r="K16" s="57" t="inlineStr">
        <is>
          <t>考慮不足</t>
        </is>
      </c>
      <c r="L16" s="57" t="inlineStr">
        <is>
          <t>その他</t>
        </is>
      </c>
      <c r="M16" s="57" t="inlineStr">
        <is>
          <t>非欠陥</t>
        </is>
      </c>
      <c r="N16" s="109" t="n">
        <v>46024</v>
      </c>
      <c r="O16" s="57" t="n"/>
      <c r="P16" s="57" t="inlineStr">
        <is>
          <t>有</t>
        </is>
      </c>
      <c r="Q16" s="59" t="inlineStr">
        <is>
          <t>02_受付</t>
        </is>
      </c>
      <c r="R16" s="109" t="n">
        <v>46028</v>
      </c>
      <c r="S16" s="57" t="n"/>
      <c r="T16" s="109" t="n">
        <v>46036</v>
      </c>
      <c r="U16" s="57" t="n"/>
      <c r="V16" s="57" t="n"/>
    </row>
    <row r="17">
      <c r="A17" s="57" t="inlineStr">
        <is>
          <t>オンライン</t>
        </is>
      </c>
      <c r="B17" s="57" t="inlineStr">
        <is>
          <t>DEF-オ-0014</t>
        </is>
      </c>
      <c r="C17" s="57" t="inlineStr">
        <is>
          <t>03:対応中</t>
        </is>
      </c>
      <c r="D17" s="59" t="inlineStr">
        <is>
          <t>欠陥14: 08_事務支(変更通知)の不具合</t>
        </is>
      </c>
      <c r="E17" s="109" t="n">
        <v>46070</v>
      </c>
      <c r="F17" s="57" t="inlineStr">
        <is>
          <t>07_口振契約受付</t>
        </is>
      </c>
      <c r="G17" s="57" t="inlineStr">
        <is>
          <t>低</t>
        </is>
      </c>
      <c r="H17" s="57" t="inlineStr">
        <is>
          <t>中</t>
        </is>
      </c>
      <c r="I17" s="109" t="n">
        <v>46074</v>
      </c>
      <c r="J17" s="109" t="n">
        <v>46075</v>
      </c>
      <c r="K17" s="57" t="inlineStr">
        <is>
          <t>業務/仕様理解不足</t>
        </is>
      </c>
      <c r="L17" s="57" t="inlineStr">
        <is>
          <t>非欠陥</t>
        </is>
      </c>
      <c r="M17" s="57" t="inlineStr">
        <is>
          <t>CT</t>
        </is>
      </c>
      <c r="N17" s="109" t="n">
        <v>46084</v>
      </c>
      <c r="O17" s="57" t="n"/>
      <c r="P17" s="57" t="inlineStr">
        <is>
          <t>無</t>
        </is>
      </c>
      <c r="Q17" s="59" t="inlineStr"/>
      <c r="R17" s="57" t="n"/>
      <c r="S17" s="57" t="n"/>
      <c r="T17" s="109" t="n">
        <v>46089</v>
      </c>
      <c r="U17" s="57" t="n"/>
      <c r="V17" s="57" t="n"/>
    </row>
    <row r="18">
      <c r="A18" s="57" t="inlineStr">
        <is>
          <t>オンライン</t>
        </is>
      </c>
      <c r="B18" s="57" t="inlineStr">
        <is>
          <t>DEF-オ-0015</t>
        </is>
      </c>
      <c r="C18" s="57" t="inlineStr">
        <is>
          <t>03:対応中</t>
        </is>
      </c>
      <c r="D18" s="59" t="inlineStr">
        <is>
          <t>欠陥15: 06_受入準備の不具合</t>
        </is>
      </c>
      <c r="E18" s="109" t="n">
        <v>46073</v>
      </c>
      <c r="F18" s="57" t="inlineStr">
        <is>
          <t>08_事務支(変更通知)</t>
        </is>
      </c>
      <c r="G18" s="57" t="inlineStr">
        <is>
          <t>高</t>
        </is>
      </c>
      <c r="H18" s="57" t="inlineStr">
        <is>
          <t>中</t>
        </is>
      </c>
      <c r="I18" s="109" t="n">
        <v>46075</v>
      </c>
      <c r="J18" s="109" t="n">
        <v>46077</v>
      </c>
      <c r="K18" s="57" t="inlineStr">
        <is>
          <t>業務/仕様理解不足</t>
        </is>
      </c>
      <c r="L18" s="57" t="inlineStr">
        <is>
          <t>その他</t>
        </is>
      </c>
      <c r="M18" s="57" t="inlineStr">
        <is>
          <t>非欠陥</t>
        </is>
      </c>
      <c r="N18" s="109" t="n">
        <v>46083</v>
      </c>
      <c r="O18" s="57" t="n"/>
      <c r="P18" s="57" t="inlineStr">
        <is>
          <t>無</t>
        </is>
      </c>
      <c r="Q18" s="59" t="inlineStr"/>
      <c r="R18" s="57" t="n"/>
      <c r="S18" s="57" t="n"/>
      <c r="T18" s="109" t="n">
        <v>46094</v>
      </c>
      <c r="U18" s="57" t="n"/>
      <c r="V18" s="57" t="n"/>
    </row>
    <row r="19">
      <c r="A19" s="57" t="inlineStr">
        <is>
          <t>オンライン</t>
        </is>
      </c>
      <c r="B19" s="57" t="inlineStr">
        <is>
          <t>DEF-オ-0016</t>
        </is>
      </c>
      <c r="C19" s="57" t="inlineStr">
        <is>
          <t>03:対応中</t>
        </is>
      </c>
      <c r="D19" s="59" t="inlineStr">
        <is>
          <t>欠陥16: 09_事務支(その他)の不具合</t>
        </is>
      </c>
      <c r="E19" s="109" t="n">
        <v>46045</v>
      </c>
      <c r="F19" s="57" t="inlineStr">
        <is>
          <t>30_運用</t>
        </is>
      </c>
      <c r="G19" s="57" t="inlineStr">
        <is>
          <t>中</t>
        </is>
      </c>
      <c r="H19" s="57" t="inlineStr">
        <is>
          <t>中</t>
        </is>
      </c>
      <c r="I19" s="109" t="n">
        <v>46048</v>
      </c>
      <c r="J19" s="109" t="n">
        <v>46050</v>
      </c>
      <c r="K19" s="57" t="inlineStr">
        <is>
          <t>未知</t>
        </is>
      </c>
      <c r="L19" s="57" t="inlineStr">
        <is>
          <t>その他</t>
        </is>
      </c>
      <c r="M19" s="57" t="inlineStr">
        <is>
          <t>非欠陥</t>
        </is>
      </c>
      <c r="N19" s="109" t="n">
        <v>46080</v>
      </c>
      <c r="O19" s="57" t="n"/>
      <c r="P19" s="57" t="inlineStr">
        <is>
          <t>無</t>
        </is>
      </c>
      <c r="Q19" s="59" t="inlineStr"/>
      <c r="R19" s="57" t="n"/>
      <c r="S19" s="57" t="n"/>
      <c r="T19" s="109" t="n">
        <v>46063</v>
      </c>
      <c r="U19" s="57" t="n"/>
      <c r="V19" s="57" t="n"/>
    </row>
    <row r="20">
      <c r="A20" s="57" t="inlineStr">
        <is>
          <t>オンライン</t>
        </is>
      </c>
      <c r="B20" s="57" t="inlineStr">
        <is>
          <t>DEF-オ-0017</t>
        </is>
      </c>
      <c r="C20" s="57" t="inlineStr">
        <is>
          <t>03:対応中</t>
        </is>
      </c>
      <c r="D20" s="59" t="inlineStr">
        <is>
          <t>欠陥17: 40_基盤の不具合</t>
        </is>
      </c>
      <c r="E20" s="109" t="n">
        <v>46078</v>
      </c>
      <c r="F20" s="57" t="inlineStr">
        <is>
          <t>07_口振契約受付</t>
        </is>
      </c>
      <c r="G20" s="57" t="inlineStr">
        <is>
          <t>中</t>
        </is>
      </c>
      <c r="H20" s="57" t="inlineStr">
        <is>
          <t>低</t>
        </is>
      </c>
      <c r="I20" s="109" t="n">
        <v>46080</v>
      </c>
      <c r="J20" s="109" t="n">
        <v>46079</v>
      </c>
      <c r="K20" s="57" t="inlineStr">
        <is>
          <t>影響範囲調査不足</t>
        </is>
      </c>
      <c r="L20" s="57" t="inlineStr">
        <is>
          <t>ED</t>
        </is>
      </c>
      <c r="M20" s="57" t="inlineStr">
        <is>
          <t>非欠陥</t>
        </is>
      </c>
      <c r="N20" s="109" t="n">
        <v>46085</v>
      </c>
      <c r="O20" s="57" t="n"/>
      <c r="P20" s="57" t="inlineStr">
        <is>
          <t>無</t>
        </is>
      </c>
      <c r="Q20" s="59" t="inlineStr"/>
      <c r="R20" s="57" t="n"/>
      <c r="S20" s="57" t="n"/>
      <c r="T20" s="109" t="n">
        <v>46097</v>
      </c>
      <c r="U20" s="57" t="n"/>
      <c r="V20" s="57" t="n"/>
    </row>
    <row r="21">
      <c r="A21" s="57" t="inlineStr">
        <is>
          <t>オンライン</t>
        </is>
      </c>
      <c r="B21" s="57" t="inlineStr">
        <is>
          <t>DEF-オ-0018</t>
        </is>
      </c>
      <c r="C21" s="57" t="inlineStr">
        <is>
          <t>02:調査中</t>
        </is>
      </c>
      <c r="D21" s="59" t="inlineStr">
        <is>
          <t>欠陥18: 04_欠陥・返戻の不具合</t>
        </is>
      </c>
      <c r="E21" s="109" t="n">
        <v>46058</v>
      </c>
      <c r="F21" s="57" t="inlineStr">
        <is>
          <t>06_受入準備</t>
        </is>
      </c>
      <c r="G21" s="57" t="inlineStr">
        <is>
          <t>中</t>
        </is>
      </c>
      <c r="H21" s="57" t="inlineStr">
        <is>
          <t>低</t>
        </is>
      </c>
      <c r="I21" s="109" t="n">
        <v>46062</v>
      </c>
      <c r="J21" s="57" t="n"/>
      <c r="K21" s="57" t="inlineStr">
        <is>
          <t>注意不足</t>
        </is>
      </c>
      <c r="L21" s="57" t="inlineStr">
        <is>
          <t>ED</t>
        </is>
      </c>
      <c r="M21" s="57" t="inlineStr">
        <is>
          <t>ITa</t>
        </is>
      </c>
      <c r="N21" s="109" t="n">
        <v>46069</v>
      </c>
      <c r="O21" s="57" t="n"/>
      <c r="P21" s="57" t="inlineStr">
        <is>
          <t>無</t>
        </is>
      </c>
      <c r="Q21" s="59" t="inlineStr"/>
      <c r="R21" s="57" t="n"/>
      <c r="S21" s="57" t="n"/>
      <c r="T21" s="109" t="n">
        <v>46078</v>
      </c>
      <c r="U21" s="57" t="n"/>
      <c r="V21" s="57" t="n"/>
    </row>
    <row r="22">
      <c r="A22" s="57" t="inlineStr">
        <is>
          <t>オンライン</t>
        </is>
      </c>
      <c r="B22" s="57" t="inlineStr">
        <is>
          <t>DEF-オ-0019</t>
        </is>
      </c>
      <c r="C22" s="57" t="inlineStr">
        <is>
          <t>02:調査中</t>
        </is>
      </c>
      <c r="D22" s="59" t="inlineStr">
        <is>
          <t>欠陥19: 09_事務支(その他)の不具合</t>
        </is>
      </c>
      <c r="E22" s="109" t="n">
        <v>46070</v>
      </c>
      <c r="F22" s="57" t="inlineStr">
        <is>
          <t>07_口振契約受付</t>
        </is>
      </c>
      <c r="G22" s="57" t="inlineStr">
        <is>
          <t>低</t>
        </is>
      </c>
      <c r="H22" s="57" t="inlineStr">
        <is>
          <t>低</t>
        </is>
      </c>
      <c r="I22" s="109" t="n">
        <v>46012</v>
      </c>
      <c r="J22" s="57" t="n"/>
      <c r="K22" s="57" t="inlineStr">
        <is>
          <t>プロセス不備</t>
        </is>
      </c>
      <c r="L22" s="57" t="inlineStr">
        <is>
          <t>PD</t>
        </is>
      </c>
      <c r="M22" s="57" t="inlineStr">
        <is>
          <t>非欠陥</t>
        </is>
      </c>
      <c r="N22" s="109" t="n">
        <v>46022</v>
      </c>
      <c r="O22" s="57" t="n"/>
      <c r="P22" s="57" t="inlineStr">
        <is>
          <t>無</t>
        </is>
      </c>
      <c r="Q22" s="59" t="inlineStr"/>
      <c r="R22" s="57" t="n"/>
      <c r="S22" s="57" t="n"/>
      <c r="T22" s="109" t="n">
        <v>46030</v>
      </c>
      <c r="U22" s="57" t="n"/>
      <c r="V22" s="57" t="n"/>
    </row>
    <row r="23">
      <c r="A23" s="57" t="inlineStr">
        <is>
          <t>オンライン</t>
        </is>
      </c>
      <c r="B23" s="57" t="inlineStr">
        <is>
          <t>DEF-オ-0020</t>
        </is>
      </c>
      <c r="C23" s="57" t="inlineStr">
        <is>
          <t>02:調査中</t>
        </is>
      </c>
      <c r="D23" s="59" t="inlineStr">
        <is>
          <t>欠陥20: 20_移行の不具合</t>
        </is>
      </c>
      <c r="E23" s="109" t="n">
        <v>45998</v>
      </c>
      <c r="F23" s="57" t="inlineStr">
        <is>
          <t>07_口振契約受付</t>
        </is>
      </c>
      <c r="G23" s="57" t="inlineStr">
        <is>
          <t>中</t>
        </is>
      </c>
      <c r="H23" s="57" t="inlineStr">
        <is>
          <t>低</t>
        </is>
      </c>
      <c r="I23" s="109" t="n">
        <v>45999</v>
      </c>
      <c r="J23" s="57" t="n"/>
      <c r="K23" s="57" t="inlineStr">
        <is>
          <t>プロセス不備</t>
        </is>
      </c>
      <c r="L23" s="57" t="inlineStr">
        <is>
          <t>非欠陥</t>
        </is>
      </c>
      <c r="M23" s="57" t="inlineStr">
        <is>
          <t>ST</t>
        </is>
      </c>
      <c r="N23" s="109" t="n">
        <v>46005</v>
      </c>
      <c r="O23" s="57" t="n"/>
      <c r="P23" s="57" t="inlineStr">
        <is>
          <t>無</t>
        </is>
      </c>
      <c r="Q23" s="59" t="inlineStr"/>
      <c r="R23" s="57" t="n"/>
      <c r="S23" s="57" t="n"/>
      <c r="T23" s="109" t="n">
        <v>46012</v>
      </c>
      <c r="U23" s="57" t="n"/>
      <c r="V23" s="57" t="n"/>
    </row>
    <row r="24">
      <c r="A24" s="57" t="inlineStr">
        <is>
          <t>オンライン</t>
        </is>
      </c>
      <c r="B24" s="57" t="inlineStr">
        <is>
          <t>DEF-オ-0021</t>
        </is>
      </c>
      <c r="C24" s="57" t="inlineStr">
        <is>
          <t>01:未着手</t>
        </is>
      </c>
      <c r="D24" s="59" t="inlineStr">
        <is>
          <t>欠陥21: 10_共通の不具合</t>
        </is>
      </c>
      <c r="E24" s="109" t="n">
        <v>46032</v>
      </c>
      <c r="F24" s="57" t="inlineStr">
        <is>
          <t>30_運用</t>
        </is>
      </c>
      <c r="G24" s="57" t="inlineStr">
        <is>
          <t>低</t>
        </is>
      </c>
      <c r="H24" s="57" t="inlineStr">
        <is>
          <t>高</t>
        </is>
      </c>
      <c r="I24" s="109" t="n">
        <v>46033</v>
      </c>
      <c r="J24" s="57" t="n"/>
      <c r="K24" s="57" t="inlineStr">
        <is>
          <t>非欠陥</t>
        </is>
      </c>
      <c r="L24" s="57" t="inlineStr">
        <is>
          <t>ID</t>
        </is>
      </c>
      <c r="M24" s="57" t="inlineStr">
        <is>
          <t>ITa</t>
        </is>
      </c>
      <c r="N24" s="109" t="n">
        <v>46040</v>
      </c>
      <c r="O24" s="57" t="n"/>
      <c r="P24" s="57" t="inlineStr">
        <is>
          <t>有</t>
        </is>
      </c>
      <c r="Q24" s="59" t="inlineStr">
        <is>
          <t>06_受入準備</t>
        </is>
      </c>
      <c r="R24" s="109" t="n">
        <v>46044</v>
      </c>
      <c r="S24" s="57" t="n"/>
      <c r="T24" s="109" t="n">
        <v>46047</v>
      </c>
      <c r="U24" s="57" t="n"/>
      <c r="V24" s="57" t="n"/>
    </row>
    <row r="25">
      <c r="A25" s="57" t="inlineStr">
        <is>
          <t>オンライン</t>
        </is>
      </c>
      <c r="B25" s="57" t="inlineStr">
        <is>
          <t>DEF-オ-0022</t>
        </is>
      </c>
      <c r="C25" s="57" t="inlineStr">
        <is>
          <t>01:未着手</t>
        </is>
      </c>
      <c r="D25" s="59" t="inlineStr">
        <is>
          <t>欠陥22: 07_口振契約受付の不具合</t>
        </is>
      </c>
      <c r="E25" s="109" t="n">
        <v>46015</v>
      </c>
      <c r="F25" s="57" t="inlineStr">
        <is>
          <t>20_移行</t>
        </is>
      </c>
      <c r="G25" s="57" t="inlineStr">
        <is>
          <t>中</t>
        </is>
      </c>
      <c r="H25" s="57" t="inlineStr">
        <is>
          <t>高</t>
        </is>
      </c>
      <c r="I25" s="109" t="n">
        <v>46018</v>
      </c>
      <c r="J25" s="57" t="n"/>
      <c r="K25" s="57" t="inlineStr">
        <is>
          <t>外的要因</t>
        </is>
      </c>
      <c r="L25" s="57" t="inlineStr">
        <is>
          <t>PD</t>
        </is>
      </c>
      <c r="M25" s="57" t="inlineStr">
        <is>
          <t>ST</t>
        </is>
      </c>
      <c r="N25" s="109" t="n">
        <v>46027</v>
      </c>
      <c r="O25" s="57" t="n"/>
      <c r="P25" s="57" t="inlineStr">
        <is>
          <t>無</t>
        </is>
      </c>
      <c r="Q25" s="59" t="inlineStr"/>
      <c r="R25" s="57" t="n"/>
      <c r="S25" s="57" t="n"/>
      <c r="T25" s="109" t="n">
        <v>46038</v>
      </c>
      <c r="U25" s="57" t="n"/>
      <c r="V25" s="57" t="n"/>
    </row>
    <row r="26">
      <c r="A26" s="57" t="inlineStr">
        <is>
          <t>オンライン</t>
        </is>
      </c>
      <c r="B26" s="57" t="inlineStr">
        <is>
          <t>DEF-オ-0023</t>
        </is>
      </c>
      <c r="C26" s="57" t="inlineStr">
        <is>
          <t>01:未着手</t>
        </is>
      </c>
      <c r="D26" s="59" t="inlineStr">
        <is>
          <t>欠陥23: 05_清算の不具合</t>
        </is>
      </c>
      <c r="E26" s="109" t="n">
        <v>46014</v>
      </c>
      <c r="F26" s="57" t="inlineStr">
        <is>
          <t>03_請求</t>
        </is>
      </c>
      <c r="G26" s="57" t="inlineStr">
        <is>
          <t>高</t>
        </is>
      </c>
      <c r="H26" s="57" t="inlineStr">
        <is>
          <t>低</t>
        </is>
      </c>
      <c r="I26" s="109" t="n">
        <v>46015</v>
      </c>
      <c r="J26" s="57" t="n"/>
      <c r="K26" s="57" t="inlineStr">
        <is>
          <t>情報共有不足</t>
        </is>
      </c>
      <c r="L26" s="57" t="inlineStr">
        <is>
          <t>RD</t>
        </is>
      </c>
      <c r="M26" s="57" t="inlineStr">
        <is>
          <t>非欠陥</t>
        </is>
      </c>
      <c r="N26" s="109" t="n">
        <v>46021</v>
      </c>
      <c r="O26" s="57" t="n"/>
      <c r="P26" s="57" t="inlineStr">
        <is>
          <t>無</t>
        </is>
      </c>
      <c r="Q26" s="59" t="inlineStr"/>
      <c r="R26" s="57" t="n"/>
      <c r="S26" s="57" t="n"/>
      <c r="T26" s="109" t="n">
        <v>46034</v>
      </c>
      <c r="U26" s="57" t="n"/>
      <c r="V26" s="57" t="n"/>
    </row>
    <row r="27">
      <c r="A27" s="57" t="inlineStr">
        <is>
          <t>オンライン</t>
        </is>
      </c>
      <c r="B27" s="57" t="inlineStr">
        <is>
          <t>DEF-オ-0024</t>
        </is>
      </c>
      <c r="C27" s="57" t="inlineStr">
        <is>
          <t>98:保留</t>
        </is>
      </c>
      <c r="D27" s="59" t="inlineStr">
        <is>
          <t>欠陥24: 02_受付の不具合</t>
        </is>
      </c>
      <c r="E27" s="109" t="n">
        <v>46075</v>
      </c>
      <c r="F27" s="57" t="inlineStr">
        <is>
          <t>07_口振契約受付</t>
        </is>
      </c>
      <c r="G27" s="57" t="inlineStr">
        <is>
          <t>低</t>
        </is>
      </c>
      <c r="H27" s="57" t="inlineStr">
        <is>
          <t>低</t>
        </is>
      </c>
      <c r="I27" s="109" t="n">
        <v>46078</v>
      </c>
      <c r="J27" s="57" t="n"/>
      <c r="K27" s="57" t="inlineStr">
        <is>
          <t>情報共有不足</t>
        </is>
      </c>
      <c r="L27" s="57" t="inlineStr">
        <is>
          <t>ID</t>
        </is>
      </c>
      <c r="M27" s="57" t="inlineStr">
        <is>
          <t>ITb</t>
        </is>
      </c>
      <c r="N27" s="109" t="n">
        <v>46083</v>
      </c>
      <c r="O27" s="57" t="n"/>
      <c r="P27" s="57" t="inlineStr">
        <is>
          <t>無</t>
        </is>
      </c>
      <c r="Q27" s="59" t="inlineStr"/>
      <c r="R27" s="57" t="n"/>
      <c r="S27" s="57" t="n"/>
      <c r="T27" s="109" t="n">
        <v>46093</v>
      </c>
      <c r="U27" s="57" t="n"/>
      <c r="V27" s="57" t="n"/>
    </row>
    <row r="28">
      <c r="A28" s="57" t="inlineStr">
        <is>
          <t>オンライン</t>
        </is>
      </c>
      <c r="B28" s="57" t="inlineStr">
        <is>
          <t>DEF-オ-0025</t>
        </is>
      </c>
      <c r="C28" s="57" t="inlineStr">
        <is>
          <t>98:保留</t>
        </is>
      </c>
      <c r="D28" s="59" t="inlineStr">
        <is>
          <t>欠陥25: 01_委託者登録の不具合</t>
        </is>
      </c>
      <c r="E28" s="109" t="n">
        <v>46015</v>
      </c>
      <c r="F28" s="57" t="inlineStr">
        <is>
          <t>05_清算</t>
        </is>
      </c>
      <c r="G28" s="57" t="inlineStr">
        <is>
          <t>高</t>
        </is>
      </c>
      <c r="H28" s="57" t="inlineStr">
        <is>
          <t>中</t>
        </is>
      </c>
      <c r="I28" s="109" t="n">
        <v>46018</v>
      </c>
      <c r="J28" s="57" t="n"/>
      <c r="K28" s="57" t="inlineStr">
        <is>
          <t>技術力不足</t>
        </is>
      </c>
      <c r="L28" s="57" t="inlineStr">
        <is>
          <t>ID</t>
        </is>
      </c>
      <c r="M28" s="57" t="inlineStr">
        <is>
          <t>CT</t>
        </is>
      </c>
      <c r="N28" s="109" t="n">
        <v>46028</v>
      </c>
      <c r="O28" s="57" t="n"/>
      <c r="P28" s="57" t="inlineStr">
        <is>
          <t>有</t>
        </is>
      </c>
      <c r="Q28" s="59" t="inlineStr">
        <is>
          <t>03_請求</t>
        </is>
      </c>
      <c r="R28" s="109" t="n">
        <v>46032</v>
      </c>
      <c r="S28" s="57" t="n"/>
      <c r="T28" s="109" t="n">
        <v>46033</v>
      </c>
      <c r="U28" s="57" t="n"/>
      <c r="V28" s="57" t="n"/>
    </row>
    <row r="29">
      <c r="A29" s="57" t="inlineStr">
        <is>
          <t>オンライン</t>
        </is>
      </c>
      <c r="B29" s="57" t="inlineStr">
        <is>
          <t>DEF-オ-0026</t>
        </is>
      </c>
      <c r="C29" s="57" t="inlineStr">
        <is>
          <t>98:保留</t>
        </is>
      </c>
      <c r="D29" s="59" t="inlineStr">
        <is>
          <t>欠陥26: 06_受入準備の不具合</t>
        </is>
      </c>
      <c r="E29" s="109" t="n">
        <v>46085</v>
      </c>
      <c r="F29" s="57" t="inlineStr">
        <is>
          <t>03_請求</t>
        </is>
      </c>
      <c r="G29" s="57" t="inlineStr">
        <is>
          <t>中</t>
        </is>
      </c>
      <c r="H29" s="57" t="inlineStr">
        <is>
          <t>中</t>
        </is>
      </c>
      <c r="I29" s="109" t="n">
        <v>46088</v>
      </c>
      <c r="J29" s="57" t="n"/>
      <c r="K29" s="57" t="inlineStr">
        <is>
          <t>影響範囲調査不足</t>
        </is>
      </c>
      <c r="L29" s="57" t="inlineStr">
        <is>
          <t>非欠陥</t>
        </is>
      </c>
      <c r="M29" s="57" t="inlineStr">
        <is>
          <t>ITa</t>
        </is>
      </c>
      <c r="N29" s="109" t="n">
        <v>46097</v>
      </c>
      <c r="O29" s="57" t="n"/>
      <c r="P29" s="57" t="inlineStr">
        <is>
          <t>有</t>
        </is>
      </c>
      <c r="Q29" s="59" t="inlineStr">
        <is>
          <t>06_受入準備</t>
        </is>
      </c>
      <c r="R29" s="109" t="n">
        <v>46101</v>
      </c>
      <c r="S29" s="57" t="n"/>
      <c r="T29" s="109" t="n">
        <v>46106</v>
      </c>
      <c r="U29" s="57" t="n"/>
      <c r="V29" s="57" t="n"/>
    </row>
    <row r="30">
      <c r="A30" s="57" t="inlineStr">
        <is>
          <t>バッチ</t>
        </is>
      </c>
      <c r="B30" s="57" t="inlineStr">
        <is>
          <t>DEF-バ-0001</t>
        </is>
      </c>
      <c r="C30" s="57" t="inlineStr">
        <is>
          <t>05:完了</t>
        </is>
      </c>
      <c r="D30" s="59" t="inlineStr">
        <is>
          <t>欠陥1: 06_受入準備の不具合</t>
        </is>
      </c>
      <c r="E30" s="109" t="n">
        <v>46059</v>
      </c>
      <c r="F30" s="57" t="inlineStr">
        <is>
          <t>03_請求</t>
        </is>
      </c>
      <c r="G30" s="57" t="inlineStr">
        <is>
          <t>中</t>
        </is>
      </c>
      <c r="H30" s="57" t="inlineStr">
        <is>
          <t>低</t>
        </is>
      </c>
      <c r="I30" s="109" t="n">
        <v>46061</v>
      </c>
      <c r="J30" s="109" t="n">
        <v>46063</v>
      </c>
      <c r="K30" s="57" t="inlineStr">
        <is>
          <t>プロセス不備</t>
        </is>
      </c>
      <c r="L30" s="57" t="inlineStr">
        <is>
          <t>PD</t>
        </is>
      </c>
      <c r="M30" s="57" t="inlineStr">
        <is>
          <t>ITb</t>
        </is>
      </c>
      <c r="N30" s="109" t="n">
        <v>46069</v>
      </c>
      <c r="O30" s="109" t="n">
        <v>46072</v>
      </c>
      <c r="P30" s="57" t="inlineStr">
        <is>
          <t>有</t>
        </is>
      </c>
      <c r="Q30" s="59" t="inlineStr">
        <is>
          <t>07_口振契約受付</t>
        </is>
      </c>
      <c r="R30" s="109" t="n">
        <v>46073</v>
      </c>
      <c r="S30" s="57" t="n"/>
      <c r="T30" s="109" t="n">
        <v>46079</v>
      </c>
      <c r="U30" s="109" t="n">
        <v>46081</v>
      </c>
      <c r="V30" s="109" t="n">
        <v>46073</v>
      </c>
    </row>
    <row r="31">
      <c r="A31" s="57" t="inlineStr">
        <is>
          <t>バッチ</t>
        </is>
      </c>
      <c r="B31" s="57" t="inlineStr">
        <is>
          <t>DEF-バ-0002</t>
        </is>
      </c>
      <c r="C31" s="57" t="inlineStr">
        <is>
          <t>05:完了</t>
        </is>
      </c>
      <c r="D31" s="59" t="inlineStr">
        <is>
          <t>欠陥2: 20_移行の不具合</t>
        </is>
      </c>
      <c r="E31" s="109" t="n">
        <v>46044</v>
      </c>
      <c r="F31" s="57" t="inlineStr">
        <is>
          <t>30_運用</t>
        </is>
      </c>
      <c r="G31" s="57" t="inlineStr">
        <is>
          <t>低</t>
        </is>
      </c>
      <c r="H31" s="57" t="inlineStr">
        <is>
          <t>低</t>
        </is>
      </c>
      <c r="I31" s="109" t="n">
        <v>46046</v>
      </c>
      <c r="J31" s="109" t="n">
        <v>46048</v>
      </c>
      <c r="K31" s="57" t="inlineStr">
        <is>
          <t>非欠陥</t>
        </is>
      </c>
      <c r="L31" s="57" t="inlineStr">
        <is>
          <t>その他</t>
        </is>
      </c>
      <c r="M31" s="57" t="inlineStr">
        <is>
          <t>CT</t>
        </is>
      </c>
      <c r="N31" s="109" t="n">
        <v>46053</v>
      </c>
      <c r="O31" s="109" t="n">
        <v>46058</v>
      </c>
      <c r="P31" s="57" t="inlineStr">
        <is>
          <t>有</t>
        </is>
      </c>
      <c r="Q31" s="59" t="inlineStr">
        <is>
          <t>30_運用</t>
        </is>
      </c>
      <c r="R31" s="109" t="n">
        <v>46057</v>
      </c>
      <c r="S31" s="57" t="n"/>
      <c r="T31" s="109" t="n">
        <v>46061</v>
      </c>
      <c r="U31" s="109" t="n">
        <v>46062</v>
      </c>
      <c r="V31" s="109" t="n">
        <v>46062</v>
      </c>
    </row>
    <row r="32">
      <c r="A32" s="57" t="inlineStr">
        <is>
          <t>バッチ</t>
        </is>
      </c>
      <c r="B32" s="57" t="inlineStr">
        <is>
          <t>DEF-バ-0003</t>
        </is>
      </c>
      <c r="C32" s="57" t="inlineStr">
        <is>
          <t>05:完了</t>
        </is>
      </c>
      <c r="D32" s="59" t="inlineStr">
        <is>
          <t>欠陥3: 04_欠陥・返戻の不具合</t>
        </is>
      </c>
      <c r="E32" s="109" t="n">
        <v>46084</v>
      </c>
      <c r="F32" s="57" t="inlineStr">
        <is>
          <t>02_受付</t>
        </is>
      </c>
      <c r="G32" s="57" t="inlineStr">
        <is>
          <t>高</t>
        </is>
      </c>
      <c r="H32" s="57" t="inlineStr">
        <is>
          <t>中</t>
        </is>
      </c>
      <c r="I32" s="109" t="n">
        <v>46088</v>
      </c>
      <c r="J32" s="109" t="n">
        <v>46088</v>
      </c>
      <c r="K32" s="57" t="inlineStr">
        <is>
          <t>プロセス不備</t>
        </is>
      </c>
      <c r="L32" s="57" t="inlineStr">
        <is>
          <t>RD</t>
        </is>
      </c>
      <c r="M32" s="57" t="inlineStr">
        <is>
          <t>ST</t>
        </is>
      </c>
      <c r="N32" s="109" t="n">
        <v>46091</v>
      </c>
      <c r="O32" s="109" t="n">
        <v>46089</v>
      </c>
      <c r="P32" s="57" t="inlineStr">
        <is>
          <t>無</t>
        </is>
      </c>
      <c r="Q32" s="59" t="inlineStr"/>
      <c r="R32" s="57" t="n"/>
      <c r="S32" s="57" t="n"/>
      <c r="T32" s="109" t="n">
        <v>46100</v>
      </c>
      <c r="U32" s="109" t="n">
        <v>46103</v>
      </c>
      <c r="V32" s="109" t="n">
        <v>46092</v>
      </c>
    </row>
    <row r="33">
      <c r="A33" s="57" t="inlineStr">
        <is>
          <t>バッチ</t>
        </is>
      </c>
      <c r="B33" s="57" t="inlineStr">
        <is>
          <t>DEF-バ-0004</t>
        </is>
      </c>
      <c r="C33" s="57" t="inlineStr">
        <is>
          <t>05:完了</t>
        </is>
      </c>
      <c r="D33" s="59" t="inlineStr">
        <is>
          <t>欠陥4: 02_受付の不具合</t>
        </is>
      </c>
      <c r="E33" s="109" t="n">
        <v>46036</v>
      </c>
      <c r="F33" s="57" t="inlineStr">
        <is>
          <t>10_共通</t>
        </is>
      </c>
      <c r="G33" s="57" t="inlineStr">
        <is>
          <t>高</t>
        </is>
      </c>
      <c r="H33" s="57" t="inlineStr">
        <is>
          <t>中</t>
        </is>
      </c>
      <c r="I33" s="109" t="n">
        <v>46038</v>
      </c>
      <c r="J33" s="109" t="n">
        <v>46038</v>
      </c>
      <c r="K33" s="57" t="inlineStr">
        <is>
          <t>外的要因</t>
        </is>
      </c>
      <c r="L33" s="57" t="inlineStr">
        <is>
          <t>ED</t>
        </is>
      </c>
      <c r="M33" s="57" t="inlineStr">
        <is>
          <t>非欠陥</t>
        </is>
      </c>
      <c r="N33" s="109" t="n">
        <v>46047</v>
      </c>
      <c r="O33" s="109" t="n">
        <v>46045</v>
      </c>
      <c r="P33" s="57" t="inlineStr">
        <is>
          <t>無</t>
        </is>
      </c>
      <c r="Q33" s="59" t="inlineStr"/>
      <c r="R33" s="57" t="n"/>
      <c r="S33" s="57" t="n"/>
      <c r="T33" s="109" t="n">
        <v>46054</v>
      </c>
      <c r="U33" s="109" t="n">
        <v>46054</v>
      </c>
      <c r="V33" s="109" t="n">
        <v>46046</v>
      </c>
    </row>
    <row r="34">
      <c r="A34" s="57" t="inlineStr">
        <is>
          <t>バッチ</t>
        </is>
      </c>
      <c r="B34" s="57" t="inlineStr">
        <is>
          <t>DEF-バ-0005</t>
        </is>
      </c>
      <c r="C34" s="57" t="inlineStr">
        <is>
          <t>05:完了</t>
        </is>
      </c>
      <c r="D34" s="59" t="inlineStr">
        <is>
          <t>欠陥5: 01_委託者登録の不具合</t>
        </is>
      </c>
      <c r="E34" s="109" t="n">
        <v>46082</v>
      </c>
      <c r="F34" s="57" t="inlineStr">
        <is>
          <t>02_受付</t>
        </is>
      </c>
      <c r="G34" s="57" t="inlineStr">
        <is>
          <t>中</t>
        </is>
      </c>
      <c r="H34" s="57" t="inlineStr">
        <is>
          <t>中</t>
        </is>
      </c>
      <c r="I34" s="109" t="n">
        <v>46083</v>
      </c>
      <c r="J34" s="109" t="n">
        <v>46085</v>
      </c>
      <c r="K34" s="57" t="inlineStr">
        <is>
          <t>プロセス不備</t>
        </is>
      </c>
      <c r="L34" s="57" t="inlineStr">
        <is>
          <t>RD</t>
        </is>
      </c>
      <c r="M34" s="57" t="inlineStr">
        <is>
          <t>CT</t>
        </is>
      </c>
      <c r="N34" s="109" t="n">
        <v>46088</v>
      </c>
      <c r="O34" s="109" t="n">
        <v>46090</v>
      </c>
      <c r="P34" s="57" t="inlineStr">
        <is>
          <t>無</t>
        </is>
      </c>
      <c r="Q34" s="59" t="inlineStr"/>
      <c r="R34" s="57" t="n"/>
      <c r="S34" s="57" t="n"/>
      <c r="T34" s="109" t="n">
        <v>46099</v>
      </c>
      <c r="U34" s="109" t="n">
        <v>46099</v>
      </c>
      <c r="V34" s="109" t="n">
        <v>46092</v>
      </c>
    </row>
    <row r="35">
      <c r="A35" s="57" t="inlineStr">
        <is>
          <t>バッチ</t>
        </is>
      </c>
      <c r="B35" s="57" t="inlineStr">
        <is>
          <t>DEF-バ-0006</t>
        </is>
      </c>
      <c r="C35" s="57" t="inlineStr">
        <is>
          <t>04:検証中</t>
        </is>
      </c>
      <c r="D35" s="59" t="inlineStr">
        <is>
          <t>欠陥6: 08_事務支(変更通知)の不具合</t>
        </is>
      </c>
      <c r="E35" s="109" t="n">
        <v>46030</v>
      </c>
      <c r="F35" s="57" t="inlineStr">
        <is>
          <t>08_事務支(変更通知)</t>
        </is>
      </c>
      <c r="G35" s="57" t="inlineStr">
        <is>
          <t>高</t>
        </is>
      </c>
      <c r="H35" s="57" t="inlineStr">
        <is>
          <t>高</t>
        </is>
      </c>
      <c r="I35" s="109" t="n">
        <v>46035</v>
      </c>
      <c r="J35" s="109" t="n">
        <v>46035</v>
      </c>
      <c r="K35" s="57" t="inlineStr">
        <is>
          <t>考慮不足</t>
        </is>
      </c>
      <c r="L35" s="57" t="inlineStr">
        <is>
          <t>RD</t>
        </is>
      </c>
      <c r="M35" s="57" t="inlineStr">
        <is>
          <t>ITa</t>
        </is>
      </c>
      <c r="N35" s="109" t="n">
        <v>46038</v>
      </c>
      <c r="O35" s="109" t="n">
        <v>46042</v>
      </c>
      <c r="P35" s="57" t="inlineStr">
        <is>
          <t>無</t>
        </is>
      </c>
      <c r="Q35" s="59" t="inlineStr"/>
      <c r="R35" s="57" t="n"/>
      <c r="S35" s="57" t="n"/>
      <c r="T35" s="109" t="n">
        <v>46043</v>
      </c>
      <c r="U35" s="57" t="n"/>
      <c r="V35" s="57" t="n"/>
    </row>
    <row r="36">
      <c r="A36" s="57" t="inlineStr">
        <is>
          <t>バッチ</t>
        </is>
      </c>
      <c r="B36" s="57" t="inlineStr">
        <is>
          <t>DEF-バ-0007</t>
        </is>
      </c>
      <c r="C36" s="57" t="inlineStr">
        <is>
          <t>04:検証中</t>
        </is>
      </c>
      <c r="D36" s="59" t="inlineStr">
        <is>
          <t>欠陥7: 01_委託者登録の不具合</t>
        </is>
      </c>
      <c r="E36" s="109" t="n">
        <v>46069</v>
      </c>
      <c r="F36" s="57" t="inlineStr">
        <is>
          <t>40_基盤</t>
        </is>
      </c>
      <c r="G36" s="57" t="inlineStr">
        <is>
          <t>中</t>
        </is>
      </c>
      <c r="H36" s="57" t="inlineStr">
        <is>
          <t>高</t>
        </is>
      </c>
      <c r="I36" s="109" t="n">
        <v>46070</v>
      </c>
      <c r="J36" s="109" t="n">
        <v>46071</v>
      </c>
      <c r="K36" s="57" t="inlineStr">
        <is>
          <t>注意不足</t>
        </is>
      </c>
      <c r="L36" s="57" t="inlineStr">
        <is>
          <t>その他</t>
        </is>
      </c>
      <c r="M36" s="57" t="inlineStr">
        <is>
          <t>非欠陥</t>
        </is>
      </c>
      <c r="N36" s="109" t="n">
        <v>46075</v>
      </c>
      <c r="O36" s="109" t="n">
        <v>46079</v>
      </c>
      <c r="P36" s="57" t="inlineStr">
        <is>
          <t>有</t>
        </is>
      </c>
      <c r="Q36" s="59" t="inlineStr">
        <is>
          <t>01_委託者登録</t>
        </is>
      </c>
      <c r="R36" s="109" t="n">
        <v>46078</v>
      </c>
      <c r="S36" s="57" t="n"/>
      <c r="T36" s="109" t="n">
        <v>46086</v>
      </c>
      <c r="U36" s="57" t="n"/>
      <c r="V36" s="57" t="n"/>
    </row>
    <row r="37">
      <c r="A37" s="57" t="inlineStr">
        <is>
          <t>バッチ</t>
        </is>
      </c>
      <c r="B37" s="57" t="inlineStr">
        <is>
          <t>DEF-バ-0008</t>
        </is>
      </c>
      <c r="C37" s="57" t="inlineStr">
        <is>
          <t>04:検証中</t>
        </is>
      </c>
      <c r="D37" s="59" t="inlineStr">
        <is>
          <t>欠陥8: 01_委託者登録の不具合</t>
        </is>
      </c>
      <c r="E37" s="109" t="n">
        <v>46024</v>
      </c>
      <c r="F37" s="57" t="inlineStr">
        <is>
          <t>01_委託者登録</t>
        </is>
      </c>
      <c r="G37" s="57" t="inlineStr">
        <is>
          <t>中</t>
        </is>
      </c>
      <c r="H37" s="57" t="inlineStr">
        <is>
          <t>中</t>
        </is>
      </c>
      <c r="I37" s="109" t="n">
        <v>46029</v>
      </c>
      <c r="J37" s="109" t="n">
        <v>46030</v>
      </c>
      <c r="K37" s="57" t="inlineStr">
        <is>
          <t>考慮不足</t>
        </is>
      </c>
      <c r="L37" s="57" t="inlineStr">
        <is>
          <t>PD</t>
        </is>
      </c>
      <c r="M37" s="57" t="inlineStr">
        <is>
          <t>ITa</t>
        </is>
      </c>
      <c r="N37" s="109" t="n">
        <v>46037</v>
      </c>
      <c r="O37" s="109" t="n">
        <v>46038</v>
      </c>
      <c r="P37" s="57" t="inlineStr">
        <is>
          <t>無</t>
        </is>
      </c>
      <c r="Q37" s="59" t="inlineStr"/>
      <c r="R37" s="57" t="n"/>
      <c r="S37" s="57" t="n"/>
      <c r="T37" s="109" t="n">
        <v>46048</v>
      </c>
      <c r="U37" s="57" t="n"/>
      <c r="V37" s="57" t="n"/>
    </row>
    <row r="38">
      <c r="A38" s="57" t="inlineStr">
        <is>
          <t>バッチ</t>
        </is>
      </c>
      <c r="B38" s="57" t="inlineStr">
        <is>
          <t>DEF-バ-0009</t>
        </is>
      </c>
      <c r="C38" s="57" t="inlineStr">
        <is>
          <t>03:対応中</t>
        </is>
      </c>
      <c r="D38" s="59" t="inlineStr">
        <is>
          <t>欠陥9: 03_請求の不具合</t>
        </is>
      </c>
      <c r="E38" s="109" t="n">
        <v>46058</v>
      </c>
      <c r="F38" s="57" t="inlineStr">
        <is>
          <t>20_移行</t>
        </is>
      </c>
      <c r="G38" s="57" t="inlineStr">
        <is>
          <t>低</t>
        </is>
      </c>
      <c r="H38" s="57" t="inlineStr">
        <is>
          <t>低</t>
        </is>
      </c>
      <c r="I38" s="109" t="n">
        <v>46063</v>
      </c>
      <c r="J38" s="109" t="n">
        <v>46062</v>
      </c>
      <c r="K38" s="57" t="inlineStr">
        <is>
          <t>未知</t>
        </is>
      </c>
      <c r="L38" s="57" t="inlineStr">
        <is>
          <t>RD</t>
        </is>
      </c>
      <c r="M38" s="57" t="inlineStr">
        <is>
          <t>非欠陥</t>
        </is>
      </c>
      <c r="N38" s="109" t="n">
        <v>46071</v>
      </c>
      <c r="O38" s="57" t="n"/>
      <c r="P38" s="57" t="inlineStr">
        <is>
          <t>無</t>
        </is>
      </c>
      <c r="Q38" s="59" t="inlineStr"/>
      <c r="R38" s="57" t="n"/>
      <c r="S38" s="57" t="n"/>
      <c r="T38" s="109" t="n">
        <v>46080</v>
      </c>
      <c r="U38" s="57" t="n"/>
      <c r="V38" s="57" t="n"/>
    </row>
    <row r="39">
      <c r="A39" s="57" t="inlineStr">
        <is>
          <t>バッチ</t>
        </is>
      </c>
      <c r="B39" s="57" t="inlineStr">
        <is>
          <t>DEF-バ-0010</t>
        </is>
      </c>
      <c r="C39" s="57" t="inlineStr">
        <is>
          <t>03:対応中</t>
        </is>
      </c>
      <c r="D39" s="59" t="inlineStr">
        <is>
          <t>欠陥10: 07_口振契約受付の不具合</t>
        </is>
      </c>
      <c r="E39" s="109" t="n">
        <v>46058</v>
      </c>
      <c r="F39" s="57" t="inlineStr">
        <is>
          <t>20_移行</t>
        </is>
      </c>
      <c r="G39" s="57" t="inlineStr">
        <is>
          <t>高</t>
        </is>
      </c>
      <c r="H39" s="57" t="inlineStr">
        <is>
          <t>低</t>
        </is>
      </c>
      <c r="I39" s="109" t="n">
        <v>46087</v>
      </c>
      <c r="J39" s="109" t="n">
        <v>46090</v>
      </c>
      <c r="K39" s="57" t="inlineStr">
        <is>
          <t>非欠陥</t>
        </is>
      </c>
      <c r="L39" s="57" t="inlineStr">
        <is>
          <t>PD</t>
        </is>
      </c>
      <c r="M39" s="57" t="inlineStr">
        <is>
          <t>ITb</t>
        </is>
      </c>
      <c r="N39" s="109" t="n">
        <v>46097</v>
      </c>
      <c r="O39" s="57" t="n"/>
      <c r="P39" s="57" t="inlineStr">
        <is>
          <t>有</t>
        </is>
      </c>
      <c r="Q39" s="59" t="inlineStr">
        <is>
          <t>05_清算</t>
        </is>
      </c>
      <c r="R39" s="109" t="n">
        <v>46104</v>
      </c>
      <c r="S39" s="57" t="n"/>
      <c r="T39" s="109" t="n">
        <v>46109</v>
      </c>
      <c r="U39" s="57" t="n"/>
      <c r="V39" s="57" t="n"/>
    </row>
    <row r="40">
      <c r="A40" s="57" t="inlineStr">
        <is>
          <t>バッチ</t>
        </is>
      </c>
      <c r="B40" s="57" t="inlineStr">
        <is>
          <t>DEF-バ-0011</t>
        </is>
      </c>
      <c r="C40" s="57" t="inlineStr">
        <is>
          <t>03:対応中</t>
        </is>
      </c>
      <c r="D40" s="59" t="inlineStr">
        <is>
          <t>欠陥11: 06_受入準備の不具合</t>
        </is>
      </c>
      <c r="E40" s="109" t="n">
        <v>46034</v>
      </c>
      <c r="F40" s="57" t="inlineStr">
        <is>
          <t>40_基盤</t>
        </is>
      </c>
      <c r="G40" s="57" t="inlineStr">
        <is>
          <t>中</t>
        </is>
      </c>
      <c r="H40" s="57" t="inlineStr">
        <is>
          <t>高</t>
        </is>
      </c>
      <c r="I40" s="109" t="n">
        <v>46035</v>
      </c>
      <c r="J40" s="109" t="n">
        <v>46038</v>
      </c>
      <c r="K40" s="57" t="inlineStr">
        <is>
          <t>非欠陥</t>
        </is>
      </c>
      <c r="L40" s="57" t="inlineStr">
        <is>
          <t>RD</t>
        </is>
      </c>
      <c r="M40" s="57" t="inlineStr">
        <is>
          <t>ST</t>
        </is>
      </c>
      <c r="N40" s="109" t="n">
        <v>46081</v>
      </c>
      <c r="O40" s="57" t="n"/>
      <c r="P40" s="57" t="inlineStr">
        <is>
          <t>無</t>
        </is>
      </c>
      <c r="Q40" s="59" t="inlineStr"/>
      <c r="R40" s="57" t="n"/>
      <c r="S40" s="57" t="n"/>
      <c r="T40" s="109" t="n">
        <v>46053</v>
      </c>
      <c r="U40" s="57" t="n"/>
      <c r="V40" s="57" t="n"/>
    </row>
    <row r="41">
      <c r="A41" s="57" t="inlineStr">
        <is>
          <t>バッチ</t>
        </is>
      </c>
      <c r="B41" s="57" t="inlineStr">
        <is>
          <t>DEF-バ-0012</t>
        </is>
      </c>
      <c r="C41" s="57" t="inlineStr">
        <is>
          <t>02:調査中</t>
        </is>
      </c>
      <c r="D41" s="59" t="inlineStr">
        <is>
          <t>欠陥12: 02_受付の不具合</t>
        </is>
      </c>
      <c r="E41" s="109" t="n">
        <v>46017</v>
      </c>
      <c r="F41" s="57" t="inlineStr">
        <is>
          <t>20_移行</t>
        </is>
      </c>
      <c r="G41" s="57" t="inlineStr">
        <is>
          <t>低</t>
        </is>
      </c>
      <c r="H41" s="57" t="inlineStr">
        <is>
          <t>高</t>
        </is>
      </c>
      <c r="I41" s="109" t="n">
        <v>46018</v>
      </c>
      <c r="J41" s="57" t="n"/>
      <c r="K41" s="57" t="inlineStr">
        <is>
          <t>プロセス不備</t>
        </is>
      </c>
      <c r="L41" s="57" t="inlineStr">
        <is>
          <t>ID</t>
        </is>
      </c>
      <c r="M41" s="57" t="inlineStr">
        <is>
          <t>ITa</t>
        </is>
      </c>
      <c r="N41" s="109" t="n">
        <v>46027</v>
      </c>
      <c r="O41" s="57" t="n"/>
      <c r="P41" s="57" t="inlineStr">
        <is>
          <t>無</t>
        </is>
      </c>
      <c r="Q41" s="59" t="inlineStr"/>
      <c r="R41" s="57" t="n"/>
      <c r="S41" s="57" t="n"/>
      <c r="T41" s="109" t="n">
        <v>46036</v>
      </c>
      <c r="U41" s="57" t="n"/>
      <c r="V41" s="57" t="n"/>
    </row>
    <row r="42">
      <c r="A42" s="57" t="inlineStr">
        <is>
          <t>バッチ</t>
        </is>
      </c>
      <c r="B42" s="57" t="inlineStr">
        <is>
          <t>DEF-バ-0013</t>
        </is>
      </c>
      <c r="C42" s="57" t="inlineStr">
        <is>
          <t>02:調査中</t>
        </is>
      </c>
      <c r="D42" s="59" t="inlineStr">
        <is>
          <t>欠陥13: 05_清算の不具合</t>
        </is>
      </c>
      <c r="E42" s="109" t="n">
        <v>46001</v>
      </c>
      <c r="F42" s="57" t="inlineStr">
        <is>
          <t>03_請求</t>
        </is>
      </c>
      <c r="G42" s="57" t="inlineStr">
        <is>
          <t>低</t>
        </is>
      </c>
      <c r="H42" s="57" t="inlineStr">
        <is>
          <t>高</t>
        </is>
      </c>
      <c r="I42" s="109" t="n">
        <v>46004</v>
      </c>
      <c r="J42" s="57" t="n"/>
      <c r="K42" s="57" t="inlineStr">
        <is>
          <t>技術力不足</t>
        </is>
      </c>
      <c r="L42" s="57" t="inlineStr">
        <is>
          <t>非欠陥</t>
        </is>
      </c>
      <c r="M42" s="57" t="inlineStr">
        <is>
          <t>ITa</t>
        </is>
      </c>
      <c r="N42" s="109" t="n">
        <v>46010</v>
      </c>
      <c r="O42" s="57" t="n"/>
      <c r="P42" s="57" t="inlineStr">
        <is>
          <t>無</t>
        </is>
      </c>
      <c r="Q42" s="59" t="inlineStr"/>
      <c r="R42" s="57" t="n"/>
      <c r="S42" s="57" t="n"/>
      <c r="T42" s="109" t="n">
        <v>46023</v>
      </c>
      <c r="U42" s="57" t="n"/>
      <c r="V42" s="57" t="n"/>
    </row>
    <row r="43">
      <c r="A43" s="57" t="inlineStr">
        <is>
          <t>バッチ</t>
        </is>
      </c>
      <c r="B43" s="57" t="inlineStr">
        <is>
          <t>DEF-バ-0014</t>
        </is>
      </c>
      <c r="C43" s="57" t="inlineStr">
        <is>
          <t>01:未着手</t>
        </is>
      </c>
      <c r="D43" s="59" t="inlineStr">
        <is>
          <t>欠陥14: 20_移行の不具合</t>
        </is>
      </c>
      <c r="E43" s="109" t="n">
        <v>46050</v>
      </c>
      <c r="F43" s="57" t="inlineStr">
        <is>
          <t>07_口振契約受付</t>
        </is>
      </c>
      <c r="G43" s="57" t="inlineStr">
        <is>
          <t>高</t>
        </is>
      </c>
      <c r="H43" s="57" t="inlineStr">
        <is>
          <t>高</t>
        </is>
      </c>
      <c r="I43" s="109" t="n">
        <v>46054</v>
      </c>
      <c r="J43" s="57" t="n"/>
      <c r="K43" s="57" t="inlineStr">
        <is>
          <t>技術力不足</t>
        </is>
      </c>
      <c r="L43" s="57" t="inlineStr">
        <is>
          <t>ID</t>
        </is>
      </c>
      <c r="M43" s="57" t="inlineStr">
        <is>
          <t>CT</t>
        </is>
      </c>
      <c r="N43" s="109" t="n">
        <v>46059</v>
      </c>
      <c r="O43" s="57" t="n"/>
      <c r="P43" s="57" t="inlineStr">
        <is>
          <t>無</t>
        </is>
      </c>
      <c r="Q43" s="59" t="inlineStr"/>
      <c r="R43" s="57" t="n"/>
      <c r="S43" s="57" t="n"/>
      <c r="T43" s="109" t="n">
        <v>46069</v>
      </c>
      <c r="U43" s="57" t="n"/>
      <c r="V43" s="57" t="n"/>
    </row>
    <row r="44">
      <c r="A44" s="57" t="inlineStr">
        <is>
          <t>バッチ</t>
        </is>
      </c>
      <c r="B44" s="57" t="inlineStr">
        <is>
          <t>DEF-バ-0015</t>
        </is>
      </c>
      <c r="C44" s="57" t="inlineStr">
        <is>
          <t>01:未着手</t>
        </is>
      </c>
      <c r="D44" s="59" t="inlineStr">
        <is>
          <t>欠陥15: 07_口振契約受付の不具合</t>
        </is>
      </c>
      <c r="E44" s="109" t="n">
        <v>46040</v>
      </c>
      <c r="F44" s="57" t="inlineStr">
        <is>
          <t>40_基盤</t>
        </is>
      </c>
      <c r="G44" s="57" t="inlineStr">
        <is>
          <t>中</t>
        </is>
      </c>
      <c r="H44" s="57" t="inlineStr">
        <is>
          <t>高</t>
        </is>
      </c>
      <c r="I44" s="109" t="n">
        <v>46042</v>
      </c>
      <c r="J44" s="57" t="n"/>
      <c r="K44" s="57" t="inlineStr">
        <is>
          <t>考慮不足</t>
        </is>
      </c>
      <c r="L44" s="57" t="inlineStr">
        <is>
          <t>PD</t>
        </is>
      </c>
      <c r="M44" s="57" t="inlineStr">
        <is>
          <t>非欠陥</t>
        </is>
      </c>
      <c r="N44" s="109" t="n">
        <v>46049</v>
      </c>
      <c r="O44" s="57" t="n"/>
      <c r="P44" s="57" t="inlineStr">
        <is>
          <t>有</t>
        </is>
      </c>
      <c r="Q44" s="59" t="inlineStr">
        <is>
          <t>02_受付</t>
        </is>
      </c>
      <c r="R44" s="109" t="n">
        <v>46052</v>
      </c>
      <c r="S44" s="57" t="n"/>
      <c r="T44" s="109" t="n">
        <v>46063</v>
      </c>
      <c r="U44" s="57" t="n"/>
      <c r="V44" s="57" t="n"/>
    </row>
    <row r="45">
      <c r="A45" s="57" t="inlineStr">
        <is>
          <t>バッチ</t>
        </is>
      </c>
      <c r="B45" s="57" t="inlineStr">
        <is>
          <t>DEF-バ-0016</t>
        </is>
      </c>
      <c r="C45" s="57" t="inlineStr">
        <is>
          <t>98:保留</t>
        </is>
      </c>
      <c r="D45" s="59" t="inlineStr">
        <is>
          <t>欠陥16: 04_欠陥・返戻の不具合</t>
        </is>
      </c>
      <c r="E45" s="109" t="n">
        <v>46074</v>
      </c>
      <c r="F45" s="57" t="inlineStr">
        <is>
          <t>02_受付</t>
        </is>
      </c>
      <c r="G45" s="57" t="inlineStr">
        <is>
          <t>低</t>
        </is>
      </c>
      <c r="H45" s="57" t="inlineStr">
        <is>
          <t>中</t>
        </is>
      </c>
      <c r="I45" s="109" t="n">
        <v>46079</v>
      </c>
      <c r="J45" s="57" t="n"/>
      <c r="K45" s="57" t="inlineStr">
        <is>
          <t>非欠陥</t>
        </is>
      </c>
      <c r="L45" s="57" t="inlineStr">
        <is>
          <t>RD</t>
        </is>
      </c>
      <c r="M45" s="57" t="inlineStr">
        <is>
          <t>ITb</t>
        </is>
      </c>
      <c r="N45" s="109" t="n">
        <v>46086</v>
      </c>
      <c r="O45" s="57" t="n"/>
      <c r="P45" s="57" t="inlineStr">
        <is>
          <t>無</t>
        </is>
      </c>
      <c r="Q45" s="59" t="inlineStr"/>
      <c r="R45" s="57" t="n"/>
      <c r="S45" s="57" t="n"/>
      <c r="T45" s="109" t="n">
        <v>46097</v>
      </c>
      <c r="U45" s="57" t="n"/>
      <c r="V45" s="57" t="n"/>
    </row>
    <row r="46">
      <c r="A46" s="57" t="inlineStr">
        <is>
          <t>バッチ</t>
        </is>
      </c>
      <c r="B46" s="57" t="inlineStr">
        <is>
          <t>DEF-バ-0017</t>
        </is>
      </c>
      <c r="C46" s="57" t="inlineStr">
        <is>
          <t>98:保留</t>
        </is>
      </c>
      <c r="D46" s="59" t="inlineStr">
        <is>
          <t>欠陥17: 03_請求の不具合</t>
        </is>
      </c>
      <c r="E46" s="109" t="n">
        <v>46051</v>
      </c>
      <c r="F46" s="57" t="inlineStr">
        <is>
          <t>07_口振契約受付</t>
        </is>
      </c>
      <c r="G46" s="57" t="inlineStr">
        <is>
          <t>低</t>
        </is>
      </c>
      <c r="H46" s="57" t="inlineStr">
        <is>
          <t>低</t>
        </is>
      </c>
      <c r="I46" s="109" t="n">
        <v>46052</v>
      </c>
      <c r="J46" s="57" t="n"/>
      <c r="K46" s="57" t="inlineStr">
        <is>
          <t>注意不足</t>
        </is>
      </c>
      <c r="L46" s="57" t="inlineStr">
        <is>
          <t>その他</t>
        </is>
      </c>
      <c r="M46" s="57" t="inlineStr">
        <is>
          <t>CT</t>
        </is>
      </c>
      <c r="N46" s="109" t="n">
        <v>46059</v>
      </c>
      <c r="O46" s="57" t="n"/>
      <c r="P46" s="57" t="inlineStr">
        <is>
          <t>有</t>
        </is>
      </c>
      <c r="Q46" s="59" t="inlineStr">
        <is>
          <t>05_清算</t>
        </is>
      </c>
      <c r="R46" s="109" t="n">
        <v>46064</v>
      </c>
      <c r="S46" s="57" t="n"/>
      <c r="T46" s="109" t="n">
        <v>46073</v>
      </c>
      <c r="U46" s="57" t="n"/>
      <c r="V46" s="57" t="n"/>
    </row>
    <row r="47">
      <c r="A47" s="57" t="inlineStr">
        <is>
          <t>基盤</t>
        </is>
      </c>
      <c r="B47" s="57" t="inlineStr">
        <is>
          <t>DEF-基-0001</t>
        </is>
      </c>
      <c r="C47" s="57" t="inlineStr">
        <is>
          <t>05:完了</t>
        </is>
      </c>
      <c r="D47" s="59" t="inlineStr">
        <is>
          <t>欠陥1: 02_受付の不具合</t>
        </is>
      </c>
      <c r="E47" s="109" t="n">
        <v>46022</v>
      </c>
      <c r="F47" s="57" t="inlineStr">
        <is>
          <t>07_口振契約受付</t>
        </is>
      </c>
      <c r="G47" s="57" t="inlineStr">
        <is>
          <t>高</t>
        </is>
      </c>
      <c r="H47" s="57" t="inlineStr">
        <is>
          <t>低</t>
        </is>
      </c>
      <c r="I47" s="109" t="n">
        <v>46027</v>
      </c>
      <c r="J47" s="109" t="n">
        <v>46030</v>
      </c>
      <c r="K47" s="57" t="inlineStr">
        <is>
          <t>プロセス不備</t>
        </is>
      </c>
      <c r="L47" s="57" t="inlineStr">
        <is>
          <t>非欠陥</t>
        </is>
      </c>
      <c r="M47" s="57" t="inlineStr">
        <is>
          <t>非欠陥</t>
        </is>
      </c>
      <c r="N47" s="109" t="n">
        <v>46033</v>
      </c>
      <c r="O47" s="109" t="n">
        <v>46033</v>
      </c>
      <c r="P47" s="57" t="inlineStr">
        <is>
          <t>無</t>
        </is>
      </c>
      <c r="Q47" s="59" t="inlineStr"/>
      <c r="R47" s="57" t="n"/>
      <c r="S47" s="57" t="n"/>
      <c r="T47" s="109" t="n">
        <v>46042</v>
      </c>
      <c r="U47" s="109" t="n">
        <v>46044</v>
      </c>
      <c r="V47" s="109" t="n">
        <v>46034</v>
      </c>
    </row>
    <row r="48">
      <c r="A48" s="57" t="inlineStr">
        <is>
          <t>基盤</t>
        </is>
      </c>
      <c r="B48" s="57" t="inlineStr">
        <is>
          <t>DEF-基-0002</t>
        </is>
      </c>
      <c r="C48" s="57" t="inlineStr">
        <is>
          <t>05:完了</t>
        </is>
      </c>
      <c r="D48" s="59" t="inlineStr">
        <is>
          <t>欠陥2: 02_受付の不具合</t>
        </is>
      </c>
      <c r="E48" s="109" t="n">
        <v>46062</v>
      </c>
      <c r="F48" s="57" t="inlineStr">
        <is>
          <t>03_請求</t>
        </is>
      </c>
      <c r="G48" s="57" t="inlineStr">
        <is>
          <t>高</t>
        </is>
      </c>
      <c r="H48" s="57" t="inlineStr">
        <is>
          <t>低</t>
        </is>
      </c>
      <c r="I48" s="109" t="n">
        <v>46064</v>
      </c>
      <c r="J48" s="109" t="n">
        <v>46065</v>
      </c>
      <c r="K48" s="57" t="inlineStr">
        <is>
          <t>プロセス不備</t>
        </is>
      </c>
      <c r="L48" s="57" t="inlineStr">
        <is>
          <t>非欠陥</t>
        </is>
      </c>
      <c r="M48" s="57" t="inlineStr">
        <is>
          <t>非欠陥</t>
        </is>
      </c>
      <c r="N48" s="109" t="n">
        <v>46074</v>
      </c>
      <c r="O48" s="109" t="n">
        <v>46072</v>
      </c>
      <c r="P48" s="57" t="inlineStr">
        <is>
          <t>無</t>
        </is>
      </c>
      <c r="Q48" s="59" t="inlineStr"/>
      <c r="R48" s="57" t="n"/>
      <c r="S48" s="57" t="n"/>
      <c r="T48" s="109" t="n">
        <v>46081</v>
      </c>
      <c r="U48" s="109" t="n">
        <v>46083</v>
      </c>
      <c r="V48" s="109" t="n">
        <v>46077</v>
      </c>
    </row>
    <row r="49">
      <c r="A49" s="57" t="inlineStr">
        <is>
          <t>基盤</t>
        </is>
      </c>
      <c r="B49" s="57" t="inlineStr">
        <is>
          <t>DEF-基-0003</t>
        </is>
      </c>
      <c r="C49" s="57" t="inlineStr">
        <is>
          <t>05:完了</t>
        </is>
      </c>
      <c r="D49" s="59" t="inlineStr">
        <is>
          <t>欠陥3: 20_移行の不具合</t>
        </is>
      </c>
      <c r="E49" s="109" t="n">
        <v>46028</v>
      </c>
      <c r="F49" s="57" t="inlineStr">
        <is>
          <t>09_事務支(その他)</t>
        </is>
      </c>
      <c r="G49" s="57" t="inlineStr">
        <is>
          <t>中</t>
        </is>
      </c>
      <c r="H49" s="57" t="inlineStr">
        <is>
          <t>低</t>
        </is>
      </c>
      <c r="I49" s="109" t="n">
        <v>46032</v>
      </c>
      <c r="J49" s="109" t="n">
        <v>46035</v>
      </c>
      <c r="K49" s="57" t="inlineStr">
        <is>
          <t>技術力不足</t>
        </is>
      </c>
      <c r="L49" s="57" t="inlineStr">
        <is>
          <t>ED</t>
        </is>
      </c>
      <c r="M49" s="57" t="inlineStr">
        <is>
          <t>ITa</t>
        </is>
      </c>
      <c r="N49" s="109" t="n">
        <v>46037</v>
      </c>
      <c r="O49" s="109" t="n">
        <v>46038</v>
      </c>
      <c r="P49" s="57" t="inlineStr">
        <is>
          <t>有</t>
        </is>
      </c>
      <c r="Q49" s="59" t="inlineStr">
        <is>
          <t>05_清算</t>
        </is>
      </c>
      <c r="R49" s="109" t="n">
        <v>46041</v>
      </c>
      <c r="S49" s="109" t="n">
        <v>46044</v>
      </c>
      <c r="T49" s="109" t="n">
        <v>46051</v>
      </c>
      <c r="U49" s="109" t="n">
        <v>46051</v>
      </c>
      <c r="V49" s="109" t="n">
        <v>46043</v>
      </c>
    </row>
    <row r="50">
      <c r="A50" s="57" t="inlineStr">
        <is>
          <t>基盤</t>
        </is>
      </c>
      <c r="B50" s="57" t="inlineStr">
        <is>
          <t>DEF-基-0004</t>
        </is>
      </c>
      <c r="C50" s="57" t="inlineStr">
        <is>
          <t>05:完了</t>
        </is>
      </c>
      <c r="D50" s="59" t="inlineStr">
        <is>
          <t>欠陥4: 05_清算の不具合</t>
        </is>
      </c>
      <c r="E50" s="109" t="n">
        <v>46017</v>
      </c>
      <c r="F50" s="57" t="inlineStr">
        <is>
          <t>07_口振契約受付</t>
        </is>
      </c>
      <c r="G50" s="57" t="inlineStr">
        <is>
          <t>中</t>
        </is>
      </c>
      <c r="H50" s="57" t="inlineStr">
        <is>
          <t>高</t>
        </is>
      </c>
      <c r="I50" s="109" t="n">
        <v>46020</v>
      </c>
      <c r="J50" s="109" t="n">
        <v>46022</v>
      </c>
      <c r="K50" s="57" t="inlineStr">
        <is>
          <t>プロセス不備</t>
        </is>
      </c>
      <c r="L50" s="57" t="inlineStr">
        <is>
          <t>PD</t>
        </is>
      </c>
      <c r="M50" s="57" t="inlineStr">
        <is>
          <t>CT</t>
        </is>
      </c>
      <c r="N50" s="109" t="n">
        <v>46024</v>
      </c>
      <c r="O50" s="109" t="n">
        <v>46023</v>
      </c>
      <c r="P50" s="57" t="inlineStr">
        <is>
          <t>無</t>
        </is>
      </c>
      <c r="Q50" s="59" t="inlineStr"/>
      <c r="R50" s="57" t="n"/>
      <c r="S50" s="57" t="n"/>
      <c r="T50" s="109" t="n">
        <v>46029</v>
      </c>
      <c r="U50" s="109" t="n">
        <v>46030</v>
      </c>
      <c r="V50" s="109" t="n">
        <v>46024</v>
      </c>
    </row>
    <row r="51">
      <c r="A51" s="57" t="inlineStr">
        <is>
          <t>基盤</t>
        </is>
      </c>
      <c r="B51" s="57" t="inlineStr">
        <is>
          <t>DEF-基-0005</t>
        </is>
      </c>
      <c r="C51" s="57" t="inlineStr">
        <is>
          <t>04:検証中</t>
        </is>
      </c>
      <c r="D51" s="59" t="inlineStr">
        <is>
          <t>欠陥5: 10_共通の不具合</t>
        </is>
      </c>
      <c r="E51" s="109" t="n">
        <v>46016</v>
      </c>
      <c r="F51" s="57" t="inlineStr">
        <is>
          <t>07_口振契約受付</t>
        </is>
      </c>
      <c r="G51" s="57" t="inlineStr">
        <is>
          <t>中</t>
        </is>
      </c>
      <c r="H51" s="57" t="inlineStr">
        <is>
          <t>中</t>
        </is>
      </c>
      <c r="I51" s="109" t="n">
        <v>46019</v>
      </c>
      <c r="J51" s="109" t="n">
        <v>46021</v>
      </c>
      <c r="K51" s="57" t="inlineStr">
        <is>
          <t>考慮不足</t>
        </is>
      </c>
      <c r="L51" s="57" t="inlineStr">
        <is>
          <t>非欠陥</t>
        </is>
      </c>
      <c r="M51" s="57" t="inlineStr">
        <is>
          <t>ITa</t>
        </is>
      </c>
      <c r="N51" s="109" t="n">
        <v>46023</v>
      </c>
      <c r="O51" s="109" t="n">
        <v>46021</v>
      </c>
      <c r="P51" s="57" t="inlineStr">
        <is>
          <t>無</t>
        </is>
      </c>
      <c r="Q51" s="59" t="inlineStr"/>
      <c r="R51" s="57" t="n"/>
      <c r="S51" s="57" t="n"/>
      <c r="T51" s="109" t="n">
        <v>46032</v>
      </c>
      <c r="U51" s="57" t="n"/>
      <c r="V51" s="57" t="n"/>
    </row>
    <row r="52">
      <c r="A52" s="57" t="inlineStr">
        <is>
          <t>基盤</t>
        </is>
      </c>
      <c r="B52" s="57" t="inlineStr">
        <is>
          <t>DEF-基-0006</t>
        </is>
      </c>
      <c r="C52" s="57" t="inlineStr">
        <is>
          <t>04:検証中</t>
        </is>
      </c>
      <c r="D52" s="59" t="inlineStr">
        <is>
          <t>欠陥6: 06_受入準備の不具合</t>
        </is>
      </c>
      <c r="E52" s="109" t="n">
        <v>46081</v>
      </c>
      <c r="F52" s="57" t="inlineStr">
        <is>
          <t>07_口振契約受付</t>
        </is>
      </c>
      <c r="G52" s="57" t="inlineStr">
        <is>
          <t>中</t>
        </is>
      </c>
      <c r="H52" s="57" t="inlineStr">
        <is>
          <t>高</t>
        </is>
      </c>
      <c r="I52" s="109" t="n">
        <v>46084</v>
      </c>
      <c r="J52" s="109" t="n">
        <v>46084</v>
      </c>
      <c r="K52" s="57" t="inlineStr">
        <is>
          <t>非欠陥</t>
        </is>
      </c>
      <c r="L52" s="57" t="inlineStr">
        <is>
          <t>非欠陥</t>
        </is>
      </c>
      <c r="M52" s="57" t="inlineStr">
        <is>
          <t>非欠陥</t>
        </is>
      </c>
      <c r="N52" s="109" t="n">
        <v>46092</v>
      </c>
      <c r="O52" s="109" t="n">
        <v>46092</v>
      </c>
      <c r="P52" s="57" t="inlineStr">
        <is>
          <t>有</t>
        </is>
      </c>
      <c r="Q52" s="59" t="inlineStr">
        <is>
          <t>40_基盤</t>
        </is>
      </c>
      <c r="R52" s="109" t="n">
        <v>46096</v>
      </c>
      <c r="S52" s="57" t="n"/>
      <c r="T52" s="109" t="n">
        <v>46104</v>
      </c>
      <c r="U52" s="57" t="n"/>
      <c r="V52" s="57" t="n"/>
    </row>
    <row r="53">
      <c r="A53" s="57" t="inlineStr">
        <is>
          <t>基盤</t>
        </is>
      </c>
      <c r="B53" s="57" t="inlineStr">
        <is>
          <t>DEF-基-0007</t>
        </is>
      </c>
      <c r="C53" s="57" t="inlineStr">
        <is>
          <t>03:対応中</t>
        </is>
      </c>
      <c r="D53" s="59" t="inlineStr">
        <is>
          <t>欠陥7: 06_受入準備の不具合</t>
        </is>
      </c>
      <c r="E53" s="109" t="n">
        <v>46061</v>
      </c>
      <c r="F53" s="57" t="inlineStr">
        <is>
          <t>07_口振契約受付</t>
        </is>
      </c>
      <c r="G53" s="57" t="inlineStr">
        <is>
          <t>低</t>
        </is>
      </c>
      <c r="H53" s="57" t="inlineStr">
        <is>
          <t>低</t>
        </is>
      </c>
      <c r="I53" s="109" t="n">
        <v>46066</v>
      </c>
      <c r="J53" s="109" t="n">
        <v>46065</v>
      </c>
      <c r="K53" s="57" t="inlineStr">
        <is>
          <t>業務/仕様理解不足</t>
        </is>
      </c>
      <c r="L53" s="57" t="inlineStr">
        <is>
          <t>ID</t>
        </is>
      </c>
      <c r="M53" s="57" t="inlineStr">
        <is>
          <t>ITb</t>
        </is>
      </c>
      <c r="N53" s="109" t="n">
        <v>46076</v>
      </c>
      <c r="O53" s="57" t="n"/>
      <c r="P53" s="57" t="inlineStr">
        <is>
          <t>無</t>
        </is>
      </c>
      <c r="Q53" s="59" t="inlineStr"/>
      <c r="R53" s="57" t="n"/>
      <c r="S53" s="57" t="n"/>
      <c r="T53" s="109" t="n">
        <v>46085</v>
      </c>
      <c r="U53" s="57" t="n"/>
      <c r="V53" s="57" t="n"/>
    </row>
    <row r="54">
      <c r="A54" s="57" t="inlineStr">
        <is>
          <t>基盤</t>
        </is>
      </c>
      <c r="B54" s="57" t="inlineStr">
        <is>
          <t>DEF-基-0008</t>
        </is>
      </c>
      <c r="C54" s="57" t="inlineStr">
        <is>
          <t>03:対応中</t>
        </is>
      </c>
      <c r="D54" s="59" t="inlineStr">
        <is>
          <t>欠陥8: 03_請求の不具合</t>
        </is>
      </c>
      <c r="E54" s="109" t="n">
        <v>46045</v>
      </c>
      <c r="F54" s="57" t="inlineStr">
        <is>
          <t>04_欠陥・返戻</t>
        </is>
      </c>
      <c r="G54" s="57" t="inlineStr">
        <is>
          <t>高</t>
        </is>
      </c>
      <c r="H54" s="57" t="inlineStr">
        <is>
          <t>高</t>
        </is>
      </c>
      <c r="I54" s="109" t="n">
        <v>46047</v>
      </c>
      <c r="J54" s="109" t="n">
        <v>46050</v>
      </c>
      <c r="K54" s="57" t="inlineStr">
        <is>
          <t>情報共有不足</t>
        </is>
      </c>
      <c r="L54" s="57" t="inlineStr">
        <is>
          <t>その他</t>
        </is>
      </c>
      <c r="M54" s="57" t="inlineStr">
        <is>
          <t>ST</t>
        </is>
      </c>
      <c r="N54" s="109" t="n">
        <v>46056</v>
      </c>
      <c r="O54" s="57" t="n"/>
      <c r="P54" s="57" t="inlineStr">
        <is>
          <t>無</t>
        </is>
      </c>
      <c r="Q54" s="59" t="inlineStr"/>
      <c r="R54" s="57" t="n"/>
      <c r="S54" s="57" t="n"/>
      <c r="T54" s="109" t="n">
        <v>46070</v>
      </c>
      <c r="U54" s="57" t="n"/>
      <c r="V54" s="57" t="n"/>
    </row>
    <row r="55">
      <c r="A55" s="57" t="inlineStr">
        <is>
          <t>基盤</t>
        </is>
      </c>
      <c r="B55" s="57" t="inlineStr">
        <is>
          <t>DEF-基-0009</t>
        </is>
      </c>
      <c r="C55" s="57" t="inlineStr">
        <is>
          <t>03:対応中</t>
        </is>
      </c>
      <c r="D55" s="59" t="inlineStr">
        <is>
          <t>欠陥9: 03_請求の不具合</t>
        </is>
      </c>
      <c r="E55" s="109" t="n">
        <v>46067</v>
      </c>
      <c r="F55" s="57" t="inlineStr">
        <is>
          <t>05_清算</t>
        </is>
      </c>
      <c r="G55" s="57" t="inlineStr">
        <is>
          <t>低</t>
        </is>
      </c>
      <c r="H55" s="57" t="inlineStr">
        <is>
          <t>中</t>
        </is>
      </c>
      <c r="I55" s="109" t="n">
        <v>46068</v>
      </c>
      <c r="J55" s="109" t="n">
        <v>46070</v>
      </c>
      <c r="K55" s="57" t="inlineStr">
        <is>
          <t>情報共有不足</t>
        </is>
      </c>
      <c r="L55" s="57" t="inlineStr">
        <is>
          <t>ED</t>
        </is>
      </c>
      <c r="M55" s="57" t="inlineStr">
        <is>
          <t>ITb</t>
        </is>
      </c>
      <c r="N55" s="109" t="n">
        <v>46072</v>
      </c>
      <c r="O55" s="57" t="n"/>
      <c r="P55" s="57" t="inlineStr">
        <is>
          <t>無</t>
        </is>
      </c>
      <c r="Q55" s="59" t="inlineStr"/>
      <c r="R55" s="57" t="n"/>
      <c r="S55" s="57" t="n"/>
      <c r="T55" s="109" t="n">
        <v>46080</v>
      </c>
      <c r="U55" s="57" t="n"/>
      <c r="V55" s="57" t="n"/>
    </row>
    <row r="56">
      <c r="A56" s="57" t="inlineStr">
        <is>
          <t>基盤</t>
        </is>
      </c>
      <c r="B56" s="57" t="inlineStr">
        <is>
          <t>DEF-基-0010</t>
        </is>
      </c>
      <c r="C56" s="57" t="inlineStr">
        <is>
          <t>02:調査中</t>
        </is>
      </c>
      <c r="D56" s="59" t="inlineStr">
        <is>
          <t>欠陥10: 03_請求の不具合</t>
        </is>
      </c>
      <c r="E56" s="109" t="n">
        <v>46076</v>
      </c>
      <c r="F56" s="57" t="inlineStr">
        <is>
          <t>06_受入準備</t>
        </is>
      </c>
      <c r="G56" s="57" t="inlineStr">
        <is>
          <t>高</t>
        </is>
      </c>
      <c r="H56" s="57" t="inlineStr">
        <is>
          <t>低</t>
        </is>
      </c>
      <c r="I56" s="109" t="n">
        <v>46053</v>
      </c>
      <c r="J56" s="57" t="n"/>
      <c r="K56" s="57" t="inlineStr">
        <is>
          <t>非欠陥</t>
        </is>
      </c>
      <c r="L56" s="57" t="inlineStr">
        <is>
          <t>非欠陥</t>
        </is>
      </c>
      <c r="M56" s="57" t="inlineStr">
        <is>
          <t>ITa</t>
        </is>
      </c>
      <c r="N56" s="109" t="n">
        <v>46059</v>
      </c>
      <c r="O56" s="57" t="n"/>
      <c r="P56" s="57" t="inlineStr">
        <is>
          <t>無</t>
        </is>
      </c>
      <c r="Q56" s="59" t="inlineStr"/>
      <c r="R56" s="57" t="n"/>
      <c r="S56" s="57" t="n"/>
      <c r="T56" s="109" t="n">
        <v>46064</v>
      </c>
      <c r="U56" s="57" t="n"/>
      <c r="V56" s="57" t="n"/>
    </row>
    <row r="57">
      <c r="A57" s="57" t="inlineStr">
        <is>
          <t>基盤</t>
        </is>
      </c>
      <c r="B57" s="57" t="inlineStr">
        <is>
          <t>DEF-基-0011</t>
        </is>
      </c>
      <c r="C57" s="57" t="inlineStr">
        <is>
          <t>01:未着手</t>
        </is>
      </c>
      <c r="D57" s="59" t="inlineStr">
        <is>
          <t>欠陥11: 40_基盤の不具合</t>
        </is>
      </c>
      <c r="E57" s="109" t="n">
        <v>46045</v>
      </c>
      <c r="F57" s="57" t="inlineStr">
        <is>
          <t>01_委託者登録</t>
        </is>
      </c>
      <c r="G57" s="57" t="inlineStr">
        <is>
          <t>高</t>
        </is>
      </c>
      <c r="H57" s="57" t="inlineStr">
        <is>
          <t>中</t>
        </is>
      </c>
      <c r="I57" s="109" t="n">
        <v>46050</v>
      </c>
      <c r="J57" s="57" t="n"/>
      <c r="K57" s="57" t="inlineStr">
        <is>
          <t>注意不足</t>
        </is>
      </c>
      <c r="L57" s="57" t="inlineStr">
        <is>
          <t>その他</t>
        </is>
      </c>
      <c r="M57" s="57" t="inlineStr">
        <is>
          <t>ITb</t>
        </is>
      </c>
      <c r="N57" s="109" t="n">
        <v>46053</v>
      </c>
      <c r="O57" s="57" t="n"/>
      <c r="P57" s="57" t="inlineStr">
        <is>
          <t>無</t>
        </is>
      </c>
      <c r="Q57" s="59" t="inlineStr"/>
      <c r="R57" s="57" t="n"/>
      <c r="S57" s="57" t="n"/>
      <c r="T57" s="109" t="n">
        <v>46066</v>
      </c>
      <c r="U57" s="57" t="n"/>
      <c r="V57" s="57" t="n"/>
    </row>
    <row r="58">
      <c r="A58" s="57" t="inlineStr">
        <is>
          <t>基盤</t>
        </is>
      </c>
      <c r="B58" s="57" t="inlineStr">
        <is>
          <t>DEF-基-0012</t>
        </is>
      </c>
      <c r="C58" s="57" t="inlineStr">
        <is>
          <t>01:未着手</t>
        </is>
      </c>
      <c r="D58" s="59" t="inlineStr">
        <is>
          <t>欠陥12: 08_事務支(変更通知)の不具合</t>
        </is>
      </c>
      <c r="E58" s="109" t="n">
        <v>46067</v>
      </c>
      <c r="F58" s="57" t="inlineStr">
        <is>
          <t>07_口振契約受付</t>
        </is>
      </c>
      <c r="G58" s="57" t="inlineStr">
        <is>
          <t>中</t>
        </is>
      </c>
      <c r="H58" s="57" t="inlineStr">
        <is>
          <t>低</t>
        </is>
      </c>
      <c r="I58" s="109" t="n">
        <v>46068</v>
      </c>
      <c r="J58" s="57" t="n"/>
      <c r="K58" s="57" t="inlineStr">
        <is>
          <t>プロセス不備</t>
        </is>
      </c>
      <c r="L58" s="57" t="inlineStr">
        <is>
          <t>その他</t>
        </is>
      </c>
      <c r="M58" s="57" t="inlineStr">
        <is>
          <t>ITa</t>
        </is>
      </c>
      <c r="N58" s="109" t="n">
        <v>46071</v>
      </c>
      <c r="O58" s="57" t="n"/>
      <c r="P58" s="57" t="inlineStr">
        <is>
          <t>無</t>
        </is>
      </c>
      <c r="Q58" s="59" t="inlineStr"/>
      <c r="R58" s="57" t="n"/>
      <c r="S58" s="57" t="n"/>
      <c r="T58" s="109" t="n">
        <v>46082</v>
      </c>
      <c r="U58" s="57" t="n"/>
      <c r="V58" s="57" t="n"/>
    </row>
    <row r="59">
      <c r="A59" s="57" t="inlineStr">
        <is>
          <t>基盤</t>
        </is>
      </c>
      <c r="B59" s="57" t="inlineStr">
        <is>
          <t>DEF-基-0013</t>
        </is>
      </c>
      <c r="C59" s="57" t="inlineStr">
        <is>
          <t>98:保留</t>
        </is>
      </c>
      <c r="D59" s="59" t="inlineStr">
        <is>
          <t>欠陥13: 05_清算の不具合</t>
        </is>
      </c>
      <c r="E59" s="109" t="n">
        <v>46062</v>
      </c>
      <c r="F59" s="57" t="inlineStr">
        <is>
          <t>07_口振契約受付</t>
        </is>
      </c>
      <c r="G59" s="57" t="inlineStr">
        <is>
          <t>高</t>
        </is>
      </c>
      <c r="H59" s="57" t="inlineStr">
        <is>
          <t>低</t>
        </is>
      </c>
      <c r="I59" s="109" t="n">
        <v>46064</v>
      </c>
      <c r="J59" s="57" t="n"/>
      <c r="K59" s="57" t="inlineStr">
        <is>
          <t>未知</t>
        </is>
      </c>
      <c r="L59" s="57" t="inlineStr">
        <is>
          <t>RD</t>
        </is>
      </c>
      <c r="M59" s="57" t="inlineStr">
        <is>
          <t>ST</t>
        </is>
      </c>
      <c r="N59" s="109" t="n">
        <v>46071</v>
      </c>
      <c r="O59" s="57" t="n"/>
      <c r="P59" s="57" t="inlineStr">
        <is>
          <t>無</t>
        </is>
      </c>
      <c r="Q59" s="59" t="inlineStr"/>
      <c r="R59" s="57" t="n"/>
      <c r="S59" s="57" t="n"/>
      <c r="T59" s="109" t="n">
        <v>46082</v>
      </c>
      <c r="U59" s="57" t="n"/>
      <c r="V59" s="57" t="n"/>
    </row>
    <row r="60">
      <c r="A60" s="57" t="inlineStr">
        <is>
          <t>運用</t>
        </is>
      </c>
      <c r="B60" s="57" t="inlineStr">
        <is>
          <t>DEF-運-0001</t>
        </is>
      </c>
      <c r="C60" s="57" t="inlineStr">
        <is>
          <t>05:完了</t>
        </is>
      </c>
      <c r="D60" s="59" t="inlineStr">
        <is>
          <t>欠陥1: 05_清算の不具合</t>
        </is>
      </c>
      <c r="E60" s="109" t="n">
        <v>46060</v>
      </c>
      <c r="F60" s="57" t="inlineStr">
        <is>
          <t>03_請求</t>
        </is>
      </c>
      <c r="G60" s="57" t="inlineStr">
        <is>
          <t>高</t>
        </is>
      </c>
      <c r="H60" s="57" t="inlineStr">
        <is>
          <t>中</t>
        </is>
      </c>
      <c r="I60" s="109" t="n">
        <v>46064</v>
      </c>
      <c r="J60" s="109" t="n">
        <v>46063</v>
      </c>
      <c r="K60" s="57" t="inlineStr">
        <is>
          <t>外的要因</t>
        </is>
      </c>
      <c r="L60" s="57" t="inlineStr">
        <is>
          <t>RD</t>
        </is>
      </c>
      <c r="M60" s="57" t="inlineStr">
        <is>
          <t>ITa</t>
        </is>
      </c>
      <c r="N60" s="109" t="n">
        <v>46069</v>
      </c>
      <c r="O60" s="109" t="n">
        <v>46074</v>
      </c>
      <c r="P60" s="57" t="inlineStr">
        <is>
          <t>無</t>
        </is>
      </c>
      <c r="Q60" s="59" t="inlineStr"/>
      <c r="R60" s="57" t="n"/>
      <c r="S60" s="57" t="n"/>
      <c r="T60" s="109" t="n">
        <v>46074</v>
      </c>
      <c r="U60" s="109" t="n">
        <v>46076</v>
      </c>
      <c r="V60" s="109" t="n">
        <v>46078</v>
      </c>
    </row>
    <row r="61">
      <c r="A61" s="57" t="inlineStr">
        <is>
          <t>運用</t>
        </is>
      </c>
      <c r="B61" s="57" t="inlineStr">
        <is>
          <t>DEF-運-0002</t>
        </is>
      </c>
      <c r="C61" s="57" t="inlineStr">
        <is>
          <t>05:完了</t>
        </is>
      </c>
      <c r="D61" s="59" t="inlineStr">
        <is>
          <t>欠陥2: 30_運用の不具合</t>
        </is>
      </c>
      <c r="E61" s="109" t="n">
        <v>46068</v>
      </c>
      <c r="F61" s="57" t="inlineStr">
        <is>
          <t>01_委託者登録</t>
        </is>
      </c>
      <c r="G61" s="57" t="inlineStr">
        <is>
          <t>低</t>
        </is>
      </c>
      <c r="H61" s="57" t="inlineStr">
        <is>
          <t>中</t>
        </is>
      </c>
      <c r="I61" s="109" t="n">
        <v>46073</v>
      </c>
      <c r="J61" s="109" t="n">
        <v>46073</v>
      </c>
      <c r="K61" s="57" t="inlineStr">
        <is>
          <t>非欠陥</t>
        </is>
      </c>
      <c r="L61" s="57" t="inlineStr">
        <is>
          <t>その他</t>
        </is>
      </c>
      <c r="M61" s="57" t="inlineStr">
        <is>
          <t>CT</t>
        </is>
      </c>
      <c r="N61" s="109" t="n">
        <v>46080</v>
      </c>
      <c r="O61" s="109" t="n">
        <v>46082</v>
      </c>
      <c r="P61" s="57" t="inlineStr">
        <is>
          <t>有</t>
        </is>
      </c>
      <c r="Q61" s="59" t="inlineStr">
        <is>
          <t>20_移行</t>
        </is>
      </c>
      <c r="R61" s="109" t="n">
        <v>46085</v>
      </c>
      <c r="S61" s="109" t="n">
        <v>46087</v>
      </c>
      <c r="T61" s="109" t="n">
        <v>46086</v>
      </c>
      <c r="U61" s="109" t="n">
        <v>46086</v>
      </c>
      <c r="V61" s="109" t="n">
        <v>46085</v>
      </c>
    </row>
    <row r="62">
      <c r="A62" s="57" t="inlineStr">
        <is>
          <t>運用</t>
        </is>
      </c>
      <c r="B62" s="57" t="inlineStr">
        <is>
          <t>DEF-運-0003</t>
        </is>
      </c>
      <c r="C62" s="57" t="inlineStr">
        <is>
          <t>05:完了</t>
        </is>
      </c>
      <c r="D62" s="59" t="inlineStr">
        <is>
          <t>欠陥3: 06_受入準備の不具合</t>
        </is>
      </c>
      <c r="E62" s="109" t="n">
        <v>46048</v>
      </c>
      <c r="F62" s="57" t="inlineStr">
        <is>
          <t>03_請求</t>
        </is>
      </c>
      <c r="G62" s="57" t="inlineStr">
        <is>
          <t>中</t>
        </is>
      </c>
      <c r="H62" s="57" t="inlineStr">
        <is>
          <t>低</t>
        </is>
      </c>
      <c r="I62" s="109" t="n">
        <v>46050</v>
      </c>
      <c r="J62" s="109" t="n">
        <v>46049</v>
      </c>
      <c r="K62" s="57" t="inlineStr">
        <is>
          <t>未知</t>
        </is>
      </c>
      <c r="L62" s="57" t="inlineStr">
        <is>
          <t>その他</t>
        </is>
      </c>
      <c r="M62" s="57" t="inlineStr">
        <is>
          <t>ITa</t>
        </is>
      </c>
      <c r="N62" s="109" t="n">
        <v>46059</v>
      </c>
      <c r="O62" s="109" t="n">
        <v>46058</v>
      </c>
      <c r="P62" s="57" t="inlineStr">
        <is>
          <t>有</t>
        </is>
      </c>
      <c r="Q62" s="59" t="inlineStr">
        <is>
          <t>10_共通</t>
        </is>
      </c>
      <c r="R62" s="109" t="n">
        <v>46064</v>
      </c>
      <c r="S62" s="109" t="n">
        <v>46066</v>
      </c>
      <c r="T62" s="109" t="n">
        <v>46071</v>
      </c>
      <c r="U62" s="109" t="n">
        <v>46073</v>
      </c>
      <c r="V62" s="109" t="n">
        <v>46063</v>
      </c>
    </row>
    <row r="63">
      <c r="A63" s="57" t="inlineStr">
        <is>
          <t>運用</t>
        </is>
      </c>
      <c r="B63" s="57" t="inlineStr">
        <is>
          <t>DEF-運-0004</t>
        </is>
      </c>
      <c r="C63" s="57" t="inlineStr">
        <is>
          <t>05:完了</t>
        </is>
      </c>
      <c r="D63" s="59" t="inlineStr">
        <is>
          <t>欠陥4: 20_移行の不具合</t>
        </is>
      </c>
      <c r="E63" s="109" t="n">
        <v>46004</v>
      </c>
      <c r="F63" s="57" t="inlineStr">
        <is>
          <t>20_移行</t>
        </is>
      </c>
      <c r="G63" s="57" t="inlineStr">
        <is>
          <t>高</t>
        </is>
      </c>
      <c r="H63" s="57" t="inlineStr">
        <is>
          <t>高</t>
        </is>
      </c>
      <c r="I63" s="109" t="n">
        <v>46008</v>
      </c>
      <c r="J63" s="109" t="n">
        <v>46010</v>
      </c>
      <c r="K63" s="57" t="inlineStr">
        <is>
          <t>プロセス不備</t>
        </is>
      </c>
      <c r="L63" s="57" t="inlineStr">
        <is>
          <t>PD</t>
        </is>
      </c>
      <c r="M63" s="57" t="inlineStr">
        <is>
          <t>ST</t>
        </is>
      </c>
      <c r="N63" s="109" t="n">
        <v>46011</v>
      </c>
      <c r="O63" s="109" t="n">
        <v>46013</v>
      </c>
      <c r="P63" s="57" t="inlineStr">
        <is>
          <t>有</t>
        </is>
      </c>
      <c r="Q63" s="59" t="inlineStr">
        <is>
          <t>30_運用</t>
        </is>
      </c>
      <c r="R63" s="109" t="n">
        <v>46017</v>
      </c>
      <c r="S63" s="109" t="n">
        <v>46017</v>
      </c>
      <c r="T63" s="109" t="n">
        <v>46025</v>
      </c>
      <c r="U63" s="109" t="n">
        <v>46026</v>
      </c>
      <c r="V63" s="109" t="n">
        <v>46015</v>
      </c>
    </row>
    <row r="64">
      <c r="A64" s="57" t="inlineStr">
        <is>
          <t>運用</t>
        </is>
      </c>
      <c r="B64" s="57" t="inlineStr">
        <is>
          <t>DEF-運-0005</t>
        </is>
      </c>
      <c r="C64" s="57" t="inlineStr">
        <is>
          <t>05:完了</t>
        </is>
      </c>
      <c r="D64" s="59" t="inlineStr">
        <is>
          <t>欠陥5: 03_請求の不具合</t>
        </is>
      </c>
      <c r="E64" s="109" t="n">
        <v>46044</v>
      </c>
      <c r="F64" s="57" t="inlineStr">
        <is>
          <t>04_欠陥・返戻</t>
        </is>
      </c>
      <c r="G64" s="57" t="inlineStr">
        <is>
          <t>中</t>
        </is>
      </c>
      <c r="H64" s="57" t="inlineStr">
        <is>
          <t>高</t>
        </is>
      </c>
      <c r="I64" s="109" t="n">
        <v>46046</v>
      </c>
      <c r="J64" s="109" t="n">
        <v>46046</v>
      </c>
      <c r="K64" s="57" t="inlineStr">
        <is>
          <t>未知</t>
        </is>
      </c>
      <c r="L64" s="57" t="inlineStr">
        <is>
          <t>ED</t>
        </is>
      </c>
      <c r="M64" s="57" t="inlineStr">
        <is>
          <t>CT</t>
        </is>
      </c>
      <c r="N64" s="109" t="n">
        <v>46053</v>
      </c>
      <c r="O64" s="109" t="n">
        <v>46054</v>
      </c>
      <c r="P64" s="57" t="inlineStr">
        <is>
          <t>無</t>
        </is>
      </c>
      <c r="Q64" s="59" t="inlineStr"/>
      <c r="R64" s="57" t="n"/>
      <c r="S64" s="57" t="n"/>
      <c r="T64" s="109" t="n">
        <v>46063</v>
      </c>
      <c r="U64" s="109" t="n">
        <v>46065</v>
      </c>
      <c r="V64" s="109" t="n">
        <v>46055</v>
      </c>
    </row>
    <row r="65">
      <c r="A65" s="57" t="inlineStr">
        <is>
          <t>運用</t>
        </is>
      </c>
      <c r="B65" s="57" t="inlineStr">
        <is>
          <t>DEF-運-0006</t>
        </is>
      </c>
      <c r="C65" s="57" t="inlineStr">
        <is>
          <t>04:検証中</t>
        </is>
      </c>
      <c r="D65" s="59" t="inlineStr">
        <is>
          <t>欠陥6: 20_移行の不具合</t>
        </is>
      </c>
      <c r="E65" s="109" t="n">
        <v>46023</v>
      </c>
      <c r="F65" s="57" t="inlineStr">
        <is>
          <t>30_運用</t>
        </is>
      </c>
      <c r="G65" s="57" t="inlineStr">
        <is>
          <t>高</t>
        </is>
      </c>
      <c r="H65" s="57" t="inlineStr">
        <is>
          <t>中</t>
        </is>
      </c>
      <c r="I65" s="109" t="n">
        <v>46025</v>
      </c>
      <c r="J65" s="109" t="n">
        <v>46027</v>
      </c>
      <c r="K65" s="57" t="inlineStr">
        <is>
          <t>業務/仕様理解不足</t>
        </is>
      </c>
      <c r="L65" s="57" t="inlineStr">
        <is>
          <t>ED</t>
        </is>
      </c>
      <c r="M65" s="57" t="inlineStr">
        <is>
          <t>ITa</t>
        </is>
      </c>
      <c r="N65" s="109" t="n">
        <v>46028</v>
      </c>
      <c r="O65" s="109" t="n">
        <v>46026</v>
      </c>
      <c r="P65" s="57" t="inlineStr">
        <is>
          <t>無</t>
        </is>
      </c>
      <c r="Q65" s="59" t="inlineStr"/>
      <c r="R65" s="57" t="n"/>
      <c r="S65" s="57" t="n"/>
      <c r="T65" s="109" t="n">
        <v>46037</v>
      </c>
      <c r="U65" s="57" t="n"/>
      <c r="V65" s="57" t="n"/>
    </row>
    <row r="66">
      <c r="A66" s="57" t="inlineStr">
        <is>
          <t>運用</t>
        </is>
      </c>
      <c r="B66" s="57" t="inlineStr">
        <is>
          <t>DEF-運-0007</t>
        </is>
      </c>
      <c r="C66" s="57" t="inlineStr">
        <is>
          <t>04:検証中</t>
        </is>
      </c>
      <c r="D66" s="59" t="inlineStr">
        <is>
          <t>欠陥7: 10_共通の不具合</t>
        </is>
      </c>
      <c r="E66" s="109" t="n">
        <v>46010</v>
      </c>
      <c r="F66" s="57" t="inlineStr">
        <is>
          <t>30_運用</t>
        </is>
      </c>
      <c r="G66" s="57" t="inlineStr">
        <is>
          <t>高</t>
        </is>
      </c>
      <c r="H66" s="57" t="inlineStr">
        <is>
          <t>高</t>
        </is>
      </c>
      <c r="I66" s="109" t="n">
        <v>46014</v>
      </c>
      <c r="J66" s="109" t="n">
        <v>46017</v>
      </c>
      <c r="K66" s="57" t="inlineStr">
        <is>
          <t>業務/仕様理解不足</t>
        </is>
      </c>
      <c r="L66" s="57" t="inlineStr">
        <is>
          <t>ID</t>
        </is>
      </c>
      <c r="M66" s="57" t="inlineStr">
        <is>
          <t>非欠陥</t>
        </is>
      </c>
      <c r="N66" s="109" t="n">
        <v>46017</v>
      </c>
      <c r="O66" s="109" t="n">
        <v>46022</v>
      </c>
      <c r="P66" s="57" t="inlineStr">
        <is>
          <t>無</t>
        </is>
      </c>
      <c r="Q66" s="59" t="inlineStr"/>
      <c r="R66" s="57" t="n"/>
      <c r="S66" s="57" t="n"/>
      <c r="T66" s="109" t="n">
        <v>46025</v>
      </c>
      <c r="U66" s="57" t="n"/>
      <c r="V66" s="57" t="n"/>
    </row>
    <row r="67">
      <c r="A67" s="57" t="inlineStr">
        <is>
          <t>運用</t>
        </is>
      </c>
      <c r="B67" s="57" t="inlineStr">
        <is>
          <t>DEF-運-0008</t>
        </is>
      </c>
      <c r="C67" s="57" t="inlineStr">
        <is>
          <t>04:検証中</t>
        </is>
      </c>
      <c r="D67" s="59" t="inlineStr">
        <is>
          <t>欠陥8: 20_移行の不具合</t>
        </is>
      </c>
      <c r="E67" s="109" t="n">
        <v>45998</v>
      </c>
      <c r="F67" s="57" t="inlineStr">
        <is>
          <t>03_請求</t>
        </is>
      </c>
      <c r="G67" s="57" t="inlineStr">
        <is>
          <t>中</t>
        </is>
      </c>
      <c r="H67" s="57" t="inlineStr">
        <is>
          <t>低</t>
        </is>
      </c>
      <c r="I67" s="109" t="n">
        <v>46000</v>
      </c>
      <c r="J67" s="109" t="n">
        <v>46002</v>
      </c>
      <c r="K67" s="57" t="inlineStr">
        <is>
          <t>プロセス不備</t>
        </is>
      </c>
      <c r="L67" s="57" t="inlineStr">
        <is>
          <t>RD</t>
        </is>
      </c>
      <c r="M67" s="57" t="inlineStr">
        <is>
          <t>ST</t>
        </is>
      </c>
      <c r="N67" s="109" t="n">
        <v>46004</v>
      </c>
      <c r="O67" s="109" t="n">
        <v>46004</v>
      </c>
      <c r="P67" s="57" t="inlineStr">
        <is>
          <t>無</t>
        </is>
      </c>
      <c r="Q67" s="59" t="inlineStr"/>
      <c r="R67" s="57" t="n"/>
      <c r="S67" s="57" t="n"/>
      <c r="T67" s="109" t="n">
        <v>46014</v>
      </c>
      <c r="U67" s="57" t="n"/>
      <c r="V67" s="57" t="n"/>
    </row>
    <row r="68">
      <c r="A68" s="57" t="inlineStr">
        <is>
          <t>運用</t>
        </is>
      </c>
      <c r="B68" s="57" t="inlineStr">
        <is>
          <t>DEF-運-0009</t>
        </is>
      </c>
      <c r="C68" s="57" t="inlineStr">
        <is>
          <t>03:対応中</t>
        </is>
      </c>
      <c r="D68" s="59" t="inlineStr">
        <is>
          <t>欠陥9: 06_受入準備の不具合</t>
        </is>
      </c>
      <c r="E68" s="109" t="n">
        <v>46033</v>
      </c>
      <c r="F68" s="57" t="inlineStr">
        <is>
          <t>20_移行</t>
        </is>
      </c>
      <c r="G68" s="57" t="inlineStr">
        <is>
          <t>低</t>
        </is>
      </c>
      <c r="H68" s="57" t="inlineStr">
        <is>
          <t>中</t>
        </is>
      </c>
      <c r="I68" s="109" t="n">
        <v>46038</v>
      </c>
      <c r="J68" s="109" t="n">
        <v>46037</v>
      </c>
      <c r="K68" s="57" t="inlineStr">
        <is>
          <t>未知</t>
        </is>
      </c>
      <c r="L68" s="57" t="inlineStr">
        <is>
          <t>RD</t>
        </is>
      </c>
      <c r="M68" s="57" t="inlineStr">
        <is>
          <t>ST</t>
        </is>
      </c>
      <c r="N68" s="109" t="n">
        <v>46046</v>
      </c>
      <c r="O68" s="57" t="n"/>
      <c r="P68" s="57" t="inlineStr">
        <is>
          <t>無</t>
        </is>
      </c>
      <c r="Q68" s="59" t="inlineStr"/>
      <c r="R68" s="57" t="n"/>
      <c r="S68" s="57" t="n"/>
      <c r="T68" s="109" t="n">
        <v>46058</v>
      </c>
      <c r="U68" s="57" t="n"/>
      <c r="V68" s="57" t="n"/>
    </row>
    <row r="69">
      <c r="A69" s="57" t="inlineStr">
        <is>
          <t>運用</t>
        </is>
      </c>
      <c r="B69" s="57" t="inlineStr">
        <is>
          <t>DEF-運-0010</t>
        </is>
      </c>
      <c r="C69" s="57" t="inlineStr">
        <is>
          <t>03:対応中</t>
        </is>
      </c>
      <c r="D69" s="59" t="inlineStr">
        <is>
          <t>欠陥10: 03_請求の不具合</t>
        </is>
      </c>
      <c r="E69" s="109" t="n">
        <v>46071</v>
      </c>
      <c r="F69" s="57" t="inlineStr">
        <is>
          <t>01_委託者登録</t>
        </is>
      </c>
      <c r="G69" s="57" t="inlineStr">
        <is>
          <t>低</t>
        </is>
      </c>
      <c r="H69" s="57" t="inlineStr">
        <is>
          <t>中</t>
        </is>
      </c>
      <c r="I69" s="109" t="n">
        <v>46024</v>
      </c>
      <c r="J69" s="109" t="n">
        <v>46026</v>
      </c>
      <c r="K69" s="57" t="inlineStr">
        <is>
          <t>未知</t>
        </is>
      </c>
      <c r="L69" s="57" t="inlineStr">
        <is>
          <t>非欠陥</t>
        </is>
      </c>
      <c r="M69" s="57" t="inlineStr">
        <is>
          <t>ST</t>
        </is>
      </c>
      <c r="N69" s="109" t="n">
        <v>46031</v>
      </c>
      <c r="O69" s="57" t="n"/>
      <c r="P69" s="57" t="inlineStr">
        <is>
          <t>無</t>
        </is>
      </c>
      <c r="Q69" s="59" t="inlineStr"/>
      <c r="R69" s="57" t="n"/>
      <c r="S69" s="57" t="n"/>
      <c r="T69" s="109" t="n">
        <v>46039</v>
      </c>
      <c r="U69" s="57" t="n"/>
      <c r="V69" s="57" t="n"/>
    </row>
    <row r="70">
      <c r="A70" s="57" t="inlineStr">
        <is>
          <t>運用</t>
        </is>
      </c>
      <c r="B70" s="57" t="inlineStr">
        <is>
          <t>DEF-運-0011</t>
        </is>
      </c>
      <c r="C70" s="57" t="inlineStr">
        <is>
          <t>02:調査中</t>
        </is>
      </c>
      <c r="D70" s="59" t="inlineStr">
        <is>
          <t>欠陥11: 08_事務支(変更通知)の不具合</t>
        </is>
      </c>
      <c r="E70" s="109" t="n">
        <v>46069</v>
      </c>
      <c r="F70" s="57" t="inlineStr">
        <is>
          <t>20_移行</t>
        </is>
      </c>
      <c r="G70" s="57" t="inlineStr">
        <is>
          <t>低</t>
        </is>
      </c>
      <c r="H70" s="57" t="inlineStr">
        <is>
          <t>高</t>
        </is>
      </c>
      <c r="I70" s="109" t="n">
        <v>46074</v>
      </c>
      <c r="J70" s="57" t="n"/>
      <c r="K70" s="57" t="inlineStr">
        <is>
          <t>注意不足</t>
        </is>
      </c>
      <c r="L70" s="57" t="inlineStr">
        <is>
          <t>ED</t>
        </is>
      </c>
      <c r="M70" s="57" t="inlineStr">
        <is>
          <t>ITa</t>
        </is>
      </c>
      <c r="N70" s="109" t="n">
        <v>46082</v>
      </c>
      <c r="O70" s="57" t="n"/>
      <c r="P70" s="57" t="inlineStr">
        <is>
          <t>無</t>
        </is>
      </c>
      <c r="Q70" s="59" t="inlineStr"/>
      <c r="R70" s="57" t="n"/>
      <c r="S70" s="57" t="n"/>
      <c r="T70" s="109" t="n">
        <v>46087</v>
      </c>
      <c r="U70" s="57" t="n"/>
      <c r="V70" s="57" t="n"/>
    </row>
    <row r="71">
      <c r="A71" s="57" t="inlineStr">
        <is>
          <t>運用</t>
        </is>
      </c>
      <c r="B71" s="57" t="inlineStr">
        <is>
          <t>DEF-運-0012</t>
        </is>
      </c>
      <c r="C71" s="57" t="inlineStr">
        <is>
          <t>02:調査中</t>
        </is>
      </c>
      <c r="D71" s="59" t="inlineStr">
        <is>
          <t>欠陥12: 05_清算の不具合</t>
        </is>
      </c>
      <c r="E71" s="109" t="n">
        <v>46005</v>
      </c>
      <c r="F71" s="57" t="inlineStr">
        <is>
          <t>10_共通</t>
        </is>
      </c>
      <c r="G71" s="57" t="inlineStr">
        <is>
          <t>高</t>
        </is>
      </c>
      <c r="H71" s="57" t="inlineStr">
        <is>
          <t>中</t>
        </is>
      </c>
      <c r="I71" s="109" t="n">
        <v>46010</v>
      </c>
      <c r="J71" s="57" t="n"/>
      <c r="K71" s="57" t="inlineStr">
        <is>
          <t>外的要因</t>
        </is>
      </c>
      <c r="L71" s="57" t="inlineStr">
        <is>
          <t>PD</t>
        </is>
      </c>
      <c r="M71" s="57" t="inlineStr">
        <is>
          <t>ST</t>
        </is>
      </c>
      <c r="N71" s="109" t="n">
        <v>46015</v>
      </c>
      <c r="O71" s="57" t="n"/>
      <c r="P71" s="57" t="inlineStr">
        <is>
          <t>有</t>
        </is>
      </c>
      <c r="Q71" s="59" t="inlineStr">
        <is>
          <t>03_請求</t>
        </is>
      </c>
      <c r="R71" s="109" t="n">
        <v>46021</v>
      </c>
      <c r="S71" s="57" t="n"/>
      <c r="T71" s="109" t="n">
        <v>46023</v>
      </c>
      <c r="U71" s="57" t="n"/>
      <c r="V71" s="57" t="n"/>
    </row>
    <row r="72">
      <c r="A72" s="57" t="inlineStr">
        <is>
          <t>運用</t>
        </is>
      </c>
      <c r="B72" s="57" t="inlineStr">
        <is>
          <t>DEF-運-0013</t>
        </is>
      </c>
      <c r="C72" s="57" t="inlineStr">
        <is>
          <t>01:未着手</t>
        </is>
      </c>
      <c r="D72" s="59" t="inlineStr">
        <is>
          <t>欠陥13: 05_清算の不具合</t>
        </is>
      </c>
      <c r="E72" s="109" t="n">
        <v>46010</v>
      </c>
      <c r="F72" s="57" t="inlineStr">
        <is>
          <t>03_請求</t>
        </is>
      </c>
      <c r="G72" s="57" t="inlineStr">
        <is>
          <t>低</t>
        </is>
      </c>
      <c r="H72" s="57" t="inlineStr">
        <is>
          <t>低</t>
        </is>
      </c>
      <c r="I72" s="109" t="n">
        <v>46013</v>
      </c>
      <c r="J72" s="57" t="n"/>
      <c r="K72" s="57" t="inlineStr">
        <is>
          <t>考慮不足</t>
        </is>
      </c>
      <c r="L72" s="57" t="inlineStr">
        <is>
          <t>その他</t>
        </is>
      </c>
      <c r="M72" s="57" t="inlineStr">
        <is>
          <t>ST</t>
        </is>
      </c>
      <c r="N72" s="109" t="n">
        <v>46023</v>
      </c>
      <c r="O72" s="57" t="n"/>
      <c r="P72" s="57" t="inlineStr">
        <is>
          <t>無</t>
        </is>
      </c>
      <c r="Q72" s="59" t="inlineStr"/>
      <c r="R72" s="57" t="n"/>
      <c r="S72" s="57" t="n"/>
      <c r="T72" s="109" t="n">
        <v>46030</v>
      </c>
      <c r="U72" s="57" t="n"/>
      <c r="V72" s="57" t="n"/>
    </row>
    <row r="73">
      <c r="A73" s="57" t="inlineStr">
        <is>
          <t>運用</t>
        </is>
      </c>
      <c r="B73" s="57" t="inlineStr">
        <is>
          <t>DEF-運-0014</t>
        </is>
      </c>
      <c r="C73" s="57" t="inlineStr">
        <is>
          <t>01:未着手</t>
        </is>
      </c>
      <c r="D73" s="59" t="inlineStr">
        <is>
          <t>欠陥14: 10_共通の不具合</t>
        </is>
      </c>
      <c r="E73" s="109" t="n">
        <v>46049</v>
      </c>
      <c r="F73" s="57" t="inlineStr">
        <is>
          <t>04_欠陥・返戻</t>
        </is>
      </c>
      <c r="G73" s="57" t="inlineStr">
        <is>
          <t>低</t>
        </is>
      </c>
      <c r="H73" s="57" t="inlineStr">
        <is>
          <t>高</t>
        </is>
      </c>
      <c r="I73" s="109" t="n">
        <v>46054</v>
      </c>
      <c r="J73" s="57" t="n"/>
      <c r="K73" s="57" t="inlineStr">
        <is>
          <t>影響範囲調査不足</t>
        </is>
      </c>
      <c r="L73" s="57" t="inlineStr">
        <is>
          <t>RD</t>
        </is>
      </c>
      <c r="M73" s="57" t="inlineStr">
        <is>
          <t>CT</t>
        </is>
      </c>
      <c r="N73" s="109" t="n">
        <v>46064</v>
      </c>
      <c r="O73" s="57" t="n"/>
      <c r="P73" s="57" t="inlineStr">
        <is>
          <t>無</t>
        </is>
      </c>
      <c r="Q73" s="59" t="inlineStr"/>
      <c r="R73" s="57" t="n"/>
      <c r="S73" s="57" t="n"/>
      <c r="T73" s="109" t="n">
        <v>46069</v>
      </c>
      <c r="U73" s="57" t="n"/>
      <c r="V73" s="57" t="n"/>
    </row>
    <row r="74">
      <c r="A74" s="57" t="inlineStr">
        <is>
          <t>運用</t>
        </is>
      </c>
      <c r="B74" s="57" t="inlineStr">
        <is>
          <t>DEF-運-0015</t>
        </is>
      </c>
      <c r="C74" s="57" t="inlineStr">
        <is>
          <t>98:保留</t>
        </is>
      </c>
      <c r="D74" s="59" t="inlineStr">
        <is>
          <t>欠陥15: 09_事務支(その他)の不具合</t>
        </is>
      </c>
      <c r="E74" s="109" t="n">
        <v>46035</v>
      </c>
      <c r="F74" s="57" t="inlineStr">
        <is>
          <t>01_委託者登録</t>
        </is>
      </c>
      <c r="G74" s="57" t="inlineStr">
        <is>
          <t>高</t>
        </is>
      </c>
      <c r="H74" s="57" t="inlineStr">
        <is>
          <t>低</t>
        </is>
      </c>
      <c r="I74" s="109" t="n">
        <v>46037</v>
      </c>
      <c r="J74" s="57" t="n"/>
      <c r="K74" s="57" t="inlineStr">
        <is>
          <t>業務/仕様理解不足</t>
        </is>
      </c>
      <c r="L74" s="57" t="inlineStr">
        <is>
          <t>ID</t>
        </is>
      </c>
      <c r="M74" s="57" t="inlineStr">
        <is>
          <t>ITb</t>
        </is>
      </c>
      <c r="N74" s="109" t="n">
        <v>46044</v>
      </c>
      <c r="O74" s="57" t="n"/>
      <c r="P74" s="57" t="inlineStr">
        <is>
          <t>有</t>
        </is>
      </c>
      <c r="Q74" s="59" t="inlineStr">
        <is>
          <t>04_欠陥・返戻</t>
        </is>
      </c>
      <c r="R74" s="109" t="n">
        <v>46048</v>
      </c>
      <c r="S74" s="57" t="n"/>
      <c r="T74" s="109" t="n">
        <v>46051</v>
      </c>
      <c r="U74" s="57" t="n"/>
      <c r="V74" s="57" t="n"/>
    </row>
    <row r="75">
      <c r="A75" s="57" t="inlineStr">
        <is>
          <t>運用</t>
        </is>
      </c>
      <c r="B75" s="57" t="inlineStr">
        <is>
          <t>DEF-運-0016</t>
        </is>
      </c>
      <c r="C75" s="57" t="inlineStr">
        <is>
          <t>98:保留</t>
        </is>
      </c>
      <c r="D75" s="59" t="inlineStr">
        <is>
          <t>欠陥16: 01_委託者登録の不具合</t>
        </is>
      </c>
      <c r="E75" s="109" t="n">
        <v>46061</v>
      </c>
      <c r="F75" s="57" t="inlineStr">
        <is>
          <t>03_請求</t>
        </is>
      </c>
      <c r="G75" s="57" t="inlineStr">
        <is>
          <t>低</t>
        </is>
      </c>
      <c r="H75" s="57" t="inlineStr">
        <is>
          <t>高</t>
        </is>
      </c>
      <c r="I75" s="109" t="n">
        <v>46062</v>
      </c>
      <c r="J75" s="57" t="n"/>
      <c r="K75" s="57" t="inlineStr">
        <is>
          <t>業務/仕様理解不足</t>
        </is>
      </c>
      <c r="L75" s="57" t="inlineStr">
        <is>
          <t>ED</t>
        </is>
      </c>
      <c r="M75" s="57" t="inlineStr">
        <is>
          <t>CT</t>
        </is>
      </c>
      <c r="N75" s="109" t="n">
        <v>46065</v>
      </c>
      <c r="O75" s="57" t="n"/>
      <c r="P75" s="57" t="inlineStr">
        <is>
          <t>有</t>
        </is>
      </c>
      <c r="Q75" s="59" t="inlineStr">
        <is>
          <t>03_請求</t>
        </is>
      </c>
      <c r="R75" s="109" t="n">
        <v>46071</v>
      </c>
      <c r="S75" s="57" t="n"/>
      <c r="T75" s="109" t="n">
        <v>46071</v>
      </c>
      <c r="U75" s="57" t="n"/>
      <c r="V75" s="5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FAADC"/>
    <outlinePr summaryBelow="1" summaryRight="1"/>
    <pageSetUpPr/>
  </sheetPr>
  <dimension ref="A1:V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12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</cols>
  <sheetData>
    <row r="1" ht="25" customHeight="1">
      <c r="A1" s="103" t="inlineStr">
        <is>
          <t>欠陥詳細 - オンライン</t>
        </is>
      </c>
    </row>
    <row r="3">
      <c r="A3" s="51" t="inlineStr">
        <is>
          <t>チーム名</t>
        </is>
      </c>
      <c r="B3" s="51" t="inlineStr">
        <is>
          <t>欠陥ID</t>
        </is>
      </c>
      <c r="C3" s="51" t="inlineStr">
        <is>
          <t>対応状況</t>
        </is>
      </c>
      <c r="D3" s="51" t="inlineStr">
        <is>
          <t>件名</t>
        </is>
      </c>
      <c r="E3" s="51" t="inlineStr">
        <is>
          <t>発見日</t>
        </is>
      </c>
      <c r="F3" s="51" t="inlineStr">
        <is>
          <t>業務機能分類</t>
        </is>
      </c>
      <c r="G3" s="51" t="inlineStr">
        <is>
          <t>緊急度</t>
        </is>
      </c>
      <c r="H3" s="51" t="inlineStr">
        <is>
          <t>影響度</t>
        </is>
      </c>
      <c r="I3" s="51" t="inlineStr">
        <is>
          <t>調査予定日</t>
        </is>
      </c>
      <c r="J3" s="51" t="inlineStr">
        <is>
          <t>調査完了日</t>
        </is>
      </c>
      <c r="K3" s="51" t="inlineStr">
        <is>
          <t>欠陥原因</t>
        </is>
      </c>
      <c r="L3" s="51" t="inlineStr">
        <is>
          <t>欠陥埋込フェーズ</t>
        </is>
      </c>
      <c r="M3" s="51" t="inlineStr">
        <is>
          <t>検出すべきフェーズ</t>
        </is>
      </c>
      <c r="N3" s="51" t="inlineStr">
        <is>
          <t>対応予定日</t>
        </is>
      </c>
      <c r="O3" s="51" t="inlineStr">
        <is>
          <t>対応日</t>
        </is>
      </c>
      <c r="P3" s="51" t="inlineStr">
        <is>
          <t>横展開有無</t>
        </is>
      </c>
      <c r="Q3" s="51" t="inlineStr">
        <is>
          <t>横展開先</t>
        </is>
      </c>
      <c r="R3" s="51" t="inlineStr">
        <is>
          <t>横展開完了予定日</t>
        </is>
      </c>
      <c r="S3" s="51" t="inlineStr">
        <is>
          <t>横展開完了日</t>
        </is>
      </c>
      <c r="T3" s="51" t="inlineStr">
        <is>
          <t>リリース予定日</t>
        </is>
      </c>
      <c r="U3" s="51" t="inlineStr">
        <is>
          <t>リリース日</t>
        </is>
      </c>
      <c r="V3" s="51" t="inlineStr">
        <is>
          <t>検証日</t>
        </is>
      </c>
    </row>
    <row r="4">
      <c r="A4" s="57" t="inlineStr">
        <is>
          <t>オンライン</t>
        </is>
      </c>
      <c r="B4" s="57" t="inlineStr">
        <is>
          <t>DEF-オ-0001</t>
        </is>
      </c>
      <c r="C4" s="57" t="inlineStr">
        <is>
          <t>05:完了</t>
        </is>
      </c>
      <c r="D4" s="59" t="inlineStr">
        <is>
          <t>欠陥1: 09_事務支(その他)の不具合</t>
        </is>
      </c>
      <c r="E4" s="109" t="n">
        <v>46042</v>
      </c>
      <c r="F4" s="57" t="inlineStr">
        <is>
          <t>40_基盤</t>
        </is>
      </c>
      <c r="G4" s="57" t="inlineStr">
        <is>
          <t>低</t>
        </is>
      </c>
      <c r="H4" s="57" t="inlineStr">
        <is>
          <t>低</t>
        </is>
      </c>
      <c r="I4" s="109" t="n">
        <v>46043</v>
      </c>
      <c r="J4" s="109" t="n">
        <v>46044</v>
      </c>
      <c r="K4" s="57" t="inlineStr">
        <is>
          <t>未知</t>
        </is>
      </c>
      <c r="L4" s="57" t="inlineStr">
        <is>
          <t>ID</t>
        </is>
      </c>
      <c r="M4" s="57" t="inlineStr">
        <is>
          <t>非欠陥</t>
        </is>
      </c>
      <c r="N4" s="109" t="n">
        <v>46052</v>
      </c>
      <c r="O4" s="109" t="n">
        <v>46056</v>
      </c>
      <c r="P4" s="57" t="inlineStr">
        <is>
          <t>無</t>
        </is>
      </c>
      <c r="Q4" s="59" t="inlineStr"/>
      <c r="R4" s="57" t="n"/>
      <c r="S4" s="57" t="n"/>
      <c r="T4" s="109" t="n">
        <v>46066</v>
      </c>
      <c r="U4" s="109" t="n">
        <v>46069</v>
      </c>
      <c r="V4" s="109" t="n">
        <v>46060</v>
      </c>
    </row>
    <row r="5">
      <c r="A5" s="57" t="inlineStr">
        <is>
          <t>オンライン</t>
        </is>
      </c>
      <c r="B5" s="57" t="inlineStr">
        <is>
          <t>DEF-オ-0002</t>
        </is>
      </c>
      <c r="C5" s="57" t="inlineStr">
        <is>
          <t>05:完了</t>
        </is>
      </c>
      <c r="D5" s="59" t="inlineStr">
        <is>
          <t>欠陥2: 10_共通の不具合</t>
        </is>
      </c>
      <c r="E5" s="109" t="n">
        <v>46059</v>
      </c>
      <c r="F5" s="57" t="inlineStr">
        <is>
          <t>40_基盤</t>
        </is>
      </c>
      <c r="G5" s="57" t="inlineStr">
        <is>
          <t>高</t>
        </is>
      </c>
      <c r="H5" s="57" t="inlineStr">
        <is>
          <t>高</t>
        </is>
      </c>
      <c r="I5" s="109" t="n">
        <v>46062</v>
      </c>
      <c r="J5" s="109" t="n">
        <v>46063</v>
      </c>
      <c r="K5" s="57" t="inlineStr">
        <is>
          <t>業務/仕様理解不足</t>
        </is>
      </c>
      <c r="L5" s="57" t="inlineStr">
        <is>
          <t>PD</t>
        </is>
      </c>
      <c r="M5" s="57" t="inlineStr">
        <is>
          <t>非欠陥</t>
        </is>
      </c>
      <c r="N5" s="109" t="n">
        <v>46070</v>
      </c>
      <c r="O5" s="109" t="n">
        <v>46075</v>
      </c>
      <c r="P5" s="57" t="inlineStr">
        <is>
          <t>有</t>
        </is>
      </c>
      <c r="Q5" s="59" t="inlineStr">
        <is>
          <t>04_欠陥・返戻</t>
        </is>
      </c>
      <c r="R5" s="109" t="n">
        <v>46077</v>
      </c>
      <c r="S5" s="109" t="n">
        <v>46078</v>
      </c>
      <c r="T5" s="109" t="n">
        <v>46079</v>
      </c>
      <c r="U5" s="109" t="n">
        <v>46080</v>
      </c>
      <c r="V5" s="109" t="n">
        <v>46078</v>
      </c>
    </row>
    <row r="6">
      <c r="A6" s="57" t="inlineStr">
        <is>
          <t>オンライン</t>
        </is>
      </c>
      <c r="B6" s="57" t="inlineStr">
        <is>
          <t>DEF-オ-0003</t>
        </is>
      </c>
      <c r="C6" s="57" t="inlineStr">
        <is>
          <t>05:完了</t>
        </is>
      </c>
      <c r="D6" s="59" t="inlineStr">
        <is>
          <t>欠陥3: 06_受入準備の不具合</t>
        </is>
      </c>
      <c r="E6" s="109" t="n">
        <v>46051</v>
      </c>
      <c r="F6" s="57" t="inlineStr">
        <is>
          <t>02_受付</t>
        </is>
      </c>
      <c r="G6" s="57" t="inlineStr">
        <is>
          <t>低</t>
        </is>
      </c>
      <c r="H6" s="57" t="inlineStr">
        <is>
          <t>低</t>
        </is>
      </c>
      <c r="I6" s="109" t="n">
        <v>46054</v>
      </c>
      <c r="J6" s="109" t="n">
        <v>46057</v>
      </c>
      <c r="K6" s="57" t="inlineStr">
        <is>
          <t>非欠陥</t>
        </is>
      </c>
      <c r="L6" s="57" t="inlineStr">
        <is>
          <t>ED</t>
        </is>
      </c>
      <c r="M6" s="57" t="inlineStr">
        <is>
          <t>ITb</t>
        </is>
      </c>
      <c r="N6" s="109" t="n">
        <v>46059</v>
      </c>
      <c r="O6" s="109" t="n">
        <v>46063</v>
      </c>
      <c r="P6" s="57" t="inlineStr">
        <is>
          <t>無</t>
        </is>
      </c>
      <c r="Q6" s="59" t="inlineStr"/>
      <c r="R6" s="57" t="n"/>
      <c r="S6" s="57" t="n"/>
      <c r="T6" s="109" t="n">
        <v>46068</v>
      </c>
      <c r="U6" s="109" t="n">
        <v>46068</v>
      </c>
      <c r="V6" s="109" t="n">
        <v>46064</v>
      </c>
    </row>
    <row r="7">
      <c r="A7" s="57" t="inlineStr">
        <is>
          <t>オンライン</t>
        </is>
      </c>
      <c r="B7" s="57" t="inlineStr">
        <is>
          <t>DEF-オ-0004</t>
        </is>
      </c>
      <c r="C7" s="57" t="inlineStr">
        <is>
          <t>05:完了</t>
        </is>
      </c>
      <c r="D7" s="59" t="inlineStr">
        <is>
          <t>欠陥4: 20_移行の不具合</t>
        </is>
      </c>
      <c r="E7" s="109" t="n">
        <v>45995</v>
      </c>
      <c r="F7" s="57" t="inlineStr">
        <is>
          <t>05_清算</t>
        </is>
      </c>
      <c r="G7" s="57" t="inlineStr">
        <is>
          <t>高</t>
        </is>
      </c>
      <c r="H7" s="57" t="inlineStr">
        <is>
          <t>高</t>
        </is>
      </c>
      <c r="I7" s="109" t="n">
        <v>46000</v>
      </c>
      <c r="J7" s="109" t="n">
        <v>46001</v>
      </c>
      <c r="K7" s="57" t="inlineStr">
        <is>
          <t>注意不足</t>
        </is>
      </c>
      <c r="L7" s="57" t="inlineStr">
        <is>
          <t>RD</t>
        </is>
      </c>
      <c r="M7" s="57" t="inlineStr">
        <is>
          <t>ITa</t>
        </is>
      </c>
      <c r="N7" s="109" t="n">
        <v>46004</v>
      </c>
      <c r="O7" s="109" t="n">
        <v>46009</v>
      </c>
      <c r="P7" s="57" t="inlineStr">
        <is>
          <t>無</t>
        </is>
      </c>
      <c r="Q7" s="59" t="inlineStr"/>
      <c r="R7" s="57" t="n"/>
      <c r="S7" s="57" t="n"/>
      <c r="T7" s="109" t="n">
        <v>46014</v>
      </c>
      <c r="U7" s="109" t="n">
        <v>46016</v>
      </c>
      <c r="V7" s="109" t="n">
        <v>46011</v>
      </c>
    </row>
    <row r="8">
      <c r="A8" s="57" t="inlineStr">
        <is>
          <t>オンライン</t>
        </is>
      </c>
      <c r="B8" s="57" t="inlineStr">
        <is>
          <t>DEF-オ-0005</t>
        </is>
      </c>
      <c r="C8" s="57" t="inlineStr">
        <is>
          <t>05:完了</t>
        </is>
      </c>
      <c r="D8" s="59" t="inlineStr">
        <is>
          <t>欠陥5: 06_受入準備の不具合</t>
        </is>
      </c>
      <c r="E8" s="109" t="n">
        <v>46037</v>
      </c>
      <c r="F8" s="57" t="inlineStr">
        <is>
          <t>02_受付</t>
        </is>
      </c>
      <c r="G8" s="57" t="inlineStr">
        <is>
          <t>中</t>
        </is>
      </c>
      <c r="H8" s="57" t="inlineStr">
        <is>
          <t>低</t>
        </is>
      </c>
      <c r="I8" s="109" t="n">
        <v>46041</v>
      </c>
      <c r="J8" s="109" t="n">
        <v>46043</v>
      </c>
      <c r="K8" s="57" t="inlineStr">
        <is>
          <t>影響範囲調査不足</t>
        </is>
      </c>
      <c r="L8" s="57" t="inlineStr">
        <is>
          <t>非欠陥</t>
        </is>
      </c>
      <c r="M8" s="57" t="inlineStr">
        <is>
          <t>ITb</t>
        </is>
      </c>
      <c r="N8" s="109" t="n">
        <v>46046</v>
      </c>
      <c r="O8" s="109" t="n">
        <v>46051</v>
      </c>
      <c r="P8" s="57" t="inlineStr">
        <is>
          <t>無</t>
        </is>
      </c>
      <c r="Q8" s="59" t="inlineStr"/>
      <c r="R8" s="57" t="n"/>
      <c r="S8" s="57" t="n"/>
      <c r="T8" s="109" t="n">
        <v>46054</v>
      </c>
      <c r="U8" s="109" t="n">
        <v>46057</v>
      </c>
      <c r="V8" s="109" t="n">
        <v>46053</v>
      </c>
    </row>
    <row r="9">
      <c r="A9" s="57" t="inlineStr">
        <is>
          <t>オンライン</t>
        </is>
      </c>
      <c r="B9" s="57" t="inlineStr">
        <is>
          <t>DEF-オ-0006</t>
        </is>
      </c>
      <c r="C9" s="57" t="inlineStr">
        <is>
          <t>05:完了</t>
        </is>
      </c>
      <c r="D9" s="59" t="inlineStr">
        <is>
          <t>欠陥6: 20_移行の不具合</t>
        </is>
      </c>
      <c r="E9" s="109" t="n">
        <v>46028</v>
      </c>
      <c r="F9" s="57" t="inlineStr">
        <is>
          <t>07_口振契約受付</t>
        </is>
      </c>
      <c r="G9" s="57" t="inlineStr">
        <is>
          <t>高</t>
        </is>
      </c>
      <c r="H9" s="57" t="inlineStr">
        <is>
          <t>低</t>
        </is>
      </c>
      <c r="I9" s="109" t="n">
        <v>46029</v>
      </c>
      <c r="J9" s="109" t="n">
        <v>46029</v>
      </c>
      <c r="K9" s="57" t="inlineStr">
        <is>
          <t>考慮不足</t>
        </is>
      </c>
      <c r="L9" s="57" t="inlineStr">
        <is>
          <t>RD</t>
        </is>
      </c>
      <c r="M9" s="57" t="inlineStr">
        <is>
          <t>非欠陥</t>
        </is>
      </c>
      <c r="N9" s="109" t="n">
        <v>46033</v>
      </c>
      <c r="O9" s="109" t="n">
        <v>46033</v>
      </c>
      <c r="P9" s="57" t="inlineStr">
        <is>
          <t>有</t>
        </is>
      </c>
      <c r="Q9" s="59" t="inlineStr">
        <is>
          <t>20_移行</t>
        </is>
      </c>
      <c r="R9" s="109" t="n">
        <v>46039</v>
      </c>
      <c r="S9" s="57" t="n"/>
      <c r="T9" s="109" t="n">
        <v>46041</v>
      </c>
      <c r="U9" s="109" t="n">
        <v>46044</v>
      </c>
      <c r="V9" s="109" t="n">
        <v>46037</v>
      </c>
    </row>
    <row r="10">
      <c r="A10" s="57" t="inlineStr">
        <is>
          <t>オンライン</t>
        </is>
      </c>
      <c r="B10" s="57" t="inlineStr">
        <is>
          <t>DEF-オ-0007</t>
        </is>
      </c>
      <c r="C10" s="57" t="inlineStr">
        <is>
          <t>05:完了</t>
        </is>
      </c>
      <c r="D10" s="59" t="inlineStr">
        <is>
          <t>欠陥7: 20_移行の不具合</t>
        </is>
      </c>
      <c r="E10" s="109" t="n">
        <v>46025</v>
      </c>
      <c r="F10" s="57" t="inlineStr">
        <is>
          <t>09_事務支(その他)</t>
        </is>
      </c>
      <c r="G10" s="57" t="inlineStr">
        <is>
          <t>中</t>
        </is>
      </c>
      <c r="H10" s="57" t="inlineStr">
        <is>
          <t>高</t>
        </is>
      </c>
      <c r="I10" s="109" t="n">
        <v>46026</v>
      </c>
      <c r="J10" s="109" t="n">
        <v>46027</v>
      </c>
      <c r="K10" s="57" t="inlineStr">
        <is>
          <t>技術力不足</t>
        </is>
      </c>
      <c r="L10" s="57" t="inlineStr">
        <is>
          <t>PD</t>
        </is>
      </c>
      <c r="M10" s="57" t="inlineStr">
        <is>
          <t>ITb</t>
        </is>
      </c>
      <c r="N10" s="109" t="n">
        <v>46036</v>
      </c>
      <c r="O10" s="109" t="n">
        <v>46037</v>
      </c>
      <c r="P10" s="57" t="inlineStr">
        <is>
          <t>無</t>
        </is>
      </c>
      <c r="Q10" s="59" t="inlineStr"/>
      <c r="R10" s="57" t="n"/>
      <c r="S10" s="57" t="n"/>
      <c r="T10" s="109" t="n">
        <v>46043</v>
      </c>
      <c r="U10" s="109" t="n">
        <v>46045</v>
      </c>
      <c r="V10" s="109" t="n">
        <v>46038</v>
      </c>
    </row>
    <row r="11">
      <c r="A11" s="57" t="inlineStr">
        <is>
          <t>オンライン</t>
        </is>
      </c>
      <c r="B11" s="57" t="inlineStr">
        <is>
          <t>DEF-オ-0008</t>
        </is>
      </c>
      <c r="C11" s="57" t="inlineStr">
        <is>
          <t>05:完了</t>
        </is>
      </c>
      <c r="D11" s="59" t="inlineStr">
        <is>
          <t>欠陥8: 06_受入準備の不具合</t>
        </is>
      </c>
      <c r="E11" s="109" t="n">
        <v>46060</v>
      </c>
      <c r="F11" s="57" t="inlineStr">
        <is>
          <t>02_受付</t>
        </is>
      </c>
      <c r="G11" s="57" t="inlineStr">
        <is>
          <t>高</t>
        </is>
      </c>
      <c r="H11" s="57" t="inlineStr">
        <is>
          <t>低</t>
        </is>
      </c>
      <c r="I11" s="109" t="n">
        <v>46063</v>
      </c>
      <c r="J11" s="109" t="n">
        <v>46066</v>
      </c>
      <c r="K11" s="57" t="inlineStr">
        <is>
          <t>考慮不足</t>
        </is>
      </c>
      <c r="L11" s="57" t="inlineStr">
        <is>
          <t>非欠陥</t>
        </is>
      </c>
      <c r="M11" s="57" t="inlineStr">
        <is>
          <t>ST</t>
        </is>
      </c>
      <c r="N11" s="109" t="n">
        <v>46067</v>
      </c>
      <c r="O11" s="109" t="n">
        <v>46070</v>
      </c>
      <c r="P11" s="57" t="inlineStr">
        <is>
          <t>無</t>
        </is>
      </c>
      <c r="Q11" s="59" t="inlineStr"/>
      <c r="R11" s="57" t="n"/>
      <c r="S11" s="57" t="n"/>
      <c r="T11" s="109" t="n">
        <v>46075</v>
      </c>
      <c r="U11" s="109" t="n">
        <v>46077</v>
      </c>
      <c r="V11" s="109" t="n">
        <v>46072</v>
      </c>
    </row>
    <row r="12">
      <c r="A12" s="57" t="inlineStr">
        <is>
          <t>オンライン</t>
        </is>
      </c>
      <c r="B12" s="57" t="inlineStr">
        <is>
          <t>DEF-オ-0009</t>
        </is>
      </c>
      <c r="C12" s="57" t="inlineStr">
        <is>
          <t>04:検証中</t>
        </is>
      </c>
      <c r="D12" s="59" t="inlineStr">
        <is>
          <t>欠陥9: 08_事務支(変更通知)の不具合</t>
        </is>
      </c>
      <c r="E12" s="109" t="n">
        <v>46031</v>
      </c>
      <c r="F12" s="57" t="inlineStr">
        <is>
          <t>40_基盤</t>
        </is>
      </c>
      <c r="G12" s="57" t="inlineStr">
        <is>
          <t>高</t>
        </is>
      </c>
      <c r="H12" s="57" t="inlineStr">
        <is>
          <t>低</t>
        </is>
      </c>
      <c r="I12" s="109" t="n">
        <v>46032</v>
      </c>
      <c r="J12" s="109" t="n">
        <v>46031</v>
      </c>
      <c r="K12" s="57" t="inlineStr">
        <is>
          <t>注意不足</t>
        </is>
      </c>
      <c r="L12" s="57" t="inlineStr">
        <is>
          <t>ID</t>
        </is>
      </c>
      <c r="M12" s="57" t="inlineStr">
        <is>
          <t>ITa</t>
        </is>
      </c>
      <c r="N12" s="109" t="n">
        <v>46042</v>
      </c>
      <c r="O12" s="109" t="n">
        <v>46043</v>
      </c>
      <c r="P12" s="57" t="inlineStr">
        <is>
          <t>無</t>
        </is>
      </c>
      <c r="Q12" s="59" t="inlineStr"/>
      <c r="R12" s="57" t="n"/>
      <c r="S12" s="57" t="n"/>
      <c r="T12" s="109" t="n">
        <v>46054</v>
      </c>
      <c r="U12" s="57" t="n"/>
      <c r="V12" s="57" t="n"/>
    </row>
    <row r="13">
      <c r="A13" s="57" t="inlineStr">
        <is>
          <t>オンライン</t>
        </is>
      </c>
      <c r="B13" s="57" t="inlineStr">
        <is>
          <t>DEF-オ-0010</t>
        </is>
      </c>
      <c r="C13" s="57" t="inlineStr">
        <is>
          <t>04:検証中</t>
        </is>
      </c>
      <c r="D13" s="59" t="inlineStr">
        <is>
          <t>欠陥10: 09_事務支(その他)の不具合</t>
        </is>
      </c>
      <c r="E13" s="109" t="n">
        <v>46000</v>
      </c>
      <c r="F13" s="57" t="inlineStr">
        <is>
          <t>04_欠陥・返戻</t>
        </is>
      </c>
      <c r="G13" s="57" t="inlineStr">
        <is>
          <t>低</t>
        </is>
      </c>
      <c r="H13" s="57" t="inlineStr">
        <is>
          <t>高</t>
        </is>
      </c>
      <c r="I13" s="109" t="n">
        <v>46005</v>
      </c>
      <c r="J13" s="109" t="n">
        <v>46006</v>
      </c>
      <c r="K13" s="57" t="inlineStr">
        <is>
          <t>影響範囲調査不足</t>
        </is>
      </c>
      <c r="L13" s="57" t="inlineStr">
        <is>
          <t>ID</t>
        </is>
      </c>
      <c r="M13" s="57" t="inlineStr">
        <is>
          <t>ST</t>
        </is>
      </c>
      <c r="N13" s="109" t="n">
        <v>46013</v>
      </c>
      <c r="O13" s="109" t="n">
        <v>46011</v>
      </c>
      <c r="P13" s="57" t="inlineStr">
        <is>
          <t>無</t>
        </is>
      </c>
      <c r="Q13" s="59" t="inlineStr"/>
      <c r="R13" s="57" t="n"/>
      <c r="S13" s="57" t="n"/>
      <c r="T13" s="109" t="n">
        <v>46019</v>
      </c>
      <c r="U13" s="57" t="n"/>
      <c r="V13" s="57" t="n"/>
    </row>
    <row r="14">
      <c r="A14" s="57" t="inlineStr">
        <is>
          <t>オンライン</t>
        </is>
      </c>
      <c r="B14" s="57" t="inlineStr">
        <is>
          <t>DEF-オ-0011</t>
        </is>
      </c>
      <c r="C14" s="57" t="inlineStr">
        <is>
          <t>04:検証中</t>
        </is>
      </c>
      <c r="D14" s="59" t="inlineStr">
        <is>
          <t>欠陥11: 07_口振契約受付の不具合</t>
        </is>
      </c>
      <c r="E14" s="109" t="n">
        <v>46045</v>
      </c>
      <c r="F14" s="57" t="inlineStr">
        <is>
          <t>07_口振契約受付</t>
        </is>
      </c>
      <c r="G14" s="57" t="inlineStr">
        <is>
          <t>低</t>
        </is>
      </c>
      <c r="H14" s="57" t="inlineStr">
        <is>
          <t>低</t>
        </is>
      </c>
      <c r="I14" s="109" t="n">
        <v>46050</v>
      </c>
      <c r="J14" s="109" t="n">
        <v>46050</v>
      </c>
      <c r="K14" s="57" t="inlineStr">
        <is>
          <t>業務/仕様理解不足</t>
        </is>
      </c>
      <c r="L14" s="57" t="inlineStr">
        <is>
          <t>その他</t>
        </is>
      </c>
      <c r="M14" s="57" t="inlineStr">
        <is>
          <t>CT</t>
        </is>
      </c>
      <c r="N14" s="109" t="n">
        <v>46055</v>
      </c>
      <c r="O14" s="109" t="n">
        <v>46058</v>
      </c>
      <c r="P14" s="57" t="inlineStr">
        <is>
          <t>無</t>
        </is>
      </c>
      <c r="Q14" s="59" t="inlineStr"/>
      <c r="R14" s="57" t="n"/>
      <c r="S14" s="57" t="n"/>
      <c r="T14" s="109" t="n">
        <v>46062</v>
      </c>
      <c r="U14" s="57" t="n"/>
      <c r="V14" s="57" t="n"/>
    </row>
    <row r="15">
      <c r="A15" s="57" t="inlineStr">
        <is>
          <t>オンライン</t>
        </is>
      </c>
      <c r="B15" s="57" t="inlineStr">
        <is>
          <t>DEF-オ-0012</t>
        </is>
      </c>
      <c r="C15" s="57" t="inlineStr">
        <is>
          <t>04:検証中</t>
        </is>
      </c>
      <c r="D15" s="59" t="inlineStr">
        <is>
          <t>欠陥12: 06_受入準備の不具合</t>
        </is>
      </c>
      <c r="E15" s="109" t="n">
        <v>46085</v>
      </c>
      <c r="F15" s="57" t="inlineStr">
        <is>
          <t>20_移行</t>
        </is>
      </c>
      <c r="G15" s="57" t="inlineStr">
        <is>
          <t>中</t>
        </is>
      </c>
      <c r="H15" s="57" t="inlineStr">
        <is>
          <t>高</t>
        </is>
      </c>
      <c r="I15" s="109" t="n">
        <v>46087</v>
      </c>
      <c r="J15" s="109" t="n">
        <v>46086</v>
      </c>
      <c r="K15" s="57" t="inlineStr">
        <is>
          <t>外的要因</t>
        </is>
      </c>
      <c r="L15" s="57" t="inlineStr">
        <is>
          <t>RD</t>
        </is>
      </c>
      <c r="M15" s="57" t="inlineStr">
        <is>
          <t>非欠陥</t>
        </is>
      </c>
      <c r="N15" s="109" t="n">
        <v>46094</v>
      </c>
      <c r="O15" s="109" t="n">
        <v>46098</v>
      </c>
      <c r="P15" s="57" t="inlineStr">
        <is>
          <t>無</t>
        </is>
      </c>
      <c r="Q15" s="59" t="inlineStr"/>
      <c r="R15" s="57" t="n"/>
      <c r="S15" s="57" t="n"/>
      <c r="T15" s="109" t="n">
        <v>46099</v>
      </c>
      <c r="U15" s="57" t="n"/>
      <c r="V15" s="57" t="n"/>
    </row>
    <row r="16">
      <c r="A16" s="57" t="inlineStr">
        <is>
          <t>オンライン</t>
        </is>
      </c>
      <c r="B16" s="57" t="inlineStr">
        <is>
          <t>DEF-オ-0013</t>
        </is>
      </c>
      <c r="C16" s="57" t="inlineStr">
        <is>
          <t>03:対応中</t>
        </is>
      </c>
      <c r="D16" s="59" t="inlineStr">
        <is>
          <t>欠陥13: 03_請求の不具合</t>
        </is>
      </c>
      <c r="E16" s="109" t="n">
        <v>46012</v>
      </c>
      <c r="F16" s="57" t="inlineStr">
        <is>
          <t>40_基盤</t>
        </is>
      </c>
      <c r="G16" s="57" t="inlineStr">
        <is>
          <t>中</t>
        </is>
      </c>
      <c r="H16" s="57" t="inlineStr">
        <is>
          <t>低</t>
        </is>
      </c>
      <c r="I16" s="109" t="n">
        <v>46015</v>
      </c>
      <c r="J16" s="109" t="n">
        <v>46015</v>
      </c>
      <c r="K16" s="57" t="inlineStr">
        <is>
          <t>考慮不足</t>
        </is>
      </c>
      <c r="L16" s="57" t="inlineStr">
        <is>
          <t>その他</t>
        </is>
      </c>
      <c r="M16" s="57" t="inlineStr">
        <is>
          <t>非欠陥</t>
        </is>
      </c>
      <c r="N16" s="109" t="n">
        <v>46024</v>
      </c>
      <c r="O16" s="57" t="n"/>
      <c r="P16" s="57" t="inlineStr">
        <is>
          <t>有</t>
        </is>
      </c>
      <c r="Q16" s="59" t="inlineStr">
        <is>
          <t>02_受付</t>
        </is>
      </c>
      <c r="R16" s="109" t="n">
        <v>46028</v>
      </c>
      <c r="S16" s="57" t="n"/>
      <c r="T16" s="109" t="n">
        <v>46036</v>
      </c>
      <c r="U16" s="57" t="n"/>
      <c r="V16" s="57" t="n"/>
    </row>
    <row r="17">
      <c r="A17" s="57" t="inlineStr">
        <is>
          <t>オンライン</t>
        </is>
      </c>
      <c r="B17" s="57" t="inlineStr">
        <is>
          <t>DEF-オ-0014</t>
        </is>
      </c>
      <c r="C17" s="57" t="inlineStr">
        <is>
          <t>03:対応中</t>
        </is>
      </c>
      <c r="D17" s="59" t="inlineStr">
        <is>
          <t>欠陥14: 08_事務支(変更通知)の不具合</t>
        </is>
      </c>
      <c r="E17" s="109" t="n">
        <v>46070</v>
      </c>
      <c r="F17" s="57" t="inlineStr">
        <is>
          <t>07_口振契約受付</t>
        </is>
      </c>
      <c r="G17" s="57" t="inlineStr">
        <is>
          <t>低</t>
        </is>
      </c>
      <c r="H17" s="57" t="inlineStr">
        <is>
          <t>中</t>
        </is>
      </c>
      <c r="I17" s="109" t="n">
        <v>46074</v>
      </c>
      <c r="J17" s="109" t="n">
        <v>46075</v>
      </c>
      <c r="K17" s="57" t="inlineStr">
        <is>
          <t>業務/仕様理解不足</t>
        </is>
      </c>
      <c r="L17" s="57" t="inlineStr">
        <is>
          <t>非欠陥</t>
        </is>
      </c>
      <c r="M17" s="57" t="inlineStr">
        <is>
          <t>CT</t>
        </is>
      </c>
      <c r="N17" s="109" t="n">
        <v>46084</v>
      </c>
      <c r="O17" s="57" t="n"/>
      <c r="P17" s="57" t="inlineStr">
        <is>
          <t>無</t>
        </is>
      </c>
      <c r="Q17" s="59" t="inlineStr"/>
      <c r="R17" s="57" t="n"/>
      <c r="S17" s="57" t="n"/>
      <c r="T17" s="109" t="n">
        <v>46089</v>
      </c>
      <c r="U17" s="57" t="n"/>
      <c r="V17" s="57" t="n"/>
    </row>
    <row r="18">
      <c r="A18" s="57" t="inlineStr">
        <is>
          <t>オンライン</t>
        </is>
      </c>
      <c r="B18" s="57" t="inlineStr">
        <is>
          <t>DEF-オ-0015</t>
        </is>
      </c>
      <c r="C18" s="57" t="inlineStr">
        <is>
          <t>03:対応中</t>
        </is>
      </c>
      <c r="D18" s="59" t="inlineStr">
        <is>
          <t>欠陥15: 06_受入準備の不具合</t>
        </is>
      </c>
      <c r="E18" s="109" t="n">
        <v>46073</v>
      </c>
      <c r="F18" s="57" t="inlineStr">
        <is>
          <t>08_事務支(変更通知)</t>
        </is>
      </c>
      <c r="G18" s="57" t="inlineStr">
        <is>
          <t>高</t>
        </is>
      </c>
      <c r="H18" s="57" t="inlineStr">
        <is>
          <t>中</t>
        </is>
      </c>
      <c r="I18" s="109" t="n">
        <v>46075</v>
      </c>
      <c r="J18" s="109" t="n">
        <v>46077</v>
      </c>
      <c r="K18" s="57" t="inlineStr">
        <is>
          <t>業務/仕様理解不足</t>
        </is>
      </c>
      <c r="L18" s="57" t="inlineStr">
        <is>
          <t>その他</t>
        </is>
      </c>
      <c r="M18" s="57" t="inlineStr">
        <is>
          <t>非欠陥</t>
        </is>
      </c>
      <c r="N18" s="109" t="n">
        <v>46083</v>
      </c>
      <c r="O18" s="57" t="n"/>
      <c r="P18" s="57" t="inlineStr">
        <is>
          <t>無</t>
        </is>
      </c>
      <c r="Q18" s="59" t="inlineStr"/>
      <c r="R18" s="57" t="n"/>
      <c r="S18" s="57" t="n"/>
      <c r="T18" s="109" t="n">
        <v>46094</v>
      </c>
      <c r="U18" s="57" t="n"/>
      <c r="V18" s="57" t="n"/>
    </row>
    <row r="19">
      <c r="A19" s="57" t="inlineStr">
        <is>
          <t>オンライン</t>
        </is>
      </c>
      <c r="B19" s="57" t="inlineStr">
        <is>
          <t>DEF-オ-0016</t>
        </is>
      </c>
      <c r="C19" s="57" t="inlineStr">
        <is>
          <t>03:対応中</t>
        </is>
      </c>
      <c r="D19" s="59" t="inlineStr">
        <is>
          <t>欠陥16: 09_事務支(その他)の不具合</t>
        </is>
      </c>
      <c r="E19" s="109" t="n">
        <v>46045</v>
      </c>
      <c r="F19" s="57" t="inlineStr">
        <is>
          <t>30_運用</t>
        </is>
      </c>
      <c r="G19" s="57" t="inlineStr">
        <is>
          <t>中</t>
        </is>
      </c>
      <c r="H19" s="57" t="inlineStr">
        <is>
          <t>中</t>
        </is>
      </c>
      <c r="I19" s="109" t="n">
        <v>46048</v>
      </c>
      <c r="J19" s="109" t="n">
        <v>46050</v>
      </c>
      <c r="K19" s="57" t="inlineStr">
        <is>
          <t>未知</t>
        </is>
      </c>
      <c r="L19" s="57" t="inlineStr">
        <is>
          <t>その他</t>
        </is>
      </c>
      <c r="M19" s="57" t="inlineStr">
        <is>
          <t>非欠陥</t>
        </is>
      </c>
      <c r="N19" s="109" t="n">
        <v>46080</v>
      </c>
      <c r="O19" s="57" t="n"/>
      <c r="P19" s="57" t="inlineStr">
        <is>
          <t>無</t>
        </is>
      </c>
      <c r="Q19" s="59" t="inlineStr"/>
      <c r="R19" s="57" t="n"/>
      <c r="S19" s="57" t="n"/>
      <c r="T19" s="109" t="n">
        <v>46063</v>
      </c>
      <c r="U19" s="57" t="n"/>
      <c r="V19" s="57" t="n"/>
    </row>
    <row r="20">
      <c r="A20" s="57" t="inlineStr">
        <is>
          <t>オンライン</t>
        </is>
      </c>
      <c r="B20" s="57" t="inlineStr">
        <is>
          <t>DEF-オ-0017</t>
        </is>
      </c>
      <c r="C20" s="57" t="inlineStr">
        <is>
          <t>03:対応中</t>
        </is>
      </c>
      <c r="D20" s="59" t="inlineStr">
        <is>
          <t>欠陥17: 40_基盤の不具合</t>
        </is>
      </c>
      <c r="E20" s="109" t="n">
        <v>46078</v>
      </c>
      <c r="F20" s="57" t="inlineStr">
        <is>
          <t>07_口振契約受付</t>
        </is>
      </c>
      <c r="G20" s="57" t="inlineStr">
        <is>
          <t>中</t>
        </is>
      </c>
      <c r="H20" s="57" t="inlineStr">
        <is>
          <t>低</t>
        </is>
      </c>
      <c r="I20" s="109" t="n">
        <v>46080</v>
      </c>
      <c r="J20" s="109" t="n">
        <v>46079</v>
      </c>
      <c r="K20" s="57" t="inlineStr">
        <is>
          <t>影響範囲調査不足</t>
        </is>
      </c>
      <c r="L20" s="57" t="inlineStr">
        <is>
          <t>ED</t>
        </is>
      </c>
      <c r="M20" s="57" t="inlineStr">
        <is>
          <t>非欠陥</t>
        </is>
      </c>
      <c r="N20" s="109" t="n">
        <v>46085</v>
      </c>
      <c r="O20" s="57" t="n"/>
      <c r="P20" s="57" t="inlineStr">
        <is>
          <t>無</t>
        </is>
      </c>
      <c r="Q20" s="59" t="inlineStr"/>
      <c r="R20" s="57" t="n"/>
      <c r="S20" s="57" t="n"/>
      <c r="T20" s="109" t="n">
        <v>46097</v>
      </c>
      <c r="U20" s="57" t="n"/>
      <c r="V20" s="57" t="n"/>
    </row>
    <row r="21">
      <c r="A21" s="57" t="inlineStr">
        <is>
          <t>オンライン</t>
        </is>
      </c>
      <c r="B21" s="57" t="inlineStr">
        <is>
          <t>DEF-オ-0018</t>
        </is>
      </c>
      <c r="C21" s="57" t="inlineStr">
        <is>
          <t>02:調査中</t>
        </is>
      </c>
      <c r="D21" s="59" t="inlineStr">
        <is>
          <t>欠陥18: 04_欠陥・返戻の不具合</t>
        </is>
      </c>
      <c r="E21" s="109" t="n">
        <v>46058</v>
      </c>
      <c r="F21" s="57" t="inlineStr">
        <is>
          <t>06_受入準備</t>
        </is>
      </c>
      <c r="G21" s="57" t="inlineStr">
        <is>
          <t>中</t>
        </is>
      </c>
      <c r="H21" s="57" t="inlineStr">
        <is>
          <t>低</t>
        </is>
      </c>
      <c r="I21" s="109" t="n">
        <v>46062</v>
      </c>
      <c r="J21" s="57" t="n"/>
      <c r="K21" s="57" t="inlineStr">
        <is>
          <t>注意不足</t>
        </is>
      </c>
      <c r="L21" s="57" t="inlineStr">
        <is>
          <t>ED</t>
        </is>
      </c>
      <c r="M21" s="57" t="inlineStr">
        <is>
          <t>ITa</t>
        </is>
      </c>
      <c r="N21" s="109" t="n">
        <v>46069</v>
      </c>
      <c r="O21" s="57" t="n"/>
      <c r="P21" s="57" t="inlineStr">
        <is>
          <t>無</t>
        </is>
      </c>
      <c r="Q21" s="59" t="inlineStr"/>
      <c r="R21" s="57" t="n"/>
      <c r="S21" s="57" t="n"/>
      <c r="T21" s="109" t="n">
        <v>46078</v>
      </c>
      <c r="U21" s="57" t="n"/>
      <c r="V21" s="57" t="n"/>
    </row>
    <row r="22">
      <c r="A22" s="57" t="inlineStr">
        <is>
          <t>オンライン</t>
        </is>
      </c>
      <c r="B22" s="57" t="inlineStr">
        <is>
          <t>DEF-オ-0019</t>
        </is>
      </c>
      <c r="C22" s="57" t="inlineStr">
        <is>
          <t>02:調査中</t>
        </is>
      </c>
      <c r="D22" s="59" t="inlineStr">
        <is>
          <t>欠陥19: 09_事務支(その他)の不具合</t>
        </is>
      </c>
      <c r="E22" s="109" t="n">
        <v>46070</v>
      </c>
      <c r="F22" s="57" t="inlineStr">
        <is>
          <t>07_口振契約受付</t>
        </is>
      </c>
      <c r="G22" s="57" t="inlineStr">
        <is>
          <t>低</t>
        </is>
      </c>
      <c r="H22" s="57" t="inlineStr">
        <is>
          <t>低</t>
        </is>
      </c>
      <c r="I22" s="109" t="n">
        <v>46012</v>
      </c>
      <c r="J22" s="57" t="n"/>
      <c r="K22" s="57" t="inlineStr">
        <is>
          <t>プロセス不備</t>
        </is>
      </c>
      <c r="L22" s="57" t="inlineStr">
        <is>
          <t>PD</t>
        </is>
      </c>
      <c r="M22" s="57" t="inlineStr">
        <is>
          <t>非欠陥</t>
        </is>
      </c>
      <c r="N22" s="109" t="n">
        <v>46022</v>
      </c>
      <c r="O22" s="57" t="n"/>
      <c r="P22" s="57" t="inlineStr">
        <is>
          <t>無</t>
        </is>
      </c>
      <c r="Q22" s="59" t="inlineStr"/>
      <c r="R22" s="57" t="n"/>
      <c r="S22" s="57" t="n"/>
      <c r="T22" s="109" t="n">
        <v>46030</v>
      </c>
      <c r="U22" s="57" t="n"/>
      <c r="V22" s="57" t="n"/>
    </row>
    <row r="23">
      <c r="A23" s="57" t="inlineStr">
        <is>
          <t>オンライン</t>
        </is>
      </c>
      <c r="B23" s="57" t="inlineStr">
        <is>
          <t>DEF-オ-0020</t>
        </is>
      </c>
      <c r="C23" s="57" t="inlineStr">
        <is>
          <t>02:調査中</t>
        </is>
      </c>
      <c r="D23" s="59" t="inlineStr">
        <is>
          <t>欠陥20: 20_移行の不具合</t>
        </is>
      </c>
      <c r="E23" s="109" t="n">
        <v>45998</v>
      </c>
      <c r="F23" s="57" t="inlineStr">
        <is>
          <t>07_口振契約受付</t>
        </is>
      </c>
      <c r="G23" s="57" t="inlineStr">
        <is>
          <t>中</t>
        </is>
      </c>
      <c r="H23" s="57" t="inlineStr">
        <is>
          <t>低</t>
        </is>
      </c>
      <c r="I23" s="109" t="n">
        <v>45999</v>
      </c>
      <c r="J23" s="57" t="n"/>
      <c r="K23" s="57" t="inlineStr">
        <is>
          <t>プロセス不備</t>
        </is>
      </c>
      <c r="L23" s="57" t="inlineStr">
        <is>
          <t>非欠陥</t>
        </is>
      </c>
      <c r="M23" s="57" t="inlineStr">
        <is>
          <t>ST</t>
        </is>
      </c>
      <c r="N23" s="109" t="n">
        <v>46005</v>
      </c>
      <c r="O23" s="57" t="n"/>
      <c r="P23" s="57" t="inlineStr">
        <is>
          <t>無</t>
        </is>
      </c>
      <c r="Q23" s="59" t="inlineStr"/>
      <c r="R23" s="57" t="n"/>
      <c r="S23" s="57" t="n"/>
      <c r="T23" s="109" t="n">
        <v>46012</v>
      </c>
      <c r="U23" s="57" t="n"/>
      <c r="V23" s="57" t="n"/>
    </row>
    <row r="24">
      <c r="A24" s="57" t="inlineStr">
        <is>
          <t>オンライン</t>
        </is>
      </c>
      <c r="B24" s="57" t="inlineStr">
        <is>
          <t>DEF-オ-0021</t>
        </is>
      </c>
      <c r="C24" s="57" t="inlineStr">
        <is>
          <t>01:未着手</t>
        </is>
      </c>
      <c r="D24" s="59" t="inlineStr">
        <is>
          <t>欠陥21: 10_共通の不具合</t>
        </is>
      </c>
      <c r="E24" s="109" t="n">
        <v>46032</v>
      </c>
      <c r="F24" s="57" t="inlineStr">
        <is>
          <t>30_運用</t>
        </is>
      </c>
      <c r="G24" s="57" t="inlineStr">
        <is>
          <t>低</t>
        </is>
      </c>
      <c r="H24" s="57" t="inlineStr">
        <is>
          <t>高</t>
        </is>
      </c>
      <c r="I24" s="109" t="n">
        <v>46033</v>
      </c>
      <c r="J24" s="57" t="n"/>
      <c r="K24" s="57" t="inlineStr">
        <is>
          <t>非欠陥</t>
        </is>
      </c>
      <c r="L24" s="57" t="inlineStr">
        <is>
          <t>ID</t>
        </is>
      </c>
      <c r="M24" s="57" t="inlineStr">
        <is>
          <t>ITa</t>
        </is>
      </c>
      <c r="N24" s="109" t="n">
        <v>46040</v>
      </c>
      <c r="O24" s="57" t="n"/>
      <c r="P24" s="57" t="inlineStr">
        <is>
          <t>有</t>
        </is>
      </c>
      <c r="Q24" s="59" t="inlineStr">
        <is>
          <t>06_受入準備</t>
        </is>
      </c>
      <c r="R24" s="109" t="n">
        <v>46044</v>
      </c>
      <c r="S24" s="57" t="n"/>
      <c r="T24" s="109" t="n">
        <v>46047</v>
      </c>
      <c r="U24" s="57" t="n"/>
      <c r="V24" s="57" t="n"/>
    </row>
    <row r="25">
      <c r="A25" s="57" t="inlineStr">
        <is>
          <t>オンライン</t>
        </is>
      </c>
      <c r="B25" s="57" t="inlineStr">
        <is>
          <t>DEF-オ-0022</t>
        </is>
      </c>
      <c r="C25" s="57" t="inlineStr">
        <is>
          <t>01:未着手</t>
        </is>
      </c>
      <c r="D25" s="59" t="inlineStr">
        <is>
          <t>欠陥22: 07_口振契約受付の不具合</t>
        </is>
      </c>
      <c r="E25" s="109" t="n">
        <v>46015</v>
      </c>
      <c r="F25" s="57" t="inlineStr">
        <is>
          <t>20_移行</t>
        </is>
      </c>
      <c r="G25" s="57" t="inlineStr">
        <is>
          <t>中</t>
        </is>
      </c>
      <c r="H25" s="57" t="inlineStr">
        <is>
          <t>高</t>
        </is>
      </c>
      <c r="I25" s="109" t="n">
        <v>46018</v>
      </c>
      <c r="J25" s="57" t="n"/>
      <c r="K25" s="57" t="inlineStr">
        <is>
          <t>外的要因</t>
        </is>
      </c>
      <c r="L25" s="57" t="inlineStr">
        <is>
          <t>PD</t>
        </is>
      </c>
      <c r="M25" s="57" t="inlineStr">
        <is>
          <t>ST</t>
        </is>
      </c>
      <c r="N25" s="109" t="n">
        <v>46027</v>
      </c>
      <c r="O25" s="57" t="n"/>
      <c r="P25" s="57" t="inlineStr">
        <is>
          <t>無</t>
        </is>
      </c>
      <c r="Q25" s="59" t="inlineStr"/>
      <c r="R25" s="57" t="n"/>
      <c r="S25" s="57" t="n"/>
      <c r="T25" s="109" t="n">
        <v>46038</v>
      </c>
      <c r="U25" s="57" t="n"/>
      <c r="V25" s="57" t="n"/>
    </row>
    <row r="26">
      <c r="A26" s="57" t="inlineStr">
        <is>
          <t>オンライン</t>
        </is>
      </c>
      <c r="B26" s="57" t="inlineStr">
        <is>
          <t>DEF-オ-0023</t>
        </is>
      </c>
      <c r="C26" s="57" t="inlineStr">
        <is>
          <t>01:未着手</t>
        </is>
      </c>
      <c r="D26" s="59" t="inlineStr">
        <is>
          <t>欠陥23: 05_清算の不具合</t>
        </is>
      </c>
      <c r="E26" s="109" t="n">
        <v>46014</v>
      </c>
      <c r="F26" s="57" t="inlineStr">
        <is>
          <t>03_請求</t>
        </is>
      </c>
      <c r="G26" s="57" t="inlineStr">
        <is>
          <t>高</t>
        </is>
      </c>
      <c r="H26" s="57" t="inlineStr">
        <is>
          <t>低</t>
        </is>
      </c>
      <c r="I26" s="109" t="n">
        <v>46015</v>
      </c>
      <c r="J26" s="57" t="n"/>
      <c r="K26" s="57" t="inlineStr">
        <is>
          <t>情報共有不足</t>
        </is>
      </c>
      <c r="L26" s="57" t="inlineStr">
        <is>
          <t>RD</t>
        </is>
      </c>
      <c r="M26" s="57" t="inlineStr">
        <is>
          <t>非欠陥</t>
        </is>
      </c>
      <c r="N26" s="109" t="n">
        <v>46021</v>
      </c>
      <c r="O26" s="57" t="n"/>
      <c r="P26" s="57" t="inlineStr">
        <is>
          <t>無</t>
        </is>
      </c>
      <c r="Q26" s="59" t="inlineStr"/>
      <c r="R26" s="57" t="n"/>
      <c r="S26" s="57" t="n"/>
      <c r="T26" s="109" t="n">
        <v>46034</v>
      </c>
      <c r="U26" s="57" t="n"/>
      <c r="V26" s="57" t="n"/>
    </row>
    <row r="27">
      <c r="A27" s="57" t="inlineStr">
        <is>
          <t>オンライン</t>
        </is>
      </c>
      <c r="B27" s="57" t="inlineStr">
        <is>
          <t>DEF-オ-0024</t>
        </is>
      </c>
      <c r="C27" s="57" t="inlineStr">
        <is>
          <t>98:保留</t>
        </is>
      </c>
      <c r="D27" s="59" t="inlineStr">
        <is>
          <t>欠陥24: 02_受付の不具合</t>
        </is>
      </c>
      <c r="E27" s="109" t="n">
        <v>46075</v>
      </c>
      <c r="F27" s="57" t="inlineStr">
        <is>
          <t>07_口振契約受付</t>
        </is>
      </c>
      <c r="G27" s="57" t="inlineStr">
        <is>
          <t>低</t>
        </is>
      </c>
      <c r="H27" s="57" t="inlineStr">
        <is>
          <t>低</t>
        </is>
      </c>
      <c r="I27" s="109" t="n">
        <v>46078</v>
      </c>
      <c r="J27" s="57" t="n"/>
      <c r="K27" s="57" t="inlineStr">
        <is>
          <t>情報共有不足</t>
        </is>
      </c>
      <c r="L27" s="57" t="inlineStr">
        <is>
          <t>ID</t>
        </is>
      </c>
      <c r="M27" s="57" t="inlineStr">
        <is>
          <t>ITb</t>
        </is>
      </c>
      <c r="N27" s="109" t="n">
        <v>46083</v>
      </c>
      <c r="O27" s="57" t="n"/>
      <c r="P27" s="57" t="inlineStr">
        <is>
          <t>無</t>
        </is>
      </c>
      <c r="Q27" s="59" t="inlineStr"/>
      <c r="R27" s="57" t="n"/>
      <c r="S27" s="57" t="n"/>
      <c r="T27" s="109" t="n">
        <v>46093</v>
      </c>
      <c r="U27" s="57" t="n"/>
      <c r="V27" s="57" t="n"/>
    </row>
    <row r="28">
      <c r="A28" s="57" t="inlineStr">
        <is>
          <t>オンライン</t>
        </is>
      </c>
      <c r="B28" s="57" t="inlineStr">
        <is>
          <t>DEF-オ-0025</t>
        </is>
      </c>
      <c r="C28" s="57" t="inlineStr">
        <is>
          <t>98:保留</t>
        </is>
      </c>
      <c r="D28" s="59" t="inlineStr">
        <is>
          <t>欠陥25: 01_委託者登録の不具合</t>
        </is>
      </c>
      <c r="E28" s="109" t="n">
        <v>46015</v>
      </c>
      <c r="F28" s="57" t="inlineStr">
        <is>
          <t>05_清算</t>
        </is>
      </c>
      <c r="G28" s="57" t="inlineStr">
        <is>
          <t>高</t>
        </is>
      </c>
      <c r="H28" s="57" t="inlineStr">
        <is>
          <t>中</t>
        </is>
      </c>
      <c r="I28" s="109" t="n">
        <v>46018</v>
      </c>
      <c r="J28" s="57" t="n"/>
      <c r="K28" s="57" t="inlineStr">
        <is>
          <t>技術力不足</t>
        </is>
      </c>
      <c r="L28" s="57" t="inlineStr">
        <is>
          <t>ID</t>
        </is>
      </c>
      <c r="M28" s="57" t="inlineStr">
        <is>
          <t>CT</t>
        </is>
      </c>
      <c r="N28" s="109" t="n">
        <v>46028</v>
      </c>
      <c r="O28" s="57" t="n"/>
      <c r="P28" s="57" t="inlineStr">
        <is>
          <t>有</t>
        </is>
      </c>
      <c r="Q28" s="59" t="inlineStr">
        <is>
          <t>03_請求</t>
        </is>
      </c>
      <c r="R28" s="109" t="n">
        <v>46032</v>
      </c>
      <c r="S28" s="57" t="n"/>
      <c r="T28" s="109" t="n">
        <v>46033</v>
      </c>
      <c r="U28" s="57" t="n"/>
      <c r="V28" s="57" t="n"/>
    </row>
    <row r="29">
      <c r="A29" s="57" t="inlineStr">
        <is>
          <t>オンライン</t>
        </is>
      </c>
      <c r="B29" s="57" t="inlineStr">
        <is>
          <t>DEF-オ-0026</t>
        </is>
      </c>
      <c r="C29" s="57" t="inlineStr">
        <is>
          <t>98:保留</t>
        </is>
      </c>
      <c r="D29" s="59" t="inlineStr">
        <is>
          <t>欠陥26: 06_受入準備の不具合</t>
        </is>
      </c>
      <c r="E29" s="109" t="n">
        <v>46085</v>
      </c>
      <c r="F29" s="57" t="inlineStr">
        <is>
          <t>03_請求</t>
        </is>
      </c>
      <c r="G29" s="57" t="inlineStr">
        <is>
          <t>中</t>
        </is>
      </c>
      <c r="H29" s="57" t="inlineStr">
        <is>
          <t>中</t>
        </is>
      </c>
      <c r="I29" s="109" t="n">
        <v>46088</v>
      </c>
      <c r="J29" s="57" t="n"/>
      <c r="K29" s="57" t="inlineStr">
        <is>
          <t>影響範囲調査不足</t>
        </is>
      </c>
      <c r="L29" s="57" t="inlineStr">
        <is>
          <t>非欠陥</t>
        </is>
      </c>
      <c r="M29" s="57" t="inlineStr">
        <is>
          <t>ITa</t>
        </is>
      </c>
      <c r="N29" s="109" t="n">
        <v>46097</v>
      </c>
      <c r="O29" s="57" t="n"/>
      <c r="P29" s="57" t="inlineStr">
        <is>
          <t>有</t>
        </is>
      </c>
      <c r="Q29" s="59" t="inlineStr">
        <is>
          <t>06_受入準備</t>
        </is>
      </c>
      <c r="R29" s="109" t="n">
        <v>46101</v>
      </c>
      <c r="S29" s="57" t="n"/>
      <c r="T29" s="109" t="n">
        <v>46106</v>
      </c>
      <c r="U29" s="57" t="n"/>
      <c r="V29" s="5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FAADC"/>
    <outlinePr summaryBelow="1" summaryRight="1"/>
    <pageSetUpPr/>
  </sheetPr>
  <dimension ref="A1:V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12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</cols>
  <sheetData>
    <row r="1" ht="25" customHeight="1">
      <c r="A1" s="103" t="inlineStr">
        <is>
          <t>欠陥詳細 - バッチ</t>
        </is>
      </c>
    </row>
    <row r="3">
      <c r="A3" s="51" t="inlineStr">
        <is>
          <t>チーム名</t>
        </is>
      </c>
      <c r="B3" s="51" t="inlineStr">
        <is>
          <t>欠陥ID</t>
        </is>
      </c>
      <c r="C3" s="51" t="inlineStr">
        <is>
          <t>対応状況</t>
        </is>
      </c>
      <c r="D3" s="51" t="inlineStr">
        <is>
          <t>件名</t>
        </is>
      </c>
      <c r="E3" s="51" t="inlineStr">
        <is>
          <t>発見日</t>
        </is>
      </c>
      <c r="F3" s="51" t="inlineStr">
        <is>
          <t>業務機能分類</t>
        </is>
      </c>
      <c r="G3" s="51" t="inlineStr">
        <is>
          <t>緊急度</t>
        </is>
      </c>
      <c r="H3" s="51" t="inlineStr">
        <is>
          <t>影響度</t>
        </is>
      </c>
      <c r="I3" s="51" t="inlineStr">
        <is>
          <t>調査予定日</t>
        </is>
      </c>
      <c r="J3" s="51" t="inlineStr">
        <is>
          <t>調査完了日</t>
        </is>
      </c>
      <c r="K3" s="51" t="inlineStr">
        <is>
          <t>欠陥原因</t>
        </is>
      </c>
      <c r="L3" s="51" t="inlineStr">
        <is>
          <t>欠陥埋込フェーズ</t>
        </is>
      </c>
      <c r="M3" s="51" t="inlineStr">
        <is>
          <t>検出すべきフェーズ</t>
        </is>
      </c>
      <c r="N3" s="51" t="inlineStr">
        <is>
          <t>対応予定日</t>
        </is>
      </c>
      <c r="O3" s="51" t="inlineStr">
        <is>
          <t>対応日</t>
        </is>
      </c>
      <c r="P3" s="51" t="inlineStr">
        <is>
          <t>横展開有無</t>
        </is>
      </c>
      <c r="Q3" s="51" t="inlineStr">
        <is>
          <t>横展開先</t>
        </is>
      </c>
      <c r="R3" s="51" t="inlineStr">
        <is>
          <t>横展開完了予定日</t>
        </is>
      </c>
      <c r="S3" s="51" t="inlineStr">
        <is>
          <t>横展開完了日</t>
        </is>
      </c>
      <c r="T3" s="51" t="inlineStr">
        <is>
          <t>リリース予定日</t>
        </is>
      </c>
      <c r="U3" s="51" t="inlineStr">
        <is>
          <t>リリース日</t>
        </is>
      </c>
      <c r="V3" s="51" t="inlineStr">
        <is>
          <t>検証日</t>
        </is>
      </c>
    </row>
    <row r="4">
      <c r="A4" s="57" t="inlineStr">
        <is>
          <t>バッチ</t>
        </is>
      </c>
      <c r="B4" s="57" t="inlineStr">
        <is>
          <t>DEF-バ-0001</t>
        </is>
      </c>
      <c r="C4" s="57" t="inlineStr">
        <is>
          <t>05:完了</t>
        </is>
      </c>
      <c r="D4" s="59" t="inlineStr">
        <is>
          <t>欠陥1: 06_受入準備の不具合</t>
        </is>
      </c>
      <c r="E4" s="109" t="n">
        <v>46059</v>
      </c>
      <c r="F4" s="57" t="inlineStr">
        <is>
          <t>03_請求</t>
        </is>
      </c>
      <c r="G4" s="57" t="inlineStr">
        <is>
          <t>中</t>
        </is>
      </c>
      <c r="H4" s="57" t="inlineStr">
        <is>
          <t>低</t>
        </is>
      </c>
      <c r="I4" s="109" t="n">
        <v>46061</v>
      </c>
      <c r="J4" s="109" t="n">
        <v>46063</v>
      </c>
      <c r="K4" s="57" t="inlineStr">
        <is>
          <t>プロセス不備</t>
        </is>
      </c>
      <c r="L4" s="57" t="inlineStr">
        <is>
          <t>PD</t>
        </is>
      </c>
      <c r="M4" s="57" t="inlineStr">
        <is>
          <t>ITb</t>
        </is>
      </c>
      <c r="N4" s="109" t="n">
        <v>46069</v>
      </c>
      <c r="O4" s="109" t="n">
        <v>46072</v>
      </c>
      <c r="P4" s="57" t="inlineStr">
        <is>
          <t>有</t>
        </is>
      </c>
      <c r="Q4" s="59" t="inlineStr">
        <is>
          <t>07_口振契約受付</t>
        </is>
      </c>
      <c r="R4" s="109" t="n">
        <v>46073</v>
      </c>
      <c r="S4" s="57" t="n"/>
      <c r="T4" s="109" t="n">
        <v>46079</v>
      </c>
      <c r="U4" s="109" t="n">
        <v>46081</v>
      </c>
      <c r="V4" s="109" t="n">
        <v>46073</v>
      </c>
    </row>
    <row r="5">
      <c r="A5" s="57" t="inlineStr">
        <is>
          <t>バッチ</t>
        </is>
      </c>
      <c r="B5" s="57" t="inlineStr">
        <is>
          <t>DEF-バ-0002</t>
        </is>
      </c>
      <c r="C5" s="57" t="inlineStr">
        <is>
          <t>05:完了</t>
        </is>
      </c>
      <c r="D5" s="59" t="inlineStr">
        <is>
          <t>欠陥2: 20_移行の不具合</t>
        </is>
      </c>
      <c r="E5" s="109" t="n">
        <v>46044</v>
      </c>
      <c r="F5" s="57" t="inlineStr">
        <is>
          <t>30_運用</t>
        </is>
      </c>
      <c r="G5" s="57" t="inlineStr">
        <is>
          <t>低</t>
        </is>
      </c>
      <c r="H5" s="57" t="inlineStr">
        <is>
          <t>低</t>
        </is>
      </c>
      <c r="I5" s="109" t="n">
        <v>46046</v>
      </c>
      <c r="J5" s="109" t="n">
        <v>46048</v>
      </c>
      <c r="K5" s="57" t="inlineStr">
        <is>
          <t>非欠陥</t>
        </is>
      </c>
      <c r="L5" s="57" t="inlineStr">
        <is>
          <t>その他</t>
        </is>
      </c>
      <c r="M5" s="57" t="inlineStr">
        <is>
          <t>CT</t>
        </is>
      </c>
      <c r="N5" s="109" t="n">
        <v>46053</v>
      </c>
      <c r="O5" s="109" t="n">
        <v>46058</v>
      </c>
      <c r="P5" s="57" t="inlineStr">
        <is>
          <t>有</t>
        </is>
      </c>
      <c r="Q5" s="59" t="inlineStr">
        <is>
          <t>30_運用</t>
        </is>
      </c>
      <c r="R5" s="109" t="n">
        <v>46057</v>
      </c>
      <c r="S5" s="57" t="n"/>
      <c r="T5" s="109" t="n">
        <v>46061</v>
      </c>
      <c r="U5" s="109" t="n">
        <v>46062</v>
      </c>
      <c r="V5" s="109" t="n">
        <v>46062</v>
      </c>
    </row>
    <row r="6">
      <c r="A6" s="57" t="inlineStr">
        <is>
          <t>バッチ</t>
        </is>
      </c>
      <c r="B6" s="57" t="inlineStr">
        <is>
          <t>DEF-バ-0003</t>
        </is>
      </c>
      <c r="C6" s="57" t="inlineStr">
        <is>
          <t>05:完了</t>
        </is>
      </c>
      <c r="D6" s="59" t="inlineStr">
        <is>
          <t>欠陥3: 04_欠陥・返戻の不具合</t>
        </is>
      </c>
      <c r="E6" s="109" t="n">
        <v>46084</v>
      </c>
      <c r="F6" s="57" t="inlineStr">
        <is>
          <t>02_受付</t>
        </is>
      </c>
      <c r="G6" s="57" t="inlineStr">
        <is>
          <t>高</t>
        </is>
      </c>
      <c r="H6" s="57" t="inlineStr">
        <is>
          <t>中</t>
        </is>
      </c>
      <c r="I6" s="109" t="n">
        <v>46088</v>
      </c>
      <c r="J6" s="109" t="n">
        <v>46088</v>
      </c>
      <c r="K6" s="57" t="inlineStr">
        <is>
          <t>プロセス不備</t>
        </is>
      </c>
      <c r="L6" s="57" t="inlineStr">
        <is>
          <t>RD</t>
        </is>
      </c>
      <c r="M6" s="57" t="inlineStr">
        <is>
          <t>ST</t>
        </is>
      </c>
      <c r="N6" s="109" t="n">
        <v>46091</v>
      </c>
      <c r="O6" s="109" t="n">
        <v>46089</v>
      </c>
      <c r="P6" s="57" t="inlineStr">
        <is>
          <t>無</t>
        </is>
      </c>
      <c r="Q6" s="59" t="inlineStr"/>
      <c r="R6" s="57" t="n"/>
      <c r="S6" s="57" t="n"/>
      <c r="T6" s="109" t="n">
        <v>46100</v>
      </c>
      <c r="U6" s="109" t="n">
        <v>46103</v>
      </c>
      <c r="V6" s="109" t="n">
        <v>46092</v>
      </c>
    </row>
    <row r="7">
      <c r="A7" s="57" t="inlineStr">
        <is>
          <t>バッチ</t>
        </is>
      </c>
      <c r="B7" s="57" t="inlineStr">
        <is>
          <t>DEF-バ-0004</t>
        </is>
      </c>
      <c r="C7" s="57" t="inlineStr">
        <is>
          <t>05:完了</t>
        </is>
      </c>
      <c r="D7" s="59" t="inlineStr">
        <is>
          <t>欠陥4: 02_受付の不具合</t>
        </is>
      </c>
      <c r="E7" s="109" t="n">
        <v>46036</v>
      </c>
      <c r="F7" s="57" t="inlineStr">
        <is>
          <t>10_共通</t>
        </is>
      </c>
      <c r="G7" s="57" t="inlineStr">
        <is>
          <t>高</t>
        </is>
      </c>
      <c r="H7" s="57" t="inlineStr">
        <is>
          <t>中</t>
        </is>
      </c>
      <c r="I7" s="109" t="n">
        <v>46038</v>
      </c>
      <c r="J7" s="109" t="n">
        <v>46038</v>
      </c>
      <c r="K7" s="57" t="inlineStr">
        <is>
          <t>外的要因</t>
        </is>
      </c>
      <c r="L7" s="57" t="inlineStr">
        <is>
          <t>ED</t>
        </is>
      </c>
      <c r="M7" s="57" t="inlineStr">
        <is>
          <t>非欠陥</t>
        </is>
      </c>
      <c r="N7" s="109" t="n">
        <v>46047</v>
      </c>
      <c r="O7" s="109" t="n">
        <v>46045</v>
      </c>
      <c r="P7" s="57" t="inlineStr">
        <is>
          <t>無</t>
        </is>
      </c>
      <c r="Q7" s="59" t="inlineStr"/>
      <c r="R7" s="57" t="n"/>
      <c r="S7" s="57" t="n"/>
      <c r="T7" s="109" t="n">
        <v>46054</v>
      </c>
      <c r="U7" s="109" t="n">
        <v>46054</v>
      </c>
      <c r="V7" s="109" t="n">
        <v>46046</v>
      </c>
    </row>
    <row r="8">
      <c r="A8" s="57" t="inlineStr">
        <is>
          <t>バッチ</t>
        </is>
      </c>
      <c r="B8" s="57" t="inlineStr">
        <is>
          <t>DEF-バ-0005</t>
        </is>
      </c>
      <c r="C8" s="57" t="inlineStr">
        <is>
          <t>05:完了</t>
        </is>
      </c>
      <c r="D8" s="59" t="inlineStr">
        <is>
          <t>欠陥5: 01_委託者登録の不具合</t>
        </is>
      </c>
      <c r="E8" s="109" t="n">
        <v>46082</v>
      </c>
      <c r="F8" s="57" t="inlineStr">
        <is>
          <t>02_受付</t>
        </is>
      </c>
      <c r="G8" s="57" t="inlineStr">
        <is>
          <t>中</t>
        </is>
      </c>
      <c r="H8" s="57" t="inlineStr">
        <is>
          <t>中</t>
        </is>
      </c>
      <c r="I8" s="109" t="n">
        <v>46083</v>
      </c>
      <c r="J8" s="109" t="n">
        <v>46085</v>
      </c>
      <c r="K8" s="57" t="inlineStr">
        <is>
          <t>プロセス不備</t>
        </is>
      </c>
      <c r="L8" s="57" t="inlineStr">
        <is>
          <t>RD</t>
        </is>
      </c>
      <c r="M8" s="57" t="inlineStr">
        <is>
          <t>CT</t>
        </is>
      </c>
      <c r="N8" s="109" t="n">
        <v>46088</v>
      </c>
      <c r="O8" s="109" t="n">
        <v>46090</v>
      </c>
      <c r="P8" s="57" t="inlineStr">
        <is>
          <t>無</t>
        </is>
      </c>
      <c r="Q8" s="59" t="inlineStr"/>
      <c r="R8" s="57" t="n"/>
      <c r="S8" s="57" t="n"/>
      <c r="T8" s="109" t="n">
        <v>46099</v>
      </c>
      <c r="U8" s="109" t="n">
        <v>46099</v>
      </c>
      <c r="V8" s="109" t="n">
        <v>46092</v>
      </c>
    </row>
    <row r="9">
      <c r="A9" s="57" t="inlineStr">
        <is>
          <t>バッチ</t>
        </is>
      </c>
      <c r="B9" s="57" t="inlineStr">
        <is>
          <t>DEF-バ-0006</t>
        </is>
      </c>
      <c r="C9" s="57" t="inlineStr">
        <is>
          <t>04:検証中</t>
        </is>
      </c>
      <c r="D9" s="59" t="inlineStr">
        <is>
          <t>欠陥6: 08_事務支(変更通知)の不具合</t>
        </is>
      </c>
      <c r="E9" s="109" t="n">
        <v>46030</v>
      </c>
      <c r="F9" s="57" t="inlineStr">
        <is>
          <t>08_事務支(変更通知)</t>
        </is>
      </c>
      <c r="G9" s="57" t="inlineStr">
        <is>
          <t>高</t>
        </is>
      </c>
      <c r="H9" s="57" t="inlineStr">
        <is>
          <t>高</t>
        </is>
      </c>
      <c r="I9" s="109" t="n">
        <v>46035</v>
      </c>
      <c r="J9" s="109" t="n">
        <v>46035</v>
      </c>
      <c r="K9" s="57" t="inlineStr">
        <is>
          <t>考慮不足</t>
        </is>
      </c>
      <c r="L9" s="57" t="inlineStr">
        <is>
          <t>RD</t>
        </is>
      </c>
      <c r="M9" s="57" t="inlineStr">
        <is>
          <t>ITa</t>
        </is>
      </c>
      <c r="N9" s="109" t="n">
        <v>46038</v>
      </c>
      <c r="O9" s="109" t="n">
        <v>46042</v>
      </c>
      <c r="P9" s="57" t="inlineStr">
        <is>
          <t>無</t>
        </is>
      </c>
      <c r="Q9" s="59" t="inlineStr"/>
      <c r="R9" s="57" t="n"/>
      <c r="S9" s="57" t="n"/>
      <c r="T9" s="109" t="n">
        <v>46043</v>
      </c>
      <c r="U9" s="57" t="n"/>
      <c r="V9" s="57" t="n"/>
    </row>
    <row r="10">
      <c r="A10" s="57" t="inlineStr">
        <is>
          <t>バッチ</t>
        </is>
      </c>
      <c r="B10" s="57" t="inlineStr">
        <is>
          <t>DEF-バ-0007</t>
        </is>
      </c>
      <c r="C10" s="57" t="inlineStr">
        <is>
          <t>04:検証中</t>
        </is>
      </c>
      <c r="D10" s="59" t="inlineStr">
        <is>
          <t>欠陥7: 01_委託者登録の不具合</t>
        </is>
      </c>
      <c r="E10" s="109" t="n">
        <v>46069</v>
      </c>
      <c r="F10" s="57" t="inlineStr">
        <is>
          <t>40_基盤</t>
        </is>
      </c>
      <c r="G10" s="57" t="inlineStr">
        <is>
          <t>中</t>
        </is>
      </c>
      <c r="H10" s="57" t="inlineStr">
        <is>
          <t>高</t>
        </is>
      </c>
      <c r="I10" s="109" t="n">
        <v>46070</v>
      </c>
      <c r="J10" s="109" t="n">
        <v>46071</v>
      </c>
      <c r="K10" s="57" t="inlineStr">
        <is>
          <t>注意不足</t>
        </is>
      </c>
      <c r="L10" s="57" t="inlineStr">
        <is>
          <t>その他</t>
        </is>
      </c>
      <c r="M10" s="57" t="inlineStr">
        <is>
          <t>非欠陥</t>
        </is>
      </c>
      <c r="N10" s="109" t="n">
        <v>46075</v>
      </c>
      <c r="O10" s="109" t="n">
        <v>46079</v>
      </c>
      <c r="P10" s="57" t="inlineStr">
        <is>
          <t>有</t>
        </is>
      </c>
      <c r="Q10" s="59" t="inlineStr">
        <is>
          <t>01_委託者登録</t>
        </is>
      </c>
      <c r="R10" s="109" t="n">
        <v>46078</v>
      </c>
      <c r="S10" s="57" t="n"/>
      <c r="T10" s="109" t="n">
        <v>46086</v>
      </c>
      <c r="U10" s="57" t="n"/>
      <c r="V10" s="57" t="n"/>
    </row>
    <row r="11">
      <c r="A11" s="57" t="inlineStr">
        <is>
          <t>バッチ</t>
        </is>
      </c>
      <c r="B11" s="57" t="inlineStr">
        <is>
          <t>DEF-バ-0008</t>
        </is>
      </c>
      <c r="C11" s="57" t="inlineStr">
        <is>
          <t>04:検証中</t>
        </is>
      </c>
      <c r="D11" s="59" t="inlineStr">
        <is>
          <t>欠陥8: 01_委託者登録の不具合</t>
        </is>
      </c>
      <c r="E11" s="109" t="n">
        <v>46024</v>
      </c>
      <c r="F11" s="57" t="inlineStr">
        <is>
          <t>01_委託者登録</t>
        </is>
      </c>
      <c r="G11" s="57" t="inlineStr">
        <is>
          <t>中</t>
        </is>
      </c>
      <c r="H11" s="57" t="inlineStr">
        <is>
          <t>中</t>
        </is>
      </c>
      <c r="I11" s="109" t="n">
        <v>46029</v>
      </c>
      <c r="J11" s="109" t="n">
        <v>46030</v>
      </c>
      <c r="K11" s="57" t="inlineStr">
        <is>
          <t>考慮不足</t>
        </is>
      </c>
      <c r="L11" s="57" t="inlineStr">
        <is>
          <t>PD</t>
        </is>
      </c>
      <c r="M11" s="57" t="inlineStr">
        <is>
          <t>ITa</t>
        </is>
      </c>
      <c r="N11" s="109" t="n">
        <v>46037</v>
      </c>
      <c r="O11" s="109" t="n">
        <v>46038</v>
      </c>
      <c r="P11" s="57" t="inlineStr">
        <is>
          <t>無</t>
        </is>
      </c>
      <c r="Q11" s="59" t="inlineStr"/>
      <c r="R11" s="57" t="n"/>
      <c r="S11" s="57" t="n"/>
      <c r="T11" s="109" t="n">
        <v>46048</v>
      </c>
      <c r="U11" s="57" t="n"/>
      <c r="V11" s="57" t="n"/>
    </row>
    <row r="12">
      <c r="A12" s="57" t="inlineStr">
        <is>
          <t>バッチ</t>
        </is>
      </c>
      <c r="B12" s="57" t="inlineStr">
        <is>
          <t>DEF-バ-0009</t>
        </is>
      </c>
      <c r="C12" s="57" t="inlineStr">
        <is>
          <t>03:対応中</t>
        </is>
      </c>
      <c r="D12" s="59" t="inlineStr">
        <is>
          <t>欠陥9: 03_請求の不具合</t>
        </is>
      </c>
      <c r="E12" s="109" t="n">
        <v>46058</v>
      </c>
      <c r="F12" s="57" t="inlineStr">
        <is>
          <t>20_移行</t>
        </is>
      </c>
      <c r="G12" s="57" t="inlineStr">
        <is>
          <t>低</t>
        </is>
      </c>
      <c r="H12" s="57" t="inlineStr">
        <is>
          <t>低</t>
        </is>
      </c>
      <c r="I12" s="109" t="n">
        <v>46063</v>
      </c>
      <c r="J12" s="109" t="n">
        <v>46062</v>
      </c>
      <c r="K12" s="57" t="inlineStr">
        <is>
          <t>未知</t>
        </is>
      </c>
      <c r="L12" s="57" t="inlineStr">
        <is>
          <t>RD</t>
        </is>
      </c>
      <c r="M12" s="57" t="inlineStr">
        <is>
          <t>非欠陥</t>
        </is>
      </c>
      <c r="N12" s="109" t="n">
        <v>46071</v>
      </c>
      <c r="O12" s="57" t="n"/>
      <c r="P12" s="57" t="inlineStr">
        <is>
          <t>無</t>
        </is>
      </c>
      <c r="Q12" s="59" t="inlineStr"/>
      <c r="R12" s="57" t="n"/>
      <c r="S12" s="57" t="n"/>
      <c r="T12" s="109" t="n">
        <v>46080</v>
      </c>
      <c r="U12" s="57" t="n"/>
      <c r="V12" s="57" t="n"/>
    </row>
    <row r="13">
      <c r="A13" s="57" t="inlineStr">
        <is>
          <t>バッチ</t>
        </is>
      </c>
      <c r="B13" s="57" t="inlineStr">
        <is>
          <t>DEF-バ-0010</t>
        </is>
      </c>
      <c r="C13" s="57" t="inlineStr">
        <is>
          <t>03:対応中</t>
        </is>
      </c>
      <c r="D13" s="59" t="inlineStr">
        <is>
          <t>欠陥10: 07_口振契約受付の不具合</t>
        </is>
      </c>
      <c r="E13" s="109" t="n">
        <v>46058</v>
      </c>
      <c r="F13" s="57" t="inlineStr">
        <is>
          <t>20_移行</t>
        </is>
      </c>
      <c r="G13" s="57" t="inlineStr">
        <is>
          <t>高</t>
        </is>
      </c>
      <c r="H13" s="57" t="inlineStr">
        <is>
          <t>低</t>
        </is>
      </c>
      <c r="I13" s="109" t="n">
        <v>46087</v>
      </c>
      <c r="J13" s="109" t="n">
        <v>46090</v>
      </c>
      <c r="K13" s="57" t="inlineStr">
        <is>
          <t>非欠陥</t>
        </is>
      </c>
      <c r="L13" s="57" t="inlineStr">
        <is>
          <t>PD</t>
        </is>
      </c>
      <c r="M13" s="57" t="inlineStr">
        <is>
          <t>ITb</t>
        </is>
      </c>
      <c r="N13" s="109" t="n">
        <v>46097</v>
      </c>
      <c r="O13" s="57" t="n"/>
      <c r="P13" s="57" t="inlineStr">
        <is>
          <t>有</t>
        </is>
      </c>
      <c r="Q13" s="59" t="inlineStr">
        <is>
          <t>05_清算</t>
        </is>
      </c>
      <c r="R13" s="109" t="n">
        <v>46104</v>
      </c>
      <c r="S13" s="57" t="n"/>
      <c r="T13" s="109" t="n">
        <v>46109</v>
      </c>
      <c r="U13" s="57" t="n"/>
      <c r="V13" s="57" t="n"/>
    </row>
    <row r="14">
      <c r="A14" s="57" t="inlineStr">
        <is>
          <t>バッチ</t>
        </is>
      </c>
      <c r="B14" s="57" t="inlineStr">
        <is>
          <t>DEF-バ-0011</t>
        </is>
      </c>
      <c r="C14" s="57" t="inlineStr">
        <is>
          <t>03:対応中</t>
        </is>
      </c>
      <c r="D14" s="59" t="inlineStr">
        <is>
          <t>欠陥11: 06_受入準備の不具合</t>
        </is>
      </c>
      <c r="E14" s="109" t="n">
        <v>46034</v>
      </c>
      <c r="F14" s="57" t="inlineStr">
        <is>
          <t>40_基盤</t>
        </is>
      </c>
      <c r="G14" s="57" t="inlineStr">
        <is>
          <t>中</t>
        </is>
      </c>
      <c r="H14" s="57" t="inlineStr">
        <is>
          <t>高</t>
        </is>
      </c>
      <c r="I14" s="109" t="n">
        <v>46035</v>
      </c>
      <c r="J14" s="109" t="n">
        <v>46038</v>
      </c>
      <c r="K14" s="57" t="inlineStr">
        <is>
          <t>非欠陥</t>
        </is>
      </c>
      <c r="L14" s="57" t="inlineStr">
        <is>
          <t>RD</t>
        </is>
      </c>
      <c r="M14" s="57" t="inlineStr">
        <is>
          <t>ST</t>
        </is>
      </c>
      <c r="N14" s="109" t="n">
        <v>46081</v>
      </c>
      <c r="O14" s="57" t="n"/>
      <c r="P14" s="57" t="inlineStr">
        <is>
          <t>無</t>
        </is>
      </c>
      <c r="Q14" s="59" t="inlineStr"/>
      <c r="R14" s="57" t="n"/>
      <c r="S14" s="57" t="n"/>
      <c r="T14" s="109" t="n">
        <v>46053</v>
      </c>
      <c r="U14" s="57" t="n"/>
      <c r="V14" s="57" t="n"/>
    </row>
    <row r="15">
      <c r="A15" s="57" t="inlineStr">
        <is>
          <t>バッチ</t>
        </is>
      </c>
      <c r="B15" s="57" t="inlineStr">
        <is>
          <t>DEF-バ-0012</t>
        </is>
      </c>
      <c r="C15" s="57" t="inlineStr">
        <is>
          <t>02:調査中</t>
        </is>
      </c>
      <c r="D15" s="59" t="inlineStr">
        <is>
          <t>欠陥12: 02_受付の不具合</t>
        </is>
      </c>
      <c r="E15" s="109" t="n">
        <v>46017</v>
      </c>
      <c r="F15" s="57" t="inlineStr">
        <is>
          <t>20_移行</t>
        </is>
      </c>
      <c r="G15" s="57" t="inlineStr">
        <is>
          <t>低</t>
        </is>
      </c>
      <c r="H15" s="57" t="inlineStr">
        <is>
          <t>高</t>
        </is>
      </c>
      <c r="I15" s="109" t="n">
        <v>46018</v>
      </c>
      <c r="J15" s="57" t="n"/>
      <c r="K15" s="57" t="inlineStr">
        <is>
          <t>プロセス不備</t>
        </is>
      </c>
      <c r="L15" s="57" t="inlineStr">
        <is>
          <t>ID</t>
        </is>
      </c>
      <c r="M15" s="57" t="inlineStr">
        <is>
          <t>ITa</t>
        </is>
      </c>
      <c r="N15" s="109" t="n">
        <v>46027</v>
      </c>
      <c r="O15" s="57" t="n"/>
      <c r="P15" s="57" t="inlineStr">
        <is>
          <t>無</t>
        </is>
      </c>
      <c r="Q15" s="59" t="inlineStr"/>
      <c r="R15" s="57" t="n"/>
      <c r="S15" s="57" t="n"/>
      <c r="T15" s="109" t="n">
        <v>46036</v>
      </c>
      <c r="U15" s="57" t="n"/>
      <c r="V15" s="57" t="n"/>
    </row>
    <row r="16">
      <c r="A16" s="57" t="inlineStr">
        <is>
          <t>バッチ</t>
        </is>
      </c>
      <c r="B16" s="57" t="inlineStr">
        <is>
          <t>DEF-バ-0013</t>
        </is>
      </c>
      <c r="C16" s="57" t="inlineStr">
        <is>
          <t>02:調査中</t>
        </is>
      </c>
      <c r="D16" s="59" t="inlineStr">
        <is>
          <t>欠陥13: 05_清算の不具合</t>
        </is>
      </c>
      <c r="E16" s="109" t="n">
        <v>46001</v>
      </c>
      <c r="F16" s="57" t="inlineStr">
        <is>
          <t>03_請求</t>
        </is>
      </c>
      <c r="G16" s="57" t="inlineStr">
        <is>
          <t>低</t>
        </is>
      </c>
      <c r="H16" s="57" t="inlineStr">
        <is>
          <t>高</t>
        </is>
      </c>
      <c r="I16" s="109" t="n">
        <v>46004</v>
      </c>
      <c r="J16" s="57" t="n"/>
      <c r="K16" s="57" t="inlineStr">
        <is>
          <t>技術力不足</t>
        </is>
      </c>
      <c r="L16" s="57" t="inlineStr">
        <is>
          <t>非欠陥</t>
        </is>
      </c>
      <c r="M16" s="57" t="inlineStr">
        <is>
          <t>ITa</t>
        </is>
      </c>
      <c r="N16" s="109" t="n">
        <v>46010</v>
      </c>
      <c r="O16" s="57" t="n"/>
      <c r="P16" s="57" t="inlineStr">
        <is>
          <t>無</t>
        </is>
      </c>
      <c r="Q16" s="59" t="inlineStr"/>
      <c r="R16" s="57" t="n"/>
      <c r="S16" s="57" t="n"/>
      <c r="T16" s="109" t="n">
        <v>46023</v>
      </c>
      <c r="U16" s="57" t="n"/>
      <c r="V16" s="57" t="n"/>
    </row>
    <row r="17">
      <c r="A17" s="57" t="inlineStr">
        <is>
          <t>バッチ</t>
        </is>
      </c>
      <c r="B17" s="57" t="inlineStr">
        <is>
          <t>DEF-バ-0014</t>
        </is>
      </c>
      <c r="C17" s="57" t="inlineStr">
        <is>
          <t>01:未着手</t>
        </is>
      </c>
      <c r="D17" s="59" t="inlineStr">
        <is>
          <t>欠陥14: 20_移行の不具合</t>
        </is>
      </c>
      <c r="E17" s="109" t="n">
        <v>46050</v>
      </c>
      <c r="F17" s="57" t="inlineStr">
        <is>
          <t>07_口振契約受付</t>
        </is>
      </c>
      <c r="G17" s="57" t="inlineStr">
        <is>
          <t>高</t>
        </is>
      </c>
      <c r="H17" s="57" t="inlineStr">
        <is>
          <t>高</t>
        </is>
      </c>
      <c r="I17" s="109" t="n">
        <v>46054</v>
      </c>
      <c r="J17" s="57" t="n"/>
      <c r="K17" s="57" t="inlineStr">
        <is>
          <t>技術力不足</t>
        </is>
      </c>
      <c r="L17" s="57" t="inlineStr">
        <is>
          <t>ID</t>
        </is>
      </c>
      <c r="M17" s="57" t="inlineStr">
        <is>
          <t>CT</t>
        </is>
      </c>
      <c r="N17" s="109" t="n">
        <v>46059</v>
      </c>
      <c r="O17" s="57" t="n"/>
      <c r="P17" s="57" t="inlineStr">
        <is>
          <t>無</t>
        </is>
      </c>
      <c r="Q17" s="59" t="inlineStr"/>
      <c r="R17" s="57" t="n"/>
      <c r="S17" s="57" t="n"/>
      <c r="T17" s="109" t="n">
        <v>46069</v>
      </c>
      <c r="U17" s="57" t="n"/>
      <c r="V17" s="57" t="n"/>
    </row>
    <row r="18">
      <c r="A18" s="57" t="inlineStr">
        <is>
          <t>バッチ</t>
        </is>
      </c>
      <c r="B18" s="57" t="inlineStr">
        <is>
          <t>DEF-バ-0015</t>
        </is>
      </c>
      <c r="C18" s="57" t="inlineStr">
        <is>
          <t>01:未着手</t>
        </is>
      </c>
      <c r="D18" s="59" t="inlineStr">
        <is>
          <t>欠陥15: 07_口振契約受付の不具合</t>
        </is>
      </c>
      <c r="E18" s="109" t="n">
        <v>46040</v>
      </c>
      <c r="F18" s="57" t="inlineStr">
        <is>
          <t>40_基盤</t>
        </is>
      </c>
      <c r="G18" s="57" t="inlineStr">
        <is>
          <t>中</t>
        </is>
      </c>
      <c r="H18" s="57" t="inlineStr">
        <is>
          <t>高</t>
        </is>
      </c>
      <c r="I18" s="109" t="n">
        <v>46042</v>
      </c>
      <c r="J18" s="57" t="n"/>
      <c r="K18" s="57" t="inlineStr">
        <is>
          <t>考慮不足</t>
        </is>
      </c>
      <c r="L18" s="57" t="inlineStr">
        <is>
          <t>PD</t>
        </is>
      </c>
      <c r="M18" s="57" t="inlineStr">
        <is>
          <t>非欠陥</t>
        </is>
      </c>
      <c r="N18" s="109" t="n">
        <v>46049</v>
      </c>
      <c r="O18" s="57" t="n"/>
      <c r="P18" s="57" t="inlineStr">
        <is>
          <t>有</t>
        </is>
      </c>
      <c r="Q18" s="59" t="inlineStr">
        <is>
          <t>02_受付</t>
        </is>
      </c>
      <c r="R18" s="109" t="n">
        <v>46052</v>
      </c>
      <c r="S18" s="57" t="n"/>
      <c r="T18" s="109" t="n">
        <v>46063</v>
      </c>
      <c r="U18" s="57" t="n"/>
      <c r="V18" s="57" t="n"/>
    </row>
    <row r="19">
      <c r="A19" s="57" t="inlineStr">
        <is>
          <t>バッチ</t>
        </is>
      </c>
      <c r="B19" s="57" t="inlineStr">
        <is>
          <t>DEF-バ-0016</t>
        </is>
      </c>
      <c r="C19" s="57" t="inlineStr">
        <is>
          <t>98:保留</t>
        </is>
      </c>
      <c r="D19" s="59" t="inlineStr">
        <is>
          <t>欠陥16: 04_欠陥・返戻の不具合</t>
        </is>
      </c>
      <c r="E19" s="109" t="n">
        <v>46074</v>
      </c>
      <c r="F19" s="57" t="inlineStr">
        <is>
          <t>02_受付</t>
        </is>
      </c>
      <c r="G19" s="57" t="inlineStr">
        <is>
          <t>低</t>
        </is>
      </c>
      <c r="H19" s="57" t="inlineStr">
        <is>
          <t>中</t>
        </is>
      </c>
      <c r="I19" s="109" t="n">
        <v>46079</v>
      </c>
      <c r="J19" s="57" t="n"/>
      <c r="K19" s="57" t="inlineStr">
        <is>
          <t>非欠陥</t>
        </is>
      </c>
      <c r="L19" s="57" t="inlineStr">
        <is>
          <t>RD</t>
        </is>
      </c>
      <c r="M19" s="57" t="inlineStr">
        <is>
          <t>ITb</t>
        </is>
      </c>
      <c r="N19" s="109" t="n">
        <v>46086</v>
      </c>
      <c r="O19" s="57" t="n"/>
      <c r="P19" s="57" t="inlineStr">
        <is>
          <t>無</t>
        </is>
      </c>
      <c r="Q19" s="59" t="inlineStr"/>
      <c r="R19" s="57" t="n"/>
      <c r="S19" s="57" t="n"/>
      <c r="T19" s="109" t="n">
        <v>46097</v>
      </c>
      <c r="U19" s="57" t="n"/>
      <c r="V19" s="57" t="n"/>
    </row>
    <row r="20">
      <c r="A20" s="57" t="inlineStr">
        <is>
          <t>バッチ</t>
        </is>
      </c>
      <c r="B20" s="57" t="inlineStr">
        <is>
          <t>DEF-バ-0017</t>
        </is>
      </c>
      <c r="C20" s="57" t="inlineStr">
        <is>
          <t>98:保留</t>
        </is>
      </c>
      <c r="D20" s="59" t="inlineStr">
        <is>
          <t>欠陥17: 03_請求の不具合</t>
        </is>
      </c>
      <c r="E20" s="109" t="n">
        <v>46051</v>
      </c>
      <c r="F20" s="57" t="inlineStr">
        <is>
          <t>07_口振契約受付</t>
        </is>
      </c>
      <c r="G20" s="57" t="inlineStr">
        <is>
          <t>低</t>
        </is>
      </c>
      <c r="H20" s="57" t="inlineStr">
        <is>
          <t>低</t>
        </is>
      </c>
      <c r="I20" s="109" t="n">
        <v>46052</v>
      </c>
      <c r="J20" s="57" t="n"/>
      <c r="K20" s="57" t="inlineStr">
        <is>
          <t>注意不足</t>
        </is>
      </c>
      <c r="L20" s="57" t="inlineStr">
        <is>
          <t>その他</t>
        </is>
      </c>
      <c r="M20" s="57" t="inlineStr">
        <is>
          <t>CT</t>
        </is>
      </c>
      <c r="N20" s="109" t="n">
        <v>46059</v>
      </c>
      <c r="O20" s="57" t="n"/>
      <c r="P20" s="57" t="inlineStr">
        <is>
          <t>有</t>
        </is>
      </c>
      <c r="Q20" s="59" t="inlineStr">
        <is>
          <t>05_清算</t>
        </is>
      </c>
      <c r="R20" s="109" t="n">
        <v>46064</v>
      </c>
      <c r="S20" s="57" t="n"/>
      <c r="T20" s="109" t="n">
        <v>46073</v>
      </c>
      <c r="U20" s="57" t="n"/>
      <c r="V20" s="5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FAADC"/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12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</cols>
  <sheetData>
    <row r="1" ht="25" customHeight="1">
      <c r="A1" s="103" t="inlineStr">
        <is>
          <t>欠陥詳細 - 基盤</t>
        </is>
      </c>
    </row>
    <row r="3">
      <c r="A3" s="51" t="inlineStr">
        <is>
          <t>チーム名</t>
        </is>
      </c>
      <c r="B3" s="51" t="inlineStr">
        <is>
          <t>欠陥ID</t>
        </is>
      </c>
      <c r="C3" s="51" t="inlineStr">
        <is>
          <t>対応状況</t>
        </is>
      </c>
      <c r="D3" s="51" t="inlineStr">
        <is>
          <t>件名</t>
        </is>
      </c>
      <c r="E3" s="51" t="inlineStr">
        <is>
          <t>発見日</t>
        </is>
      </c>
      <c r="F3" s="51" t="inlineStr">
        <is>
          <t>業務機能分類</t>
        </is>
      </c>
      <c r="G3" s="51" t="inlineStr">
        <is>
          <t>緊急度</t>
        </is>
      </c>
      <c r="H3" s="51" t="inlineStr">
        <is>
          <t>影響度</t>
        </is>
      </c>
      <c r="I3" s="51" t="inlineStr">
        <is>
          <t>調査予定日</t>
        </is>
      </c>
      <c r="J3" s="51" t="inlineStr">
        <is>
          <t>調査完了日</t>
        </is>
      </c>
      <c r="K3" s="51" t="inlineStr">
        <is>
          <t>欠陥原因</t>
        </is>
      </c>
      <c r="L3" s="51" t="inlineStr">
        <is>
          <t>欠陥埋込フェーズ</t>
        </is>
      </c>
      <c r="M3" s="51" t="inlineStr">
        <is>
          <t>検出すべきフェーズ</t>
        </is>
      </c>
      <c r="N3" s="51" t="inlineStr">
        <is>
          <t>対応予定日</t>
        </is>
      </c>
      <c r="O3" s="51" t="inlineStr">
        <is>
          <t>対応日</t>
        </is>
      </c>
      <c r="P3" s="51" t="inlineStr">
        <is>
          <t>横展開有無</t>
        </is>
      </c>
      <c r="Q3" s="51" t="inlineStr">
        <is>
          <t>横展開先</t>
        </is>
      </c>
      <c r="R3" s="51" t="inlineStr">
        <is>
          <t>横展開完了予定日</t>
        </is>
      </c>
      <c r="S3" s="51" t="inlineStr">
        <is>
          <t>横展開完了日</t>
        </is>
      </c>
      <c r="T3" s="51" t="inlineStr">
        <is>
          <t>リリース予定日</t>
        </is>
      </c>
      <c r="U3" s="51" t="inlineStr">
        <is>
          <t>リリース日</t>
        </is>
      </c>
      <c r="V3" s="51" t="inlineStr">
        <is>
          <t>検証日</t>
        </is>
      </c>
    </row>
    <row r="4">
      <c r="A4" s="57" t="inlineStr">
        <is>
          <t>基盤</t>
        </is>
      </c>
      <c r="B4" s="57" t="inlineStr">
        <is>
          <t>DEF-基-0001</t>
        </is>
      </c>
      <c r="C4" s="57" t="inlineStr">
        <is>
          <t>05:完了</t>
        </is>
      </c>
      <c r="D4" s="59" t="inlineStr">
        <is>
          <t>欠陥1: 02_受付の不具合</t>
        </is>
      </c>
      <c r="E4" s="109" t="n">
        <v>46022</v>
      </c>
      <c r="F4" s="57" t="inlineStr">
        <is>
          <t>07_口振契約受付</t>
        </is>
      </c>
      <c r="G4" s="57" t="inlineStr">
        <is>
          <t>高</t>
        </is>
      </c>
      <c r="H4" s="57" t="inlineStr">
        <is>
          <t>低</t>
        </is>
      </c>
      <c r="I4" s="109" t="n">
        <v>46027</v>
      </c>
      <c r="J4" s="109" t="n">
        <v>46030</v>
      </c>
      <c r="K4" s="57" t="inlineStr">
        <is>
          <t>プロセス不備</t>
        </is>
      </c>
      <c r="L4" s="57" t="inlineStr">
        <is>
          <t>非欠陥</t>
        </is>
      </c>
      <c r="M4" s="57" t="inlineStr">
        <is>
          <t>非欠陥</t>
        </is>
      </c>
      <c r="N4" s="109" t="n">
        <v>46033</v>
      </c>
      <c r="O4" s="109" t="n">
        <v>46033</v>
      </c>
      <c r="P4" s="57" t="inlineStr">
        <is>
          <t>無</t>
        </is>
      </c>
      <c r="Q4" s="59" t="inlineStr"/>
      <c r="R4" s="57" t="n"/>
      <c r="S4" s="57" t="n"/>
      <c r="T4" s="109" t="n">
        <v>46042</v>
      </c>
      <c r="U4" s="109" t="n">
        <v>46044</v>
      </c>
      <c r="V4" s="109" t="n">
        <v>46034</v>
      </c>
    </row>
    <row r="5">
      <c r="A5" s="57" t="inlineStr">
        <is>
          <t>基盤</t>
        </is>
      </c>
      <c r="B5" s="57" t="inlineStr">
        <is>
          <t>DEF-基-0002</t>
        </is>
      </c>
      <c r="C5" s="57" t="inlineStr">
        <is>
          <t>05:完了</t>
        </is>
      </c>
      <c r="D5" s="59" t="inlineStr">
        <is>
          <t>欠陥2: 02_受付の不具合</t>
        </is>
      </c>
      <c r="E5" s="109" t="n">
        <v>46062</v>
      </c>
      <c r="F5" s="57" t="inlineStr">
        <is>
          <t>03_請求</t>
        </is>
      </c>
      <c r="G5" s="57" t="inlineStr">
        <is>
          <t>高</t>
        </is>
      </c>
      <c r="H5" s="57" t="inlineStr">
        <is>
          <t>低</t>
        </is>
      </c>
      <c r="I5" s="109" t="n">
        <v>46064</v>
      </c>
      <c r="J5" s="109" t="n">
        <v>46065</v>
      </c>
      <c r="K5" s="57" t="inlineStr">
        <is>
          <t>プロセス不備</t>
        </is>
      </c>
      <c r="L5" s="57" t="inlineStr">
        <is>
          <t>非欠陥</t>
        </is>
      </c>
      <c r="M5" s="57" t="inlineStr">
        <is>
          <t>非欠陥</t>
        </is>
      </c>
      <c r="N5" s="109" t="n">
        <v>46074</v>
      </c>
      <c r="O5" s="109" t="n">
        <v>46072</v>
      </c>
      <c r="P5" s="57" t="inlineStr">
        <is>
          <t>無</t>
        </is>
      </c>
      <c r="Q5" s="59" t="inlineStr"/>
      <c r="R5" s="57" t="n"/>
      <c r="S5" s="57" t="n"/>
      <c r="T5" s="109" t="n">
        <v>46081</v>
      </c>
      <c r="U5" s="109" t="n">
        <v>46083</v>
      </c>
      <c r="V5" s="109" t="n">
        <v>46077</v>
      </c>
    </row>
    <row r="6">
      <c r="A6" s="57" t="inlineStr">
        <is>
          <t>基盤</t>
        </is>
      </c>
      <c r="B6" s="57" t="inlineStr">
        <is>
          <t>DEF-基-0003</t>
        </is>
      </c>
      <c r="C6" s="57" t="inlineStr">
        <is>
          <t>05:完了</t>
        </is>
      </c>
      <c r="D6" s="59" t="inlineStr">
        <is>
          <t>欠陥3: 20_移行の不具合</t>
        </is>
      </c>
      <c r="E6" s="109" t="n">
        <v>46028</v>
      </c>
      <c r="F6" s="57" t="inlineStr">
        <is>
          <t>09_事務支(その他)</t>
        </is>
      </c>
      <c r="G6" s="57" t="inlineStr">
        <is>
          <t>中</t>
        </is>
      </c>
      <c r="H6" s="57" t="inlineStr">
        <is>
          <t>低</t>
        </is>
      </c>
      <c r="I6" s="109" t="n">
        <v>46032</v>
      </c>
      <c r="J6" s="109" t="n">
        <v>46035</v>
      </c>
      <c r="K6" s="57" t="inlineStr">
        <is>
          <t>技術力不足</t>
        </is>
      </c>
      <c r="L6" s="57" t="inlineStr">
        <is>
          <t>ED</t>
        </is>
      </c>
      <c r="M6" s="57" t="inlineStr">
        <is>
          <t>ITa</t>
        </is>
      </c>
      <c r="N6" s="109" t="n">
        <v>46037</v>
      </c>
      <c r="O6" s="109" t="n">
        <v>46038</v>
      </c>
      <c r="P6" s="57" t="inlineStr">
        <is>
          <t>有</t>
        </is>
      </c>
      <c r="Q6" s="59" t="inlineStr">
        <is>
          <t>05_清算</t>
        </is>
      </c>
      <c r="R6" s="109" t="n">
        <v>46041</v>
      </c>
      <c r="S6" s="109" t="n">
        <v>46044</v>
      </c>
      <c r="T6" s="109" t="n">
        <v>46051</v>
      </c>
      <c r="U6" s="109" t="n">
        <v>46051</v>
      </c>
      <c r="V6" s="109" t="n">
        <v>46043</v>
      </c>
    </row>
    <row r="7">
      <c r="A7" s="57" t="inlineStr">
        <is>
          <t>基盤</t>
        </is>
      </c>
      <c r="B7" s="57" t="inlineStr">
        <is>
          <t>DEF-基-0004</t>
        </is>
      </c>
      <c r="C7" s="57" t="inlineStr">
        <is>
          <t>05:完了</t>
        </is>
      </c>
      <c r="D7" s="59" t="inlineStr">
        <is>
          <t>欠陥4: 05_清算の不具合</t>
        </is>
      </c>
      <c r="E7" s="109" t="n">
        <v>46017</v>
      </c>
      <c r="F7" s="57" t="inlineStr">
        <is>
          <t>07_口振契約受付</t>
        </is>
      </c>
      <c r="G7" s="57" t="inlineStr">
        <is>
          <t>中</t>
        </is>
      </c>
      <c r="H7" s="57" t="inlineStr">
        <is>
          <t>高</t>
        </is>
      </c>
      <c r="I7" s="109" t="n">
        <v>46020</v>
      </c>
      <c r="J7" s="109" t="n">
        <v>46022</v>
      </c>
      <c r="K7" s="57" t="inlineStr">
        <is>
          <t>プロセス不備</t>
        </is>
      </c>
      <c r="L7" s="57" t="inlineStr">
        <is>
          <t>PD</t>
        </is>
      </c>
      <c r="M7" s="57" t="inlineStr">
        <is>
          <t>CT</t>
        </is>
      </c>
      <c r="N7" s="109" t="n">
        <v>46024</v>
      </c>
      <c r="O7" s="109" t="n">
        <v>46023</v>
      </c>
      <c r="P7" s="57" t="inlineStr">
        <is>
          <t>無</t>
        </is>
      </c>
      <c r="Q7" s="59" t="inlineStr"/>
      <c r="R7" s="57" t="n"/>
      <c r="S7" s="57" t="n"/>
      <c r="T7" s="109" t="n">
        <v>46029</v>
      </c>
      <c r="U7" s="109" t="n">
        <v>46030</v>
      </c>
      <c r="V7" s="109" t="n">
        <v>46024</v>
      </c>
    </row>
    <row r="8">
      <c r="A8" s="57" t="inlineStr">
        <is>
          <t>基盤</t>
        </is>
      </c>
      <c r="B8" s="57" t="inlineStr">
        <is>
          <t>DEF-基-0005</t>
        </is>
      </c>
      <c r="C8" s="57" t="inlineStr">
        <is>
          <t>04:検証中</t>
        </is>
      </c>
      <c r="D8" s="59" t="inlineStr">
        <is>
          <t>欠陥5: 10_共通の不具合</t>
        </is>
      </c>
      <c r="E8" s="109" t="n">
        <v>46016</v>
      </c>
      <c r="F8" s="57" t="inlineStr">
        <is>
          <t>07_口振契約受付</t>
        </is>
      </c>
      <c r="G8" s="57" t="inlineStr">
        <is>
          <t>中</t>
        </is>
      </c>
      <c r="H8" s="57" t="inlineStr">
        <is>
          <t>中</t>
        </is>
      </c>
      <c r="I8" s="109" t="n">
        <v>46019</v>
      </c>
      <c r="J8" s="109" t="n">
        <v>46021</v>
      </c>
      <c r="K8" s="57" t="inlineStr">
        <is>
          <t>考慮不足</t>
        </is>
      </c>
      <c r="L8" s="57" t="inlineStr">
        <is>
          <t>非欠陥</t>
        </is>
      </c>
      <c r="M8" s="57" t="inlineStr">
        <is>
          <t>ITa</t>
        </is>
      </c>
      <c r="N8" s="109" t="n">
        <v>46023</v>
      </c>
      <c r="O8" s="109" t="n">
        <v>46021</v>
      </c>
      <c r="P8" s="57" t="inlineStr">
        <is>
          <t>無</t>
        </is>
      </c>
      <c r="Q8" s="59" t="inlineStr"/>
      <c r="R8" s="57" t="n"/>
      <c r="S8" s="57" t="n"/>
      <c r="T8" s="109" t="n">
        <v>46032</v>
      </c>
      <c r="U8" s="57" t="n"/>
      <c r="V8" s="57" t="n"/>
    </row>
    <row r="9">
      <c r="A9" s="57" t="inlineStr">
        <is>
          <t>基盤</t>
        </is>
      </c>
      <c r="B9" s="57" t="inlineStr">
        <is>
          <t>DEF-基-0006</t>
        </is>
      </c>
      <c r="C9" s="57" t="inlineStr">
        <is>
          <t>04:検証中</t>
        </is>
      </c>
      <c r="D9" s="59" t="inlineStr">
        <is>
          <t>欠陥6: 06_受入準備の不具合</t>
        </is>
      </c>
      <c r="E9" s="109" t="n">
        <v>46081</v>
      </c>
      <c r="F9" s="57" t="inlineStr">
        <is>
          <t>07_口振契約受付</t>
        </is>
      </c>
      <c r="G9" s="57" t="inlineStr">
        <is>
          <t>中</t>
        </is>
      </c>
      <c r="H9" s="57" t="inlineStr">
        <is>
          <t>高</t>
        </is>
      </c>
      <c r="I9" s="109" t="n">
        <v>46084</v>
      </c>
      <c r="J9" s="109" t="n">
        <v>46084</v>
      </c>
      <c r="K9" s="57" t="inlineStr">
        <is>
          <t>非欠陥</t>
        </is>
      </c>
      <c r="L9" s="57" t="inlineStr">
        <is>
          <t>非欠陥</t>
        </is>
      </c>
      <c r="M9" s="57" t="inlineStr">
        <is>
          <t>非欠陥</t>
        </is>
      </c>
      <c r="N9" s="109" t="n">
        <v>46092</v>
      </c>
      <c r="O9" s="109" t="n">
        <v>46092</v>
      </c>
      <c r="P9" s="57" t="inlineStr">
        <is>
          <t>有</t>
        </is>
      </c>
      <c r="Q9" s="59" t="inlineStr">
        <is>
          <t>40_基盤</t>
        </is>
      </c>
      <c r="R9" s="109" t="n">
        <v>46096</v>
      </c>
      <c r="S9" s="57" t="n"/>
      <c r="T9" s="109" t="n">
        <v>46104</v>
      </c>
      <c r="U9" s="57" t="n"/>
      <c r="V9" s="57" t="n"/>
    </row>
    <row r="10">
      <c r="A10" s="57" t="inlineStr">
        <is>
          <t>基盤</t>
        </is>
      </c>
      <c r="B10" s="57" t="inlineStr">
        <is>
          <t>DEF-基-0007</t>
        </is>
      </c>
      <c r="C10" s="57" t="inlineStr">
        <is>
          <t>03:対応中</t>
        </is>
      </c>
      <c r="D10" s="59" t="inlineStr">
        <is>
          <t>欠陥7: 06_受入準備の不具合</t>
        </is>
      </c>
      <c r="E10" s="109" t="n">
        <v>46061</v>
      </c>
      <c r="F10" s="57" t="inlineStr">
        <is>
          <t>07_口振契約受付</t>
        </is>
      </c>
      <c r="G10" s="57" t="inlineStr">
        <is>
          <t>低</t>
        </is>
      </c>
      <c r="H10" s="57" t="inlineStr">
        <is>
          <t>低</t>
        </is>
      </c>
      <c r="I10" s="109" t="n">
        <v>46066</v>
      </c>
      <c r="J10" s="109" t="n">
        <v>46065</v>
      </c>
      <c r="K10" s="57" t="inlineStr">
        <is>
          <t>業務/仕様理解不足</t>
        </is>
      </c>
      <c r="L10" s="57" t="inlineStr">
        <is>
          <t>ID</t>
        </is>
      </c>
      <c r="M10" s="57" t="inlineStr">
        <is>
          <t>ITb</t>
        </is>
      </c>
      <c r="N10" s="109" t="n">
        <v>46076</v>
      </c>
      <c r="O10" s="57" t="n"/>
      <c r="P10" s="57" t="inlineStr">
        <is>
          <t>無</t>
        </is>
      </c>
      <c r="Q10" s="59" t="inlineStr"/>
      <c r="R10" s="57" t="n"/>
      <c r="S10" s="57" t="n"/>
      <c r="T10" s="109" t="n">
        <v>46085</v>
      </c>
      <c r="U10" s="57" t="n"/>
      <c r="V10" s="57" t="n"/>
    </row>
    <row r="11">
      <c r="A11" s="57" t="inlineStr">
        <is>
          <t>基盤</t>
        </is>
      </c>
      <c r="B11" s="57" t="inlineStr">
        <is>
          <t>DEF-基-0008</t>
        </is>
      </c>
      <c r="C11" s="57" t="inlineStr">
        <is>
          <t>03:対応中</t>
        </is>
      </c>
      <c r="D11" s="59" t="inlineStr">
        <is>
          <t>欠陥8: 03_請求の不具合</t>
        </is>
      </c>
      <c r="E11" s="109" t="n">
        <v>46045</v>
      </c>
      <c r="F11" s="57" t="inlineStr">
        <is>
          <t>04_欠陥・返戻</t>
        </is>
      </c>
      <c r="G11" s="57" t="inlineStr">
        <is>
          <t>高</t>
        </is>
      </c>
      <c r="H11" s="57" t="inlineStr">
        <is>
          <t>高</t>
        </is>
      </c>
      <c r="I11" s="109" t="n">
        <v>46047</v>
      </c>
      <c r="J11" s="109" t="n">
        <v>46050</v>
      </c>
      <c r="K11" s="57" t="inlineStr">
        <is>
          <t>情報共有不足</t>
        </is>
      </c>
      <c r="L11" s="57" t="inlineStr">
        <is>
          <t>その他</t>
        </is>
      </c>
      <c r="M11" s="57" t="inlineStr">
        <is>
          <t>ST</t>
        </is>
      </c>
      <c r="N11" s="109" t="n">
        <v>46056</v>
      </c>
      <c r="O11" s="57" t="n"/>
      <c r="P11" s="57" t="inlineStr">
        <is>
          <t>無</t>
        </is>
      </c>
      <c r="Q11" s="59" t="inlineStr"/>
      <c r="R11" s="57" t="n"/>
      <c r="S11" s="57" t="n"/>
      <c r="T11" s="109" t="n">
        <v>46070</v>
      </c>
      <c r="U11" s="57" t="n"/>
      <c r="V11" s="57" t="n"/>
    </row>
    <row r="12">
      <c r="A12" s="57" t="inlineStr">
        <is>
          <t>基盤</t>
        </is>
      </c>
      <c r="B12" s="57" t="inlineStr">
        <is>
          <t>DEF-基-0009</t>
        </is>
      </c>
      <c r="C12" s="57" t="inlineStr">
        <is>
          <t>03:対応中</t>
        </is>
      </c>
      <c r="D12" s="59" t="inlineStr">
        <is>
          <t>欠陥9: 03_請求の不具合</t>
        </is>
      </c>
      <c r="E12" s="109" t="n">
        <v>46067</v>
      </c>
      <c r="F12" s="57" t="inlineStr">
        <is>
          <t>05_清算</t>
        </is>
      </c>
      <c r="G12" s="57" t="inlineStr">
        <is>
          <t>低</t>
        </is>
      </c>
      <c r="H12" s="57" t="inlineStr">
        <is>
          <t>中</t>
        </is>
      </c>
      <c r="I12" s="109" t="n">
        <v>46068</v>
      </c>
      <c r="J12" s="109" t="n">
        <v>46070</v>
      </c>
      <c r="K12" s="57" t="inlineStr">
        <is>
          <t>情報共有不足</t>
        </is>
      </c>
      <c r="L12" s="57" t="inlineStr">
        <is>
          <t>ED</t>
        </is>
      </c>
      <c r="M12" s="57" t="inlineStr">
        <is>
          <t>ITb</t>
        </is>
      </c>
      <c r="N12" s="109" t="n">
        <v>46072</v>
      </c>
      <c r="O12" s="57" t="n"/>
      <c r="P12" s="57" t="inlineStr">
        <is>
          <t>無</t>
        </is>
      </c>
      <c r="Q12" s="59" t="inlineStr"/>
      <c r="R12" s="57" t="n"/>
      <c r="S12" s="57" t="n"/>
      <c r="T12" s="109" t="n">
        <v>46080</v>
      </c>
      <c r="U12" s="57" t="n"/>
      <c r="V12" s="57" t="n"/>
    </row>
    <row r="13">
      <c r="A13" s="57" t="inlineStr">
        <is>
          <t>基盤</t>
        </is>
      </c>
      <c r="B13" s="57" t="inlineStr">
        <is>
          <t>DEF-基-0010</t>
        </is>
      </c>
      <c r="C13" s="57" t="inlineStr">
        <is>
          <t>02:調査中</t>
        </is>
      </c>
      <c r="D13" s="59" t="inlineStr">
        <is>
          <t>欠陥10: 03_請求の不具合</t>
        </is>
      </c>
      <c r="E13" s="109" t="n">
        <v>46076</v>
      </c>
      <c r="F13" s="57" t="inlineStr">
        <is>
          <t>06_受入準備</t>
        </is>
      </c>
      <c r="G13" s="57" t="inlineStr">
        <is>
          <t>高</t>
        </is>
      </c>
      <c r="H13" s="57" t="inlineStr">
        <is>
          <t>低</t>
        </is>
      </c>
      <c r="I13" s="109" t="n">
        <v>46053</v>
      </c>
      <c r="J13" s="57" t="n"/>
      <c r="K13" s="57" t="inlineStr">
        <is>
          <t>非欠陥</t>
        </is>
      </c>
      <c r="L13" s="57" t="inlineStr">
        <is>
          <t>非欠陥</t>
        </is>
      </c>
      <c r="M13" s="57" t="inlineStr">
        <is>
          <t>ITa</t>
        </is>
      </c>
      <c r="N13" s="109" t="n">
        <v>46059</v>
      </c>
      <c r="O13" s="57" t="n"/>
      <c r="P13" s="57" t="inlineStr">
        <is>
          <t>無</t>
        </is>
      </c>
      <c r="Q13" s="59" t="inlineStr"/>
      <c r="R13" s="57" t="n"/>
      <c r="S13" s="57" t="n"/>
      <c r="T13" s="109" t="n">
        <v>46064</v>
      </c>
      <c r="U13" s="57" t="n"/>
      <c r="V13" s="57" t="n"/>
    </row>
    <row r="14">
      <c r="A14" s="57" t="inlineStr">
        <is>
          <t>基盤</t>
        </is>
      </c>
      <c r="B14" s="57" t="inlineStr">
        <is>
          <t>DEF-基-0011</t>
        </is>
      </c>
      <c r="C14" s="57" t="inlineStr">
        <is>
          <t>01:未着手</t>
        </is>
      </c>
      <c r="D14" s="59" t="inlineStr">
        <is>
          <t>欠陥11: 40_基盤の不具合</t>
        </is>
      </c>
      <c r="E14" s="109" t="n">
        <v>46045</v>
      </c>
      <c r="F14" s="57" t="inlineStr">
        <is>
          <t>01_委託者登録</t>
        </is>
      </c>
      <c r="G14" s="57" t="inlineStr">
        <is>
          <t>高</t>
        </is>
      </c>
      <c r="H14" s="57" t="inlineStr">
        <is>
          <t>中</t>
        </is>
      </c>
      <c r="I14" s="109" t="n">
        <v>46050</v>
      </c>
      <c r="J14" s="57" t="n"/>
      <c r="K14" s="57" t="inlineStr">
        <is>
          <t>注意不足</t>
        </is>
      </c>
      <c r="L14" s="57" t="inlineStr">
        <is>
          <t>その他</t>
        </is>
      </c>
      <c r="M14" s="57" t="inlineStr">
        <is>
          <t>ITb</t>
        </is>
      </c>
      <c r="N14" s="109" t="n">
        <v>46053</v>
      </c>
      <c r="O14" s="57" t="n"/>
      <c r="P14" s="57" t="inlineStr">
        <is>
          <t>無</t>
        </is>
      </c>
      <c r="Q14" s="59" t="inlineStr"/>
      <c r="R14" s="57" t="n"/>
      <c r="S14" s="57" t="n"/>
      <c r="T14" s="109" t="n">
        <v>46066</v>
      </c>
      <c r="U14" s="57" t="n"/>
      <c r="V14" s="57" t="n"/>
    </row>
    <row r="15">
      <c r="A15" s="57" t="inlineStr">
        <is>
          <t>基盤</t>
        </is>
      </c>
      <c r="B15" s="57" t="inlineStr">
        <is>
          <t>DEF-基-0012</t>
        </is>
      </c>
      <c r="C15" s="57" t="inlineStr">
        <is>
          <t>01:未着手</t>
        </is>
      </c>
      <c r="D15" s="59" t="inlineStr">
        <is>
          <t>欠陥12: 08_事務支(変更通知)の不具合</t>
        </is>
      </c>
      <c r="E15" s="109" t="n">
        <v>46067</v>
      </c>
      <c r="F15" s="57" t="inlineStr">
        <is>
          <t>07_口振契約受付</t>
        </is>
      </c>
      <c r="G15" s="57" t="inlineStr">
        <is>
          <t>中</t>
        </is>
      </c>
      <c r="H15" s="57" t="inlineStr">
        <is>
          <t>低</t>
        </is>
      </c>
      <c r="I15" s="109" t="n">
        <v>46068</v>
      </c>
      <c r="J15" s="57" t="n"/>
      <c r="K15" s="57" t="inlineStr">
        <is>
          <t>プロセス不備</t>
        </is>
      </c>
      <c r="L15" s="57" t="inlineStr">
        <is>
          <t>その他</t>
        </is>
      </c>
      <c r="M15" s="57" t="inlineStr">
        <is>
          <t>ITa</t>
        </is>
      </c>
      <c r="N15" s="109" t="n">
        <v>46071</v>
      </c>
      <c r="O15" s="57" t="n"/>
      <c r="P15" s="57" t="inlineStr">
        <is>
          <t>無</t>
        </is>
      </c>
      <c r="Q15" s="59" t="inlineStr"/>
      <c r="R15" s="57" t="n"/>
      <c r="S15" s="57" t="n"/>
      <c r="T15" s="109" t="n">
        <v>46082</v>
      </c>
      <c r="U15" s="57" t="n"/>
      <c r="V15" s="57" t="n"/>
    </row>
    <row r="16">
      <c r="A16" s="57" t="inlineStr">
        <is>
          <t>基盤</t>
        </is>
      </c>
      <c r="B16" s="57" t="inlineStr">
        <is>
          <t>DEF-基-0013</t>
        </is>
      </c>
      <c r="C16" s="57" t="inlineStr">
        <is>
          <t>98:保留</t>
        </is>
      </c>
      <c r="D16" s="59" t="inlineStr">
        <is>
          <t>欠陥13: 05_清算の不具合</t>
        </is>
      </c>
      <c r="E16" s="109" t="n">
        <v>46062</v>
      </c>
      <c r="F16" s="57" t="inlineStr">
        <is>
          <t>07_口振契約受付</t>
        </is>
      </c>
      <c r="G16" s="57" t="inlineStr">
        <is>
          <t>高</t>
        </is>
      </c>
      <c r="H16" s="57" t="inlineStr">
        <is>
          <t>低</t>
        </is>
      </c>
      <c r="I16" s="109" t="n">
        <v>46064</v>
      </c>
      <c r="J16" s="57" t="n"/>
      <c r="K16" s="57" t="inlineStr">
        <is>
          <t>未知</t>
        </is>
      </c>
      <c r="L16" s="57" t="inlineStr">
        <is>
          <t>RD</t>
        </is>
      </c>
      <c r="M16" s="57" t="inlineStr">
        <is>
          <t>ST</t>
        </is>
      </c>
      <c r="N16" s="109" t="n">
        <v>46071</v>
      </c>
      <c r="O16" s="57" t="n"/>
      <c r="P16" s="57" t="inlineStr">
        <is>
          <t>無</t>
        </is>
      </c>
      <c r="Q16" s="59" t="inlineStr"/>
      <c r="R16" s="57" t="n"/>
      <c r="S16" s="57" t="n"/>
      <c r="T16" s="109" t="n">
        <v>46082</v>
      </c>
      <c r="U16" s="57" t="n"/>
      <c r="V16" s="5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FAADC"/>
    <outlinePr summaryBelow="1" summaryRight="1"/>
    <pageSetUpPr/>
  </sheetPr>
  <dimension ref="A1:V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12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</cols>
  <sheetData>
    <row r="1" ht="25" customHeight="1">
      <c r="A1" s="103" t="inlineStr">
        <is>
          <t>欠陥詳細 - 運用</t>
        </is>
      </c>
    </row>
    <row r="3">
      <c r="A3" s="51" t="inlineStr">
        <is>
          <t>チーム名</t>
        </is>
      </c>
      <c r="B3" s="51" t="inlineStr">
        <is>
          <t>欠陥ID</t>
        </is>
      </c>
      <c r="C3" s="51" t="inlineStr">
        <is>
          <t>対応状況</t>
        </is>
      </c>
      <c r="D3" s="51" t="inlineStr">
        <is>
          <t>件名</t>
        </is>
      </c>
      <c r="E3" s="51" t="inlineStr">
        <is>
          <t>発見日</t>
        </is>
      </c>
      <c r="F3" s="51" t="inlineStr">
        <is>
          <t>業務機能分類</t>
        </is>
      </c>
      <c r="G3" s="51" t="inlineStr">
        <is>
          <t>緊急度</t>
        </is>
      </c>
      <c r="H3" s="51" t="inlineStr">
        <is>
          <t>影響度</t>
        </is>
      </c>
      <c r="I3" s="51" t="inlineStr">
        <is>
          <t>調査予定日</t>
        </is>
      </c>
      <c r="J3" s="51" t="inlineStr">
        <is>
          <t>調査完了日</t>
        </is>
      </c>
      <c r="K3" s="51" t="inlineStr">
        <is>
          <t>欠陥原因</t>
        </is>
      </c>
      <c r="L3" s="51" t="inlineStr">
        <is>
          <t>欠陥埋込フェーズ</t>
        </is>
      </c>
      <c r="M3" s="51" t="inlineStr">
        <is>
          <t>検出すべきフェーズ</t>
        </is>
      </c>
      <c r="N3" s="51" t="inlineStr">
        <is>
          <t>対応予定日</t>
        </is>
      </c>
      <c r="O3" s="51" t="inlineStr">
        <is>
          <t>対応日</t>
        </is>
      </c>
      <c r="P3" s="51" t="inlineStr">
        <is>
          <t>横展開有無</t>
        </is>
      </c>
      <c r="Q3" s="51" t="inlineStr">
        <is>
          <t>横展開先</t>
        </is>
      </c>
      <c r="R3" s="51" t="inlineStr">
        <is>
          <t>横展開完了予定日</t>
        </is>
      </c>
      <c r="S3" s="51" t="inlineStr">
        <is>
          <t>横展開完了日</t>
        </is>
      </c>
      <c r="T3" s="51" t="inlineStr">
        <is>
          <t>リリース予定日</t>
        </is>
      </c>
      <c r="U3" s="51" t="inlineStr">
        <is>
          <t>リリース日</t>
        </is>
      </c>
      <c r="V3" s="51" t="inlineStr">
        <is>
          <t>検証日</t>
        </is>
      </c>
    </row>
    <row r="4">
      <c r="A4" s="57" t="inlineStr">
        <is>
          <t>運用</t>
        </is>
      </c>
      <c r="B4" s="57" t="inlineStr">
        <is>
          <t>DEF-運-0001</t>
        </is>
      </c>
      <c r="C4" s="57" t="inlineStr">
        <is>
          <t>05:完了</t>
        </is>
      </c>
      <c r="D4" s="59" t="inlineStr">
        <is>
          <t>欠陥1: 05_清算の不具合</t>
        </is>
      </c>
      <c r="E4" s="109" t="n">
        <v>46060</v>
      </c>
      <c r="F4" s="57" t="inlineStr">
        <is>
          <t>03_請求</t>
        </is>
      </c>
      <c r="G4" s="57" t="inlineStr">
        <is>
          <t>高</t>
        </is>
      </c>
      <c r="H4" s="57" t="inlineStr">
        <is>
          <t>中</t>
        </is>
      </c>
      <c r="I4" s="109" t="n">
        <v>46064</v>
      </c>
      <c r="J4" s="109" t="n">
        <v>46063</v>
      </c>
      <c r="K4" s="57" t="inlineStr">
        <is>
          <t>外的要因</t>
        </is>
      </c>
      <c r="L4" s="57" t="inlineStr">
        <is>
          <t>RD</t>
        </is>
      </c>
      <c r="M4" s="57" t="inlineStr">
        <is>
          <t>ITa</t>
        </is>
      </c>
      <c r="N4" s="109" t="n">
        <v>46069</v>
      </c>
      <c r="O4" s="109" t="n">
        <v>46074</v>
      </c>
      <c r="P4" s="57" t="inlineStr">
        <is>
          <t>無</t>
        </is>
      </c>
      <c r="Q4" s="59" t="inlineStr"/>
      <c r="R4" s="57" t="n"/>
      <c r="S4" s="57" t="n"/>
      <c r="T4" s="109" t="n">
        <v>46074</v>
      </c>
      <c r="U4" s="109" t="n">
        <v>46076</v>
      </c>
      <c r="V4" s="109" t="n">
        <v>46078</v>
      </c>
    </row>
    <row r="5">
      <c r="A5" s="57" t="inlineStr">
        <is>
          <t>運用</t>
        </is>
      </c>
      <c r="B5" s="57" t="inlineStr">
        <is>
          <t>DEF-運-0002</t>
        </is>
      </c>
      <c r="C5" s="57" t="inlineStr">
        <is>
          <t>05:完了</t>
        </is>
      </c>
      <c r="D5" s="59" t="inlineStr">
        <is>
          <t>欠陥2: 30_運用の不具合</t>
        </is>
      </c>
      <c r="E5" s="109" t="n">
        <v>46068</v>
      </c>
      <c r="F5" s="57" t="inlineStr">
        <is>
          <t>01_委託者登録</t>
        </is>
      </c>
      <c r="G5" s="57" t="inlineStr">
        <is>
          <t>低</t>
        </is>
      </c>
      <c r="H5" s="57" t="inlineStr">
        <is>
          <t>中</t>
        </is>
      </c>
      <c r="I5" s="109" t="n">
        <v>46073</v>
      </c>
      <c r="J5" s="109" t="n">
        <v>46073</v>
      </c>
      <c r="K5" s="57" t="inlineStr">
        <is>
          <t>非欠陥</t>
        </is>
      </c>
      <c r="L5" s="57" t="inlineStr">
        <is>
          <t>その他</t>
        </is>
      </c>
      <c r="M5" s="57" t="inlineStr">
        <is>
          <t>CT</t>
        </is>
      </c>
      <c r="N5" s="109" t="n">
        <v>46080</v>
      </c>
      <c r="O5" s="109" t="n">
        <v>46082</v>
      </c>
      <c r="P5" s="57" t="inlineStr">
        <is>
          <t>有</t>
        </is>
      </c>
      <c r="Q5" s="59" t="inlineStr">
        <is>
          <t>20_移行</t>
        </is>
      </c>
      <c r="R5" s="109" t="n">
        <v>46085</v>
      </c>
      <c r="S5" s="109" t="n">
        <v>46087</v>
      </c>
      <c r="T5" s="109" t="n">
        <v>46086</v>
      </c>
      <c r="U5" s="109" t="n">
        <v>46086</v>
      </c>
      <c r="V5" s="109" t="n">
        <v>46085</v>
      </c>
    </row>
    <row r="6">
      <c r="A6" s="57" t="inlineStr">
        <is>
          <t>運用</t>
        </is>
      </c>
      <c r="B6" s="57" t="inlineStr">
        <is>
          <t>DEF-運-0003</t>
        </is>
      </c>
      <c r="C6" s="57" t="inlineStr">
        <is>
          <t>05:完了</t>
        </is>
      </c>
      <c r="D6" s="59" t="inlineStr">
        <is>
          <t>欠陥3: 06_受入準備の不具合</t>
        </is>
      </c>
      <c r="E6" s="109" t="n">
        <v>46048</v>
      </c>
      <c r="F6" s="57" t="inlineStr">
        <is>
          <t>03_請求</t>
        </is>
      </c>
      <c r="G6" s="57" t="inlineStr">
        <is>
          <t>中</t>
        </is>
      </c>
      <c r="H6" s="57" t="inlineStr">
        <is>
          <t>低</t>
        </is>
      </c>
      <c r="I6" s="109" t="n">
        <v>46050</v>
      </c>
      <c r="J6" s="109" t="n">
        <v>46049</v>
      </c>
      <c r="K6" s="57" t="inlineStr">
        <is>
          <t>未知</t>
        </is>
      </c>
      <c r="L6" s="57" t="inlineStr">
        <is>
          <t>その他</t>
        </is>
      </c>
      <c r="M6" s="57" t="inlineStr">
        <is>
          <t>ITa</t>
        </is>
      </c>
      <c r="N6" s="109" t="n">
        <v>46059</v>
      </c>
      <c r="O6" s="109" t="n">
        <v>46058</v>
      </c>
      <c r="P6" s="57" t="inlineStr">
        <is>
          <t>有</t>
        </is>
      </c>
      <c r="Q6" s="59" t="inlineStr">
        <is>
          <t>10_共通</t>
        </is>
      </c>
      <c r="R6" s="109" t="n">
        <v>46064</v>
      </c>
      <c r="S6" s="109" t="n">
        <v>46066</v>
      </c>
      <c r="T6" s="109" t="n">
        <v>46071</v>
      </c>
      <c r="U6" s="109" t="n">
        <v>46073</v>
      </c>
      <c r="V6" s="109" t="n">
        <v>46063</v>
      </c>
    </row>
    <row r="7">
      <c r="A7" s="57" t="inlineStr">
        <is>
          <t>運用</t>
        </is>
      </c>
      <c r="B7" s="57" t="inlineStr">
        <is>
          <t>DEF-運-0004</t>
        </is>
      </c>
      <c r="C7" s="57" t="inlineStr">
        <is>
          <t>05:完了</t>
        </is>
      </c>
      <c r="D7" s="59" t="inlineStr">
        <is>
          <t>欠陥4: 20_移行の不具合</t>
        </is>
      </c>
      <c r="E7" s="109" t="n">
        <v>46004</v>
      </c>
      <c r="F7" s="57" t="inlineStr">
        <is>
          <t>20_移行</t>
        </is>
      </c>
      <c r="G7" s="57" t="inlineStr">
        <is>
          <t>高</t>
        </is>
      </c>
      <c r="H7" s="57" t="inlineStr">
        <is>
          <t>高</t>
        </is>
      </c>
      <c r="I7" s="109" t="n">
        <v>46008</v>
      </c>
      <c r="J7" s="109" t="n">
        <v>46010</v>
      </c>
      <c r="K7" s="57" t="inlineStr">
        <is>
          <t>プロセス不備</t>
        </is>
      </c>
      <c r="L7" s="57" t="inlineStr">
        <is>
          <t>PD</t>
        </is>
      </c>
      <c r="M7" s="57" t="inlineStr">
        <is>
          <t>ST</t>
        </is>
      </c>
      <c r="N7" s="109" t="n">
        <v>46011</v>
      </c>
      <c r="O7" s="109" t="n">
        <v>46013</v>
      </c>
      <c r="P7" s="57" t="inlineStr">
        <is>
          <t>有</t>
        </is>
      </c>
      <c r="Q7" s="59" t="inlineStr">
        <is>
          <t>30_運用</t>
        </is>
      </c>
      <c r="R7" s="109" t="n">
        <v>46017</v>
      </c>
      <c r="S7" s="109" t="n">
        <v>46017</v>
      </c>
      <c r="T7" s="109" t="n">
        <v>46025</v>
      </c>
      <c r="U7" s="109" t="n">
        <v>46026</v>
      </c>
      <c r="V7" s="109" t="n">
        <v>46015</v>
      </c>
    </row>
    <row r="8">
      <c r="A8" s="57" t="inlineStr">
        <is>
          <t>運用</t>
        </is>
      </c>
      <c r="B8" s="57" t="inlineStr">
        <is>
          <t>DEF-運-0005</t>
        </is>
      </c>
      <c r="C8" s="57" t="inlineStr">
        <is>
          <t>05:完了</t>
        </is>
      </c>
      <c r="D8" s="59" t="inlineStr">
        <is>
          <t>欠陥5: 03_請求の不具合</t>
        </is>
      </c>
      <c r="E8" s="109" t="n">
        <v>46044</v>
      </c>
      <c r="F8" s="57" t="inlineStr">
        <is>
          <t>04_欠陥・返戻</t>
        </is>
      </c>
      <c r="G8" s="57" t="inlineStr">
        <is>
          <t>中</t>
        </is>
      </c>
      <c r="H8" s="57" t="inlineStr">
        <is>
          <t>高</t>
        </is>
      </c>
      <c r="I8" s="109" t="n">
        <v>46046</v>
      </c>
      <c r="J8" s="109" t="n">
        <v>46046</v>
      </c>
      <c r="K8" s="57" t="inlineStr">
        <is>
          <t>未知</t>
        </is>
      </c>
      <c r="L8" s="57" t="inlineStr">
        <is>
          <t>ED</t>
        </is>
      </c>
      <c r="M8" s="57" t="inlineStr">
        <is>
          <t>CT</t>
        </is>
      </c>
      <c r="N8" s="109" t="n">
        <v>46053</v>
      </c>
      <c r="O8" s="109" t="n">
        <v>46054</v>
      </c>
      <c r="P8" s="57" t="inlineStr">
        <is>
          <t>無</t>
        </is>
      </c>
      <c r="Q8" s="59" t="inlineStr"/>
      <c r="R8" s="57" t="n"/>
      <c r="S8" s="57" t="n"/>
      <c r="T8" s="109" t="n">
        <v>46063</v>
      </c>
      <c r="U8" s="109" t="n">
        <v>46065</v>
      </c>
      <c r="V8" s="109" t="n">
        <v>46055</v>
      </c>
    </row>
    <row r="9">
      <c r="A9" s="57" t="inlineStr">
        <is>
          <t>運用</t>
        </is>
      </c>
      <c r="B9" s="57" t="inlineStr">
        <is>
          <t>DEF-運-0006</t>
        </is>
      </c>
      <c r="C9" s="57" t="inlineStr">
        <is>
          <t>04:検証中</t>
        </is>
      </c>
      <c r="D9" s="59" t="inlineStr">
        <is>
          <t>欠陥6: 20_移行の不具合</t>
        </is>
      </c>
      <c r="E9" s="109" t="n">
        <v>46023</v>
      </c>
      <c r="F9" s="57" t="inlineStr">
        <is>
          <t>30_運用</t>
        </is>
      </c>
      <c r="G9" s="57" t="inlineStr">
        <is>
          <t>高</t>
        </is>
      </c>
      <c r="H9" s="57" t="inlineStr">
        <is>
          <t>中</t>
        </is>
      </c>
      <c r="I9" s="109" t="n">
        <v>46025</v>
      </c>
      <c r="J9" s="109" t="n">
        <v>46027</v>
      </c>
      <c r="K9" s="57" t="inlineStr">
        <is>
          <t>業務/仕様理解不足</t>
        </is>
      </c>
      <c r="L9" s="57" t="inlineStr">
        <is>
          <t>ED</t>
        </is>
      </c>
      <c r="M9" s="57" t="inlineStr">
        <is>
          <t>ITa</t>
        </is>
      </c>
      <c r="N9" s="109" t="n">
        <v>46028</v>
      </c>
      <c r="O9" s="109" t="n">
        <v>46026</v>
      </c>
      <c r="P9" s="57" t="inlineStr">
        <is>
          <t>無</t>
        </is>
      </c>
      <c r="Q9" s="59" t="inlineStr"/>
      <c r="R9" s="57" t="n"/>
      <c r="S9" s="57" t="n"/>
      <c r="T9" s="109" t="n">
        <v>46037</v>
      </c>
      <c r="U9" s="57" t="n"/>
      <c r="V9" s="57" t="n"/>
    </row>
    <row r="10">
      <c r="A10" s="57" t="inlineStr">
        <is>
          <t>運用</t>
        </is>
      </c>
      <c r="B10" s="57" t="inlineStr">
        <is>
          <t>DEF-運-0007</t>
        </is>
      </c>
      <c r="C10" s="57" t="inlineStr">
        <is>
          <t>04:検証中</t>
        </is>
      </c>
      <c r="D10" s="59" t="inlineStr">
        <is>
          <t>欠陥7: 10_共通の不具合</t>
        </is>
      </c>
      <c r="E10" s="109" t="n">
        <v>46010</v>
      </c>
      <c r="F10" s="57" t="inlineStr">
        <is>
          <t>30_運用</t>
        </is>
      </c>
      <c r="G10" s="57" t="inlineStr">
        <is>
          <t>高</t>
        </is>
      </c>
      <c r="H10" s="57" t="inlineStr">
        <is>
          <t>高</t>
        </is>
      </c>
      <c r="I10" s="109" t="n">
        <v>46014</v>
      </c>
      <c r="J10" s="109" t="n">
        <v>46017</v>
      </c>
      <c r="K10" s="57" t="inlineStr">
        <is>
          <t>業務/仕様理解不足</t>
        </is>
      </c>
      <c r="L10" s="57" t="inlineStr">
        <is>
          <t>ID</t>
        </is>
      </c>
      <c r="M10" s="57" t="inlineStr">
        <is>
          <t>非欠陥</t>
        </is>
      </c>
      <c r="N10" s="109" t="n">
        <v>46017</v>
      </c>
      <c r="O10" s="109" t="n">
        <v>46022</v>
      </c>
      <c r="P10" s="57" t="inlineStr">
        <is>
          <t>無</t>
        </is>
      </c>
      <c r="Q10" s="59" t="inlineStr"/>
      <c r="R10" s="57" t="n"/>
      <c r="S10" s="57" t="n"/>
      <c r="T10" s="109" t="n">
        <v>46025</v>
      </c>
      <c r="U10" s="57" t="n"/>
      <c r="V10" s="57" t="n"/>
    </row>
    <row r="11">
      <c r="A11" s="57" t="inlineStr">
        <is>
          <t>運用</t>
        </is>
      </c>
      <c r="B11" s="57" t="inlineStr">
        <is>
          <t>DEF-運-0008</t>
        </is>
      </c>
      <c r="C11" s="57" t="inlineStr">
        <is>
          <t>04:検証中</t>
        </is>
      </c>
      <c r="D11" s="59" t="inlineStr">
        <is>
          <t>欠陥8: 20_移行の不具合</t>
        </is>
      </c>
      <c r="E11" s="109" t="n">
        <v>45998</v>
      </c>
      <c r="F11" s="57" t="inlineStr">
        <is>
          <t>03_請求</t>
        </is>
      </c>
      <c r="G11" s="57" t="inlineStr">
        <is>
          <t>中</t>
        </is>
      </c>
      <c r="H11" s="57" t="inlineStr">
        <is>
          <t>低</t>
        </is>
      </c>
      <c r="I11" s="109" t="n">
        <v>46000</v>
      </c>
      <c r="J11" s="109" t="n">
        <v>46002</v>
      </c>
      <c r="K11" s="57" t="inlineStr">
        <is>
          <t>プロセス不備</t>
        </is>
      </c>
      <c r="L11" s="57" t="inlineStr">
        <is>
          <t>RD</t>
        </is>
      </c>
      <c r="M11" s="57" t="inlineStr">
        <is>
          <t>ST</t>
        </is>
      </c>
      <c r="N11" s="109" t="n">
        <v>46004</v>
      </c>
      <c r="O11" s="109" t="n">
        <v>46004</v>
      </c>
      <c r="P11" s="57" t="inlineStr">
        <is>
          <t>無</t>
        </is>
      </c>
      <c r="Q11" s="59" t="inlineStr"/>
      <c r="R11" s="57" t="n"/>
      <c r="S11" s="57" t="n"/>
      <c r="T11" s="109" t="n">
        <v>46014</v>
      </c>
      <c r="U11" s="57" t="n"/>
      <c r="V11" s="57" t="n"/>
    </row>
    <row r="12">
      <c r="A12" s="57" t="inlineStr">
        <is>
          <t>運用</t>
        </is>
      </c>
      <c r="B12" s="57" t="inlineStr">
        <is>
          <t>DEF-運-0009</t>
        </is>
      </c>
      <c r="C12" s="57" t="inlineStr">
        <is>
          <t>03:対応中</t>
        </is>
      </c>
      <c r="D12" s="59" t="inlineStr">
        <is>
          <t>欠陥9: 06_受入準備の不具合</t>
        </is>
      </c>
      <c r="E12" s="109" t="n">
        <v>46033</v>
      </c>
      <c r="F12" s="57" t="inlineStr">
        <is>
          <t>20_移行</t>
        </is>
      </c>
      <c r="G12" s="57" t="inlineStr">
        <is>
          <t>低</t>
        </is>
      </c>
      <c r="H12" s="57" t="inlineStr">
        <is>
          <t>中</t>
        </is>
      </c>
      <c r="I12" s="109" t="n">
        <v>46038</v>
      </c>
      <c r="J12" s="109" t="n">
        <v>46037</v>
      </c>
      <c r="K12" s="57" t="inlineStr">
        <is>
          <t>未知</t>
        </is>
      </c>
      <c r="L12" s="57" t="inlineStr">
        <is>
          <t>RD</t>
        </is>
      </c>
      <c r="M12" s="57" t="inlineStr">
        <is>
          <t>ST</t>
        </is>
      </c>
      <c r="N12" s="109" t="n">
        <v>46046</v>
      </c>
      <c r="O12" s="57" t="n"/>
      <c r="P12" s="57" t="inlineStr">
        <is>
          <t>無</t>
        </is>
      </c>
      <c r="Q12" s="59" t="inlineStr"/>
      <c r="R12" s="57" t="n"/>
      <c r="S12" s="57" t="n"/>
      <c r="T12" s="109" t="n">
        <v>46058</v>
      </c>
      <c r="U12" s="57" t="n"/>
      <c r="V12" s="57" t="n"/>
    </row>
    <row r="13">
      <c r="A13" s="57" t="inlineStr">
        <is>
          <t>運用</t>
        </is>
      </c>
      <c r="B13" s="57" t="inlineStr">
        <is>
          <t>DEF-運-0010</t>
        </is>
      </c>
      <c r="C13" s="57" t="inlineStr">
        <is>
          <t>03:対応中</t>
        </is>
      </c>
      <c r="D13" s="59" t="inlineStr">
        <is>
          <t>欠陥10: 03_請求の不具合</t>
        </is>
      </c>
      <c r="E13" s="109" t="n">
        <v>46071</v>
      </c>
      <c r="F13" s="57" t="inlineStr">
        <is>
          <t>01_委託者登録</t>
        </is>
      </c>
      <c r="G13" s="57" t="inlineStr">
        <is>
          <t>低</t>
        </is>
      </c>
      <c r="H13" s="57" t="inlineStr">
        <is>
          <t>中</t>
        </is>
      </c>
      <c r="I13" s="109" t="n">
        <v>46024</v>
      </c>
      <c r="J13" s="109" t="n">
        <v>46026</v>
      </c>
      <c r="K13" s="57" t="inlineStr">
        <is>
          <t>未知</t>
        </is>
      </c>
      <c r="L13" s="57" t="inlineStr">
        <is>
          <t>非欠陥</t>
        </is>
      </c>
      <c r="M13" s="57" t="inlineStr">
        <is>
          <t>ST</t>
        </is>
      </c>
      <c r="N13" s="109" t="n">
        <v>46031</v>
      </c>
      <c r="O13" s="57" t="n"/>
      <c r="P13" s="57" t="inlineStr">
        <is>
          <t>無</t>
        </is>
      </c>
      <c r="Q13" s="59" t="inlineStr"/>
      <c r="R13" s="57" t="n"/>
      <c r="S13" s="57" t="n"/>
      <c r="T13" s="109" t="n">
        <v>46039</v>
      </c>
      <c r="U13" s="57" t="n"/>
      <c r="V13" s="57" t="n"/>
    </row>
    <row r="14">
      <c r="A14" s="57" t="inlineStr">
        <is>
          <t>運用</t>
        </is>
      </c>
      <c r="B14" s="57" t="inlineStr">
        <is>
          <t>DEF-運-0011</t>
        </is>
      </c>
      <c r="C14" s="57" t="inlineStr">
        <is>
          <t>02:調査中</t>
        </is>
      </c>
      <c r="D14" s="59" t="inlineStr">
        <is>
          <t>欠陥11: 08_事務支(変更通知)の不具合</t>
        </is>
      </c>
      <c r="E14" s="109" t="n">
        <v>46069</v>
      </c>
      <c r="F14" s="57" t="inlineStr">
        <is>
          <t>20_移行</t>
        </is>
      </c>
      <c r="G14" s="57" t="inlineStr">
        <is>
          <t>低</t>
        </is>
      </c>
      <c r="H14" s="57" t="inlineStr">
        <is>
          <t>高</t>
        </is>
      </c>
      <c r="I14" s="109" t="n">
        <v>46074</v>
      </c>
      <c r="J14" s="57" t="n"/>
      <c r="K14" s="57" t="inlineStr">
        <is>
          <t>注意不足</t>
        </is>
      </c>
      <c r="L14" s="57" t="inlineStr">
        <is>
          <t>ED</t>
        </is>
      </c>
      <c r="M14" s="57" t="inlineStr">
        <is>
          <t>ITa</t>
        </is>
      </c>
      <c r="N14" s="109" t="n">
        <v>46082</v>
      </c>
      <c r="O14" s="57" t="n"/>
      <c r="P14" s="57" t="inlineStr">
        <is>
          <t>無</t>
        </is>
      </c>
      <c r="Q14" s="59" t="inlineStr"/>
      <c r="R14" s="57" t="n"/>
      <c r="S14" s="57" t="n"/>
      <c r="T14" s="109" t="n">
        <v>46087</v>
      </c>
      <c r="U14" s="57" t="n"/>
      <c r="V14" s="57" t="n"/>
    </row>
    <row r="15">
      <c r="A15" s="57" t="inlineStr">
        <is>
          <t>運用</t>
        </is>
      </c>
      <c r="B15" s="57" t="inlineStr">
        <is>
          <t>DEF-運-0012</t>
        </is>
      </c>
      <c r="C15" s="57" t="inlineStr">
        <is>
          <t>02:調査中</t>
        </is>
      </c>
      <c r="D15" s="59" t="inlineStr">
        <is>
          <t>欠陥12: 05_清算の不具合</t>
        </is>
      </c>
      <c r="E15" s="109" t="n">
        <v>46005</v>
      </c>
      <c r="F15" s="57" t="inlineStr">
        <is>
          <t>10_共通</t>
        </is>
      </c>
      <c r="G15" s="57" t="inlineStr">
        <is>
          <t>高</t>
        </is>
      </c>
      <c r="H15" s="57" t="inlineStr">
        <is>
          <t>中</t>
        </is>
      </c>
      <c r="I15" s="109" t="n">
        <v>46010</v>
      </c>
      <c r="J15" s="57" t="n"/>
      <c r="K15" s="57" t="inlineStr">
        <is>
          <t>外的要因</t>
        </is>
      </c>
      <c r="L15" s="57" t="inlineStr">
        <is>
          <t>PD</t>
        </is>
      </c>
      <c r="M15" s="57" t="inlineStr">
        <is>
          <t>ST</t>
        </is>
      </c>
      <c r="N15" s="109" t="n">
        <v>46015</v>
      </c>
      <c r="O15" s="57" t="n"/>
      <c r="P15" s="57" t="inlineStr">
        <is>
          <t>有</t>
        </is>
      </c>
      <c r="Q15" s="59" t="inlineStr">
        <is>
          <t>03_請求</t>
        </is>
      </c>
      <c r="R15" s="109" t="n">
        <v>46021</v>
      </c>
      <c r="S15" s="57" t="n"/>
      <c r="T15" s="109" t="n">
        <v>46023</v>
      </c>
      <c r="U15" s="57" t="n"/>
      <c r="V15" s="57" t="n"/>
    </row>
    <row r="16">
      <c r="A16" s="57" t="inlineStr">
        <is>
          <t>運用</t>
        </is>
      </c>
      <c r="B16" s="57" t="inlineStr">
        <is>
          <t>DEF-運-0013</t>
        </is>
      </c>
      <c r="C16" s="57" t="inlineStr">
        <is>
          <t>01:未着手</t>
        </is>
      </c>
      <c r="D16" s="59" t="inlineStr">
        <is>
          <t>欠陥13: 05_清算の不具合</t>
        </is>
      </c>
      <c r="E16" s="109" t="n">
        <v>46010</v>
      </c>
      <c r="F16" s="57" t="inlineStr">
        <is>
          <t>03_請求</t>
        </is>
      </c>
      <c r="G16" s="57" t="inlineStr">
        <is>
          <t>低</t>
        </is>
      </c>
      <c r="H16" s="57" t="inlineStr">
        <is>
          <t>低</t>
        </is>
      </c>
      <c r="I16" s="109" t="n">
        <v>46013</v>
      </c>
      <c r="J16" s="57" t="n"/>
      <c r="K16" s="57" t="inlineStr">
        <is>
          <t>考慮不足</t>
        </is>
      </c>
      <c r="L16" s="57" t="inlineStr">
        <is>
          <t>その他</t>
        </is>
      </c>
      <c r="M16" s="57" t="inlineStr">
        <is>
          <t>ST</t>
        </is>
      </c>
      <c r="N16" s="109" t="n">
        <v>46023</v>
      </c>
      <c r="O16" s="57" t="n"/>
      <c r="P16" s="57" t="inlineStr">
        <is>
          <t>無</t>
        </is>
      </c>
      <c r="Q16" s="59" t="inlineStr"/>
      <c r="R16" s="57" t="n"/>
      <c r="S16" s="57" t="n"/>
      <c r="T16" s="109" t="n">
        <v>46030</v>
      </c>
      <c r="U16" s="57" t="n"/>
      <c r="V16" s="57" t="n"/>
    </row>
    <row r="17">
      <c r="A17" s="57" t="inlineStr">
        <is>
          <t>運用</t>
        </is>
      </c>
      <c r="B17" s="57" t="inlineStr">
        <is>
          <t>DEF-運-0014</t>
        </is>
      </c>
      <c r="C17" s="57" t="inlineStr">
        <is>
          <t>01:未着手</t>
        </is>
      </c>
      <c r="D17" s="59" t="inlineStr">
        <is>
          <t>欠陥14: 10_共通の不具合</t>
        </is>
      </c>
      <c r="E17" s="109" t="n">
        <v>46049</v>
      </c>
      <c r="F17" s="57" t="inlineStr">
        <is>
          <t>04_欠陥・返戻</t>
        </is>
      </c>
      <c r="G17" s="57" t="inlineStr">
        <is>
          <t>低</t>
        </is>
      </c>
      <c r="H17" s="57" t="inlineStr">
        <is>
          <t>高</t>
        </is>
      </c>
      <c r="I17" s="109" t="n">
        <v>46054</v>
      </c>
      <c r="J17" s="57" t="n"/>
      <c r="K17" s="57" t="inlineStr">
        <is>
          <t>影響範囲調査不足</t>
        </is>
      </c>
      <c r="L17" s="57" t="inlineStr">
        <is>
          <t>RD</t>
        </is>
      </c>
      <c r="M17" s="57" t="inlineStr">
        <is>
          <t>CT</t>
        </is>
      </c>
      <c r="N17" s="109" t="n">
        <v>46064</v>
      </c>
      <c r="O17" s="57" t="n"/>
      <c r="P17" s="57" t="inlineStr">
        <is>
          <t>無</t>
        </is>
      </c>
      <c r="Q17" s="59" t="inlineStr"/>
      <c r="R17" s="57" t="n"/>
      <c r="S17" s="57" t="n"/>
      <c r="T17" s="109" t="n">
        <v>46069</v>
      </c>
      <c r="U17" s="57" t="n"/>
      <c r="V17" s="57" t="n"/>
    </row>
    <row r="18">
      <c r="A18" s="57" t="inlineStr">
        <is>
          <t>運用</t>
        </is>
      </c>
      <c r="B18" s="57" t="inlineStr">
        <is>
          <t>DEF-運-0015</t>
        </is>
      </c>
      <c r="C18" s="57" t="inlineStr">
        <is>
          <t>98:保留</t>
        </is>
      </c>
      <c r="D18" s="59" t="inlineStr">
        <is>
          <t>欠陥15: 09_事務支(その他)の不具合</t>
        </is>
      </c>
      <c r="E18" s="109" t="n">
        <v>46035</v>
      </c>
      <c r="F18" s="57" t="inlineStr">
        <is>
          <t>01_委託者登録</t>
        </is>
      </c>
      <c r="G18" s="57" t="inlineStr">
        <is>
          <t>高</t>
        </is>
      </c>
      <c r="H18" s="57" t="inlineStr">
        <is>
          <t>低</t>
        </is>
      </c>
      <c r="I18" s="109" t="n">
        <v>46037</v>
      </c>
      <c r="J18" s="57" t="n"/>
      <c r="K18" s="57" t="inlineStr">
        <is>
          <t>業務/仕様理解不足</t>
        </is>
      </c>
      <c r="L18" s="57" t="inlineStr">
        <is>
          <t>ID</t>
        </is>
      </c>
      <c r="M18" s="57" t="inlineStr">
        <is>
          <t>ITb</t>
        </is>
      </c>
      <c r="N18" s="109" t="n">
        <v>46044</v>
      </c>
      <c r="O18" s="57" t="n"/>
      <c r="P18" s="57" t="inlineStr">
        <is>
          <t>有</t>
        </is>
      </c>
      <c r="Q18" s="59" t="inlineStr">
        <is>
          <t>04_欠陥・返戻</t>
        </is>
      </c>
      <c r="R18" s="109" t="n">
        <v>46048</v>
      </c>
      <c r="S18" s="57" t="n"/>
      <c r="T18" s="109" t="n">
        <v>46051</v>
      </c>
      <c r="U18" s="57" t="n"/>
      <c r="V18" s="57" t="n"/>
    </row>
    <row r="19">
      <c r="A19" s="57" t="inlineStr">
        <is>
          <t>運用</t>
        </is>
      </c>
      <c r="B19" s="57" t="inlineStr">
        <is>
          <t>DEF-運-0016</t>
        </is>
      </c>
      <c r="C19" s="57" t="inlineStr">
        <is>
          <t>98:保留</t>
        </is>
      </c>
      <c r="D19" s="59" t="inlineStr">
        <is>
          <t>欠陥16: 01_委託者登録の不具合</t>
        </is>
      </c>
      <c r="E19" s="109" t="n">
        <v>46061</v>
      </c>
      <c r="F19" s="57" t="inlineStr">
        <is>
          <t>03_請求</t>
        </is>
      </c>
      <c r="G19" s="57" t="inlineStr">
        <is>
          <t>低</t>
        </is>
      </c>
      <c r="H19" s="57" t="inlineStr">
        <is>
          <t>高</t>
        </is>
      </c>
      <c r="I19" s="109" t="n">
        <v>46062</v>
      </c>
      <c r="J19" s="57" t="n"/>
      <c r="K19" s="57" t="inlineStr">
        <is>
          <t>業務/仕様理解不足</t>
        </is>
      </c>
      <c r="L19" s="57" t="inlineStr">
        <is>
          <t>ED</t>
        </is>
      </c>
      <c r="M19" s="57" t="inlineStr">
        <is>
          <t>CT</t>
        </is>
      </c>
      <c r="N19" s="109" t="n">
        <v>46065</v>
      </c>
      <c r="O19" s="57" t="n"/>
      <c r="P19" s="57" t="inlineStr">
        <is>
          <t>有</t>
        </is>
      </c>
      <c r="Q19" s="59" t="inlineStr">
        <is>
          <t>03_請求</t>
        </is>
      </c>
      <c r="R19" s="109" t="n">
        <v>46071</v>
      </c>
      <c r="S19" s="57" t="n"/>
      <c r="T19" s="109" t="n">
        <v>46071</v>
      </c>
      <c r="U19" s="57" t="n"/>
      <c r="V19" s="5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L3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2" customWidth="1" min="4" max="4"/>
    <col width="16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3" customWidth="1" min="12" max="12"/>
  </cols>
  <sheetData>
    <row r="1" ht="25" customHeight="1">
      <c r="A1" s="110" t="inlineStr">
        <is>
          <t>テスト進捗明細</t>
        </is>
      </c>
    </row>
    <row r="2">
      <c r="K2" s="111" t="inlineStr">
        <is>
          <t>基準日:</t>
        </is>
      </c>
      <c r="L2" s="112">
        <f>ダッシュボード!$B$2</f>
        <v/>
      </c>
    </row>
    <row r="4">
      <c r="A4" s="64" t="inlineStr">
        <is>
          <t>No.</t>
        </is>
      </c>
      <c r="B4" s="64" t="inlineStr">
        <is>
          <t>ファイル名</t>
        </is>
      </c>
      <c r="C4" s="64" t="inlineStr">
        <is>
          <t>シート名</t>
        </is>
      </c>
      <c r="D4" s="64" t="inlineStr">
        <is>
          <t>チーム名</t>
        </is>
      </c>
      <c r="E4" s="64" t="inlineStr">
        <is>
          <t>テストID</t>
        </is>
      </c>
      <c r="F4" s="64" t="inlineStr">
        <is>
          <t>実施者_予定</t>
        </is>
      </c>
      <c r="G4" s="64" t="inlineStr">
        <is>
          <t>実施者_実績</t>
        </is>
      </c>
      <c r="H4" s="64" t="inlineStr">
        <is>
          <t>実施者_状況</t>
        </is>
      </c>
      <c r="I4" s="64" t="inlineStr">
        <is>
          <t>検証者_予定</t>
        </is>
      </c>
      <c r="J4" s="64" t="inlineStr">
        <is>
          <t>検証者_実績</t>
        </is>
      </c>
      <c r="K4" s="64" t="inlineStr">
        <is>
          <t>検証者_状況</t>
        </is>
      </c>
      <c r="L4" s="64" t="inlineStr">
        <is>
          <t>進捗状況</t>
        </is>
      </c>
    </row>
    <row r="5">
      <c r="A5" s="57" t="n">
        <v>1</v>
      </c>
      <c r="B5" s="59" t="inlineStr">
        <is>
          <t>input/ITB-B-001_日次バッチ.xlsx</t>
        </is>
      </c>
      <c r="C5" s="59" t="inlineStr">
        <is>
          <t>ITB-001_売上集計</t>
        </is>
      </c>
      <c r="D5" s="57" t="inlineStr">
        <is>
          <t>バッチ</t>
        </is>
      </c>
      <c r="E5" s="57" t="inlineStr">
        <is>
          <t>ITB-001_売上集計-001</t>
        </is>
      </c>
      <c r="F5" s="109" t="n">
        <v>46011</v>
      </c>
      <c r="G5" s="109" t="n">
        <v>46011</v>
      </c>
      <c r="H5" s="57">
        <f>IF(G5&lt;&gt;"","完了",IF(F5="","－",IF(F5&lt;=$L$2,"遅延","予定")))</f>
        <v/>
      </c>
      <c r="I5" s="109" t="n">
        <v>46016</v>
      </c>
      <c r="J5" s="109" t="n">
        <v>46017</v>
      </c>
      <c r="K5" s="57">
        <f>IF(J5&lt;&gt;"","完了",IF(I5="","－",IF(I5&lt;=$L$2,"遅延","予定")))</f>
        <v/>
      </c>
      <c r="L5" s="57">
        <f>IF(AND(H5="完了",K5="完了"),"完了",IF(OR(H5="遅延",K5="遅延"),"遅延","進行中"))</f>
        <v/>
      </c>
    </row>
    <row r="6">
      <c r="A6" s="57" t="n">
        <v>2</v>
      </c>
      <c r="B6" s="59" t="inlineStr">
        <is>
          <t>input/ITB-B-001_日次バッチ.xlsx</t>
        </is>
      </c>
      <c r="C6" s="59" t="inlineStr">
        <is>
          <t>ITB-001_売上集計</t>
        </is>
      </c>
      <c r="D6" s="57" t="inlineStr">
        <is>
          <t>バッチ</t>
        </is>
      </c>
      <c r="E6" s="57" t="inlineStr">
        <is>
          <t>ITB-001_売上集計-002</t>
        </is>
      </c>
      <c r="F6" s="109" t="n">
        <v>46035</v>
      </c>
      <c r="G6" s="109" t="n">
        <v>46037</v>
      </c>
      <c r="H6" s="57">
        <f>IF(G6&lt;&gt;"","完了",IF(F6="","－",IF(F6&lt;=$L$2,"遅延","予定")))</f>
        <v/>
      </c>
      <c r="I6" s="109" t="n">
        <v>46038</v>
      </c>
      <c r="J6" s="109" t="n">
        <v>46039</v>
      </c>
      <c r="K6" s="57">
        <f>IF(J6&lt;&gt;"","完了",IF(I6="","－",IF(I6&lt;=$L$2,"遅延","予定")))</f>
        <v/>
      </c>
      <c r="L6" s="57">
        <f>IF(AND(H6="完了",K6="完了"),"完了",IF(OR(H6="遅延",K6="遅延"),"遅延","進行中"))</f>
        <v/>
      </c>
    </row>
    <row r="7">
      <c r="A7" s="57" t="n">
        <v>3</v>
      </c>
      <c r="B7" s="59" t="inlineStr">
        <is>
          <t>input/ITB-B-001_日次バッチ.xlsx</t>
        </is>
      </c>
      <c r="C7" s="59" t="inlineStr">
        <is>
          <t>ITB-001_売上集計</t>
        </is>
      </c>
      <c r="D7" s="57" t="inlineStr">
        <is>
          <t>バッチ</t>
        </is>
      </c>
      <c r="E7" s="57" t="inlineStr">
        <is>
          <t>ITB-001_売上集計-003</t>
        </is>
      </c>
      <c r="F7" s="109" t="n">
        <v>46057</v>
      </c>
      <c r="G7" s="109" t="n">
        <v>46060</v>
      </c>
      <c r="H7" s="57">
        <f>IF(G7&lt;&gt;"","完了",IF(F7="","－",IF(F7&lt;=$L$2,"遅延","予定")))</f>
        <v/>
      </c>
      <c r="I7" s="109" t="n">
        <v>46058</v>
      </c>
      <c r="J7" s="109" t="n">
        <v>46060</v>
      </c>
      <c r="K7" s="57">
        <f>IF(J7&lt;&gt;"","完了",IF(I7="","－",IF(I7&lt;=$L$2,"遅延","予定")))</f>
        <v/>
      </c>
      <c r="L7" s="57">
        <f>IF(AND(H7="完了",K7="完了"),"完了",IF(OR(H7="遅延",K7="遅延"),"遅延","進行中"))</f>
        <v/>
      </c>
    </row>
    <row r="8">
      <c r="A8" s="57" t="n">
        <v>4</v>
      </c>
      <c r="B8" s="59" t="inlineStr">
        <is>
          <t>input/ITB-B-001_日次バッチ.xlsx</t>
        </is>
      </c>
      <c r="C8" s="59" t="inlineStr">
        <is>
          <t>ITB-001_売上集計</t>
        </is>
      </c>
      <c r="D8" s="57" t="inlineStr">
        <is>
          <t>バッチ</t>
        </is>
      </c>
      <c r="E8" s="57" t="inlineStr">
        <is>
          <t>ITB-001_売上集計-004</t>
        </is>
      </c>
      <c r="F8" s="109" t="n">
        <v>46077</v>
      </c>
      <c r="G8" s="109" t="n">
        <v>46076</v>
      </c>
      <c r="H8" s="57">
        <f>IF(G8&lt;&gt;"","完了",IF(F8="","－",IF(F8&lt;=$L$2,"遅延","予定")))</f>
        <v/>
      </c>
      <c r="I8" s="109" t="n">
        <v>46081</v>
      </c>
      <c r="J8" s="109" t="n">
        <v>46082</v>
      </c>
      <c r="K8" s="57">
        <f>IF(J8&lt;&gt;"","完了",IF(I8="","－",IF(I8&lt;=$L$2,"遅延","予定")))</f>
        <v/>
      </c>
      <c r="L8" s="57">
        <f>IF(AND(H8="完了",K8="完了"),"完了",IF(OR(H8="遅延",K8="遅延"),"遅延","進行中"))</f>
        <v/>
      </c>
    </row>
    <row r="9">
      <c r="A9" s="57" t="n">
        <v>5</v>
      </c>
      <c r="B9" s="59" t="inlineStr">
        <is>
          <t>input/ITB-B-001_日次バッチ.xlsx</t>
        </is>
      </c>
      <c r="C9" s="59" t="inlineStr">
        <is>
          <t>ITB-001_売上集計</t>
        </is>
      </c>
      <c r="D9" s="57" t="inlineStr">
        <is>
          <t>バッチ</t>
        </is>
      </c>
      <c r="E9" s="57" t="inlineStr">
        <is>
          <t>ITB-001_売上集計-005</t>
        </is>
      </c>
      <c r="F9" s="109" t="n">
        <v>46103</v>
      </c>
      <c r="G9" s="57" t="inlineStr"/>
      <c r="H9" s="57">
        <f>IF(G9&lt;&gt;"","完了",IF(F9="","－",IF(F9&lt;=$L$2,"遅延","予定")))</f>
        <v/>
      </c>
      <c r="I9" s="109" t="n">
        <v>46107</v>
      </c>
      <c r="J9" s="57" t="inlineStr"/>
      <c r="K9" s="57">
        <f>IF(J9&lt;&gt;"","完了",IF(I9="","－",IF(I9&lt;=$L$2,"遅延","予定")))</f>
        <v/>
      </c>
      <c r="L9" s="57">
        <f>IF(AND(H9="完了",K9="完了"),"完了",IF(OR(H9="遅延",K9="遅延"),"遅延","進行中"))</f>
        <v/>
      </c>
    </row>
    <row r="10">
      <c r="A10" s="57" t="n">
        <v>6</v>
      </c>
      <c r="B10" s="59" t="inlineStr">
        <is>
          <t>input/ITB-B-001_日次バッチ.xlsx</t>
        </is>
      </c>
      <c r="C10" s="59" t="inlineStr">
        <is>
          <t>ITB-001_売上集計</t>
        </is>
      </c>
      <c r="D10" s="57" t="inlineStr">
        <is>
          <t>バッチ</t>
        </is>
      </c>
      <c r="E10" s="57" t="inlineStr">
        <is>
          <t>ITB-001_売上集計-006</t>
        </is>
      </c>
      <c r="F10" s="109" t="n">
        <v>46123</v>
      </c>
      <c r="G10" s="57" t="inlineStr"/>
      <c r="H10" s="57">
        <f>IF(G10&lt;&gt;"","完了",IF(F10="","－",IF(F10&lt;=$L$2,"遅延","予定")))</f>
        <v/>
      </c>
      <c r="I10" s="109" t="n">
        <v>46127</v>
      </c>
      <c r="J10" s="57" t="inlineStr"/>
      <c r="K10" s="57">
        <f>IF(J10&lt;&gt;"","完了",IF(I10="","－",IF(I10&lt;=$L$2,"遅延","予定")))</f>
        <v/>
      </c>
      <c r="L10" s="57">
        <f>IF(AND(H10="完了",K10="完了"),"完了",IF(OR(H10="遅延",K10="遅延"),"遅延","進行中"))</f>
        <v/>
      </c>
    </row>
    <row r="11">
      <c r="A11" s="57" t="n">
        <v>7</v>
      </c>
      <c r="B11" s="59" t="inlineStr">
        <is>
          <t>input/ITB-B-001_日次バッチ.xlsx</t>
        </is>
      </c>
      <c r="C11" s="59" t="inlineStr">
        <is>
          <t>ITB-001_売上集計</t>
        </is>
      </c>
      <c r="D11" s="57" t="inlineStr">
        <is>
          <t>バッチ</t>
        </is>
      </c>
      <c r="E11" s="57" t="inlineStr">
        <is>
          <t>ITB-001_売上集計-007</t>
        </is>
      </c>
      <c r="F11" s="109" t="n">
        <v>46150</v>
      </c>
      <c r="G11" s="57" t="inlineStr"/>
      <c r="H11" s="57">
        <f>IF(G11&lt;&gt;"","完了",IF(F11="","－",IF(F11&lt;=$L$2,"遅延","予定")))</f>
        <v/>
      </c>
      <c r="I11" s="109" t="n">
        <v>46151</v>
      </c>
      <c r="J11" s="57" t="inlineStr"/>
      <c r="K11" s="57">
        <f>IF(J11&lt;&gt;"","完了",IF(I11="","－",IF(I11&lt;=$L$2,"遅延","予定")))</f>
        <v/>
      </c>
      <c r="L11" s="57">
        <f>IF(AND(H11="完了",K11="完了"),"完了",IF(OR(H11="遅延",K11="遅延"),"遅延","進行中"))</f>
        <v/>
      </c>
    </row>
    <row r="12">
      <c r="A12" s="57" t="n">
        <v>8</v>
      </c>
      <c r="B12" s="59" t="inlineStr">
        <is>
          <t>input/ITB-B-001_日次バッチ.xlsx</t>
        </is>
      </c>
      <c r="C12" s="59" t="inlineStr">
        <is>
          <t>ITB-001_売上集計</t>
        </is>
      </c>
      <c r="D12" s="57" t="inlineStr">
        <is>
          <t>バッチ</t>
        </is>
      </c>
      <c r="E12" s="57" t="inlineStr">
        <is>
          <t>ITB-001_売上集計-008</t>
        </is>
      </c>
      <c r="F12" s="109" t="n">
        <v>46175</v>
      </c>
      <c r="G12" s="57" t="inlineStr"/>
      <c r="H12" s="57">
        <f>IF(G12&lt;&gt;"","完了",IF(F12="","－",IF(F12&lt;=$L$2,"遅延","予定")))</f>
        <v/>
      </c>
      <c r="I12" s="109" t="n">
        <v>46177</v>
      </c>
      <c r="J12" s="57" t="inlineStr"/>
      <c r="K12" s="57">
        <f>IF(J12&lt;&gt;"","完了",IF(I12="","－",IF(I12&lt;=$L$2,"遅延","予定")))</f>
        <v/>
      </c>
      <c r="L12" s="57">
        <f>IF(AND(H12="完了",K12="完了"),"完了",IF(OR(H12="遅延",K12="遅延"),"遅延","進行中"))</f>
        <v/>
      </c>
    </row>
    <row r="13">
      <c r="A13" s="57" t="n">
        <v>9</v>
      </c>
      <c r="B13" s="59" t="inlineStr">
        <is>
          <t>input/ITB-B-001_日次バッチ.xlsx</t>
        </is>
      </c>
      <c r="C13" s="59" t="inlineStr">
        <is>
          <t>ITB-002_在庫更新</t>
        </is>
      </c>
      <c r="D13" s="57" t="inlineStr">
        <is>
          <t>バッチ</t>
        </is>
      </c>
      <c r="E13" s="57" t="inlineStr">
        <is>
          <t>ITB-002_在庫更新-001</t>
        </is>
      </c>
      <c r="F13" s="109" t="n">
        <v>46011</v>
      </c>
      <c r="G13" s="109" t="n">
        <v>46011</v>
      </c>
      <c r="H13" s="57">
        <f>IF(G13&lt;&gt;"","完了",IF(F13="","－",IF(F13&lt;=$L$2,"遅延","予定")))</f>
        <v/>
      </c>
      <c r="I13" s="109" t="n">
        <v>46013</v>
      </c>
      <c r="J13" s="109" t="n">
        <v>46013</v>
      </c>
      <c r="K13" s="57">
        <f>IF(J13&lt;&gt;"","完了",IF(I13="","－",IF(I13&lt;=$L$2,"遅延","予定")))</f>
        <v/>
      </c>
      <c r="L13" s="57">
        <f>IF(AND(H13="完了",K13="完了"),"完了",IF(OR(H13="遅延",K13="遅延"),"遅延","進行中"))</f>
        <v/>
      </c>
    </row>
    <row r="14">
      <c r="A14" s="57" t="n">
        <v>10</v>
      </c>
      <c r="B14" s="59" t="inlineStr">
        <is>
          <t>input/ITB-B-001_日次バッチ.xlsx</t>
        </is>
      </c>
      <c r="C14" s="59" t="inlineStr">
        <is>
          <t>ITB-002_在庫更新</t>
        </is>
      </c>
      <c r="D14" s="57" t="inlineStr">
        <is>
          <t>バッチ</t>
        </is>
      </c>
      <c r="E14" s="57" t="inlineStr">
        <is>
          <t>ITB-002_在庫更新-002</t>
        </is>
      </c>
      <c r="F14" s="109" t="n">
        <v>46036</v>
      </c>
      <c r="G14" s="109" t="n">
        <v>46038</v>
      </c>
      <c r="H14" s="57">
        <f>IF(G14&lt;&gt;"","完了",IF(F14="","－",IF(F14&lt;=$L$2,"遅延","予定")))</f>
        <v/>
      </c>
      <c r="I14" s="109" t="n">
        <v>46038</v>
      </c>
      <c r="J14" s="57" t="inlineStr"/>
      <c r="K14" s="57">
        <f>IF(J14&lt;&gt;"","完了",IF(I14="","－",IF(I14&lt;=$L$2,"遅延","予定")))</f>
        <v/>
      </c>
      <c r="L14" s="57">
        <f>IF(AND(H14="完了",K14="完了"),"完了",IF(OR(H14="遅延",K14="遅延"),"遅延","進行中"))</f>
        <v/>
      </c>
    </row>
    <row r="15">
      <c r="A15" s="57" t="n">
        <v>11</v>
      </c>
      <c r="B15" s="59" t="inlineStr">
        <is>
          <t>input/ITB-B-001_日次バッチ.xlsx</t>
        </is>
      </c>
      <c r="C15" s="59" t="inlineStr">
        <is>
          <t>ITB-002_在庫更新</t>
        </is>
      </c>
      <c r="D15" s="57" t="inlineStr">
        <is>
          <t>バッチ</t>
        </is>
      </c>
      <c r="E15" s="57" t="inlineStr">
        <is>
          <t>ITB-002_在庫更新-003</t>
        </is>
      </c>
      <c r="F15" s="109" t="n">
        <v>46063</v>
      </c>
      <c r="G15" s="57" t="inlineStr"/>
      <c r="H15" s="57">
        <f>IF(G15&lt;&gt;"","完了",IF(F15="","－",IF(F15&lt;=$L$2,"遅延","予定")))</f>
        <v/>
      </c>
      <c r="I15" s="109" t="n">
        <v>46066</v>
      </c>
      <c r="J15" s="57" t="inlineStr"/>
      <c r="K15" s="57">
        <f>IF(J15&lt;&gt;"","完了",IF(I15="","－",IF(I15&lt;=$L$2,"遅延","予定")))</f>
        <v/>
      </c>
      <c r="L15" s="57">
        <f>IF(AND(H15="完了",K15="完了"),"完了",IF(OR(H15="遅延",K15="遅延"),"遅延","進行中"))</f>
        <v/>
      </c>
    </row>
    <row r="16">
      <c r="A16" s="57" t="n">
        <v>12</v>
      </c>
      <c r="B16" s="59" t="inlineStr">
        <is>
          <t>input/ITB-B-001_日次バッチ.xlsx</t>
        </is>
      </c>
      <c r="C16" s="59" t="inlineStr">
        <is>
          <t>ITB-002_在庫更新</t>
        </is>
      </c>
      <c r="D16" s="57" t="inlineStr">
        <is>
          <t>バッチ</t>
        </is>
      </c>
      <c r="E16" s="57" t="inlineStr">
        <is>
          <t>ITB-002_在庫更新-004</t>
        </is>
      </c>
      <c r="F16" s="109" t="n">
        <v>46085</v>
      </c>
      <c r="G16" s="109" t="n">
        <v>46087</v>
      </c>
      <c r="H16" s="57">
        <f>IF(G16&lt;&gt;"","完了",IF(F16="","－",IF(F16&lt;=$L$2,"遅延","予定")))</f>
        <v/>
      </c>
      <c r="I16" s="109" t="n">
        <v>46087</v>
      </c>
      <c r="J16" s="57" t="inlineStr"/>
      <c r="K16" s="57">
        <f>IF(J16&lt;&gt;"","完了",IF(I16="","－",IF(I16&lt;=$L$2,"遅延","予定")))</f>
        <v/>
      </c>
      <c r="L16" s="57">
        <f>IF(AND(H16="完了",K16="完了"),"完了",IF(OR(H16="遅延",K16="遅延"),"遅延","進行中"))</f>
        <v/>
      </c>
    </row>
    <row r="17">
      <c r="A17" s="57" t="n">
        <v>13</v>
      </c>
      <c r="B17" s="59" t="inlineStr">
        <is>
          <t>input/ITB-B-001_日次バッチ.xlsx</t>
        </is>
      </c>
      <c r="C17" s="59" t="inlineStr">
        <is>
          <t>ITB-002_在庫更新</t>
        </is>
      </c>
      <c r="D17" s="57" t="inlineStr">
        <is>
          <t>バッチ</t>
        </is>
      </c>
      <c r="E17" s="57" t="inlineStr">
        <is>
          <t>ITB-002_在庫更新-005</t>
        </is>
      </c>
      <c r="F17" s="109" t="n">
        <v>46110</v>
      </c>
      <c r="G17" s="57" t="inlineStr"/>
      <c r="H17" s="57">
        <f>IF(G17&lt;&gt;"","完了",IF(F17="","－",IF(F17&lt;=$L$2,"遅延","予定")))</f>
        <v/>
      </c>
      <c r="I17" s="109" t="n">
        <v>46113</v>
      </c>
      <c r="J17" s="57" t="inlineStr"/>
      <c r="K17" s="57">
        <f>IF(J17&lt;&gt;"","完了",IF(I17="","－",IF(I17&lt;=$L$2,"遅延","予定")))</f>
        <v/>
      </c>
      <c r="L17" s="57">
        <f>IF(AND(H17="完了",K17="完了"),"完了",IF(OR(H17="遅延",K17="遅延"),"遅延","進行中"))</f>
        <v/>
      </c>
    </row>
    <row r="18">
      <c r="A18" s="57" t="n">
        <v>14</v>
      </c>
      <c r="B18" s="59" t="inlineStr">
        <is>
          <t>input/ITB-B-001_日次バッチ.xlsx</t>
        </is>
      </c>
      <c r="C18" s="59" t="inlineStr">
        <is>
          <t>ITB-002_在庫更新</t>
        </is>
      </c>
      <c r="D18" s="57" t="inlineStr">
        <is>
          <t>バッチ</t>
        </is>
      </c>
      <c r="E18" s="57" t="inlineStr">
        <is>
          <t>ITB-002_在庫更新-006</t>
        </is>
      </c>
      <c r="F18" s="109" t="n">
        <v>46131</v>
      </c>
      <c r="G18" s="57" t="inlineStr"/>
      <c r="H18" s="57">
        <f>IF(G18&lt;&gt;"","完了",IF(F18="","－",IF(F18&lt;=$L$2,"遅延","予定")))</f>
        <v/>
      </c>
      <c r="I18" s="109" t="n">
        <v>46134</v>
      </c>
      <c r="J18" s="57" t="inlineStr"/>
      <c r="K18" s="57">
        <f>IF(J18&lt;&gt;"","完了",IF(I18="","－",IF(I18&lt;=$L$2,"遅延","予定")))</f>
        <v/>
      </c>
      <c r="L18" s="57">
        <f>IF(AND(H18="完了",K18="完了"),"完了",IF(OR(H18="遅延",K18="遅延"),"遅延","進行中"))</f>
        <v/>
      </c>
    </row>
    <row r="19">
      <c r="A19" s="57" t="n">
        <v>15</v>
      </c>
      <c r="B19" s="59" t="inlineStr">
        <is>
          <t>input/ITB-B-001_日次バッチ.xlsx</t>
        </is>
      </c>
      <c r="C19" s="59" t="inlineStr">
        <is>
          <t>ITB-002_在庫更新</t>
        </is>
      </c>
      <c r="D19" s="57" t="inlineStr">
        <is>
          <t>バッチ</t>
        </is>
      </c>
      <c r="E19" s="57" t="inlineStr">
        <is>
          <t>ITB-002_在庫更新-007</t>
        </is>
      </c>
      <c r="F19" s="109" t="n">
        <v>46153</v>
      </c>
      <c r="G19" s="57" t="inlineStr"/>
      <c r="H19" s="57">
        <f>IF(G19&lt;&gt;"","完了",IF(F19="","－",IF(F19&lt;=$L$2,"遅延","予定")))</f>
        <v/>
      </c>
      <c r="I19" s="109" t="n">
        <v>46158</v>
      </c>
      <c r="J19" s="57" t="inlineStr"/>
      <c r="K19" s="57">
        <f>IF(J19&lt;&gt;"","完了",IF(I19="","－",IF(I19&lt;=$L$2,"遅延","予定")))</f>
        <v/>
      </c>
      <c r="L19" s="57">
        <f>IF(AND(H19="完了",K19="完了"),"完了",IF(OR(H19="遅延",K19="遅延"),"遅延","進行中"))</f>
        <v/>
      </c>
    </row>
    <row r="20">
      <c r="A20" s="57" t="n">
        <v>16</v>
      </c>
      <c r="B20" s="59" t="inlineStr">
        <is>
          <t>input/ITB-B-001_日次バッチ.xlsx</t>
        </is>
      </c>
      <c r="C20" s="59" t="inlineStr">
        <is>
          <t>ITB-002_在庫更新</t>
        </is>
      </c>
      <c r="D20" s="57" t="inlineStr">
        <is>
          <t>バッチ</t>
        </is>
      </c>
      <c r="E20" s="57" t="inlineStr">
        <is>
          <t>ITB-002_在庫更新-008</t>
        </is>
      </c>
      <c r="F20" s="109" t="n">
        <v>46169</v>
      </c>
      <c r="G20" s="57" t="inlineStr"/>
      <c r="H20" s="57">
        <f>IF(G20&lt;&gt;"","完了",IF(F20="","－",IF(F20&lt;=$L$2,"遅延","予定")))</f>
        <v/>
      </c>
      <c r="I20" s="109" t="n">
        <v>46174</v>
      </c>
      <c r="J20" s="57" t="inlineStr"/>
      <c r="K20" s="57">
        <f>IF(J20&lt;&gt;"","完了",IF(I20="","－",IF(I20&lt;=$L$2,"遅延","予定")))</f>
        <v/>
      </c>
      <c r="L20" s="57">
        <f>IF(AND(H20="完了",K20="完了"),"完了",IF(OR(H20="遅延",K20="遅延"),"遅延","進行中"))</f>
        <v/>
      </c>
    </row>
    <row r="21">
      <c r="A21" s="57" t="n">
        <v>17</v>
      </c>
      <c r="B21" s="59" t="inlineStr">
        <is>
          <t>input/ITB-B-001_日次バッチ.xlsx</t>
        </is>
      </c>
      <c r="C21" s="59" t="inlineStr">
        <is>
          <t>ITB-003_レポート生成</t>
        </is>
      </c>
      <c r="D21" s="57" t="inlineStr">
        <is>
          <t>バッチ</t>
        </is>
      </c>
      <c r="E21" s="57" t="inlineStr">
        <is>
          <t>ITB-003_レポート生成-001</t>
        </is>
      </c>
      <c r="F21" s="109" t="n">
        <v>46012</v>
      </c>
      <c r="G21" s="109" t="n">
        <v>46013</v>
      </c>
      <c r="H21" s="57">
        <f>IF(G21&lt;&gt;"","完了",IF(F21="","－",IF(F21&lt;=$L$2,"遅延","予定")))</f>
        <v/>
      </c>
      <c r="I21" s="109" t="n">
        <v>46013</v>
      </c>
      <c r="J21" s="109" t="n">
        <v>46015</v>
      </c>
      <c r="K21" s="57">
        <f>IF(J21&lt;&gt;"","完了",IF(I21="","－",IF(I21&lt;=$L$2,"遅延","予定")))</f>
        <v/>
      </c>
      <c r="L21" s="57">
        <f>IF(AND(H21="完了",K21="完了"),"完了",IF(OR(H21="遅延",K21="遅延"),"遅延","進行中"))</f>
        <v/>
      </c>
    </row>
    <row r="22">
      <c r="A22" s="57" t="n">
        <v>18</v>
      </c>
      <c r="B22" s="59" t="inlineStr">
        <is>
          <t>input/ITB-B-001_日次バッチ.xlsx</t>
        </is>
      </c>
      <c r="C22" s="59" t="inlineStr">
        <is>
          <t>ITB-003_レポート生成</t>
        </is>
      </c>
      <c r="D22" s="57" t="inlineStr">
        <is>
          <t>バッチ</t>
        </is>
      </c>
      <c r="E22" s="57" t="inlineStr">
        <is>
          <t>ITB-003_レポート生成-002</t>
        </is>
      </c>
      <c r="F22" s="109" t="n">
        <v>46039</v>
      </c>
      <c r="G22" s="109" t="n">
        <v>46040</v>
      </c>
      <c r="H22" s="57">
        <f>IF(G22&lt;&gt;"","完了",IF(F22="","－",IF(F22&lt;=$L$2,"遅延","予定")))</f>
        <v/>
      </c>
      <c r="I22" s="109" t="n">
        <v>46043</v>
      </c>
      <c r="J22" s="109" t="n">
        <v>46045</v>
      </c>
      <c r="K22" s="57">
        <f>IF(J22&lt;&gt;"","完了",IF(I22="","－",IF(I22&lt;=$L$2,"遅延","予定")))</f>
        <v/>
      </c>
      <c r="L22" s="57">
        <f>IF(AND(H22="完了",K22="完了"),"完了",IF(OR(H22="遅延",K22="遅延"),"遅延","進行中"))</f>
        <v/>
      </c>
    </row>
    <row r="23">
      <c r="A23" s="57" t="n">
        <v>19</v>
      </c>
      <c r="B23" s="59" t="inlineStr">
        <is>
          <t>input/ITB-B-001_日次バッチ.xlsx</t>
        </is>
      </c>
      <c r="C23" s="59" t="inlineStr">
        <is>
          <t>ITB-003_レポート生成</t>
        </is>
      </c>
      <c r="D23" s="57" t="inlineStr">
        <is>
          <t>バッチ</t>
        </is>
      </c>
      <c r="E23" s="57" t="inlineStr">
        <is>
          <t>ITB-003_レポート生成-003</t>
        </is>
      </c>
      <c r="F23" s="109" t="n">
        <v>46064</v>
      </c>
      <c r="G23" s="109" t="n">
        <v>46064</v>
      </c>
      <c r="H23" s="57">
        <f>IF(G23&lt;&gt;"","完了",IF(F23="","－",IF(F23&lt;=$L$2,"遅延","予定")))</f>
        <v/>
      </c>
      <c r="I23" s="109" t="n">
        <v>46069</v>
      </c>
      <c r="J23" s="109" t="n">
        <v>46071</v>
      </c>
      <c r="K23" s="57">
        <f>IF(J23&lt;&gt;"","完了",IF(I23="","－",IF(I23&lt;=$L$2,"遅延","予定")))</f>
        <v/>
      </c>
      <c r="L23" s="57">
        <f>IF(AND(H23="完了",K23="完了"),"完了",IF(OR(H23="遅延",K23="遅延"),"遅延","進行中"))</f>
        <v/>
      </c>
    </row>
    <row r="24">
      <c r="A24" s="57" t="n">
        <v>20</v>
      </c>
      <c r="B24" s="59" t="inlineStr">
        <is>
          <t>input/ITB-B-001_日次バッチ.xlsx</t>
        </is>
      </c>
      <c r="C24" s="59" t="inlineStr">
        <is>
          <t>ITB-003_レポート生成</t>
        </is>
      </c>
      <c r="D24" s="57" t="inlineStr">
        <is>
          <t>バッチ</t>
        </is>
      </c>
      <c r="E24" s="57" t="inlineStr">
        <is>
          <t>ITB-003_レポート生成-004</t>
        </is>
      </c>
      <c r="F24" s="109" t="n">
        <v>46081</v>
      </c>
      <c r="G24" s="109" t="n">
        <v>46079</v>
      </c>
      <c r="H24" s="57">
        <f>IF(G24&lt;&gt;"","完了",IF(F24="","－",IF(F24&lt;=$L$2,"遅延","予定")))</f>
        <v/>
      </c>
      <c r="I24" s="109" t="n">
        <v>46083</v>
      </c>
      <c r="J24" s="57" t="inlineStr"/>
      <c r="K24" s="57">
        <f>IF(J24&lt;&gt;"","完了",IF(I24="","－",IF(I24&lt;=$L$2,"遅延","予定")))</f>
        <v/>
      </c>
      <c r="L24" s="57">
        <f>IF(AND(H24="完了",K24="完了"),"完了",IF(OR(H24="遅延",K24="遅延"),"遅延","進行中"))</f>
        <v/>
      </c>
    </row>
    <row r="25">
      <c r="A25" s="57" t="n">
        <v>21</v>
      </c>
      <c r="B25" s="59" t="inlineStr">
        <is>
          <t>input/ITB-B-001_日次バッチ.xlsx</t>
        </is>
      </c>
      <c r="C25" s="59" t="inlineStr">
        <is>
          <t>ITB-003_レポート生成</t>
        </is>
      </c>
      <c r="D25" s="57" t="inlineStr">
        <is>
          <t>バッチ</t>
        </is>
      </c>
      <c r="E25" s="57" t="inlineStr">
        <is>
          <t>ITB-003_レポート生成-005</t>
        </is>
      </c>
      <c r="F25" s="109" t="n">
        <v>46104</v>
      </c>
      <c r="G25" s="57" t="inlineStr"/>
      <c r="H25" s="57">
        <f>IF(G25&lt;&gt;"","完了",IF(F25="","－",IF(F25&lt;=$L$2,"遅延","予定")))</f>
        <v/>
      </c>
      <c r="I25" s="109" t="n">
        <v>46107</v>
      </c>
      <c r="J25" s="57" t="inlineStr"/>
      <c r="K25" s="57">
        <f>IF(J25&lt;&gt;"","完了",IF(I25="","－",IF(I25&lt;=$L$2,"遅延","予定")))</f>
        <v/>
      </c>
      <c r="L25" s="57">
        <f>IF(AND(H25="完了",K25="完了"),"完了",IF(OR(H25="遅延",K25="遅延"),"遅延","進行中"))</f>
        <v/>
      </c>
    </row>
    <row r="26">
      <c r="A26" s="57" t="n">
        <v>22</v>
      </c>
      <c r="B26" s="59" t="inlineStr">
        <is>
          <t>input/ITB-B-001_日次バッチ.xlsx</t>
        </is>
      </c>
      <c r="C26" s="59" t="inlineStr">
        <is>
          <t>ITB-003_レポート生成</t>
        </is>
      </c>
      <c r="D26" s="57" t="inlineStr">
        <is>
          <t>バッチ</t>
        </is>
      </c>
      <c r="E26" s="57" t="inlineStr">
        <is>
          <t>ITB-003_レポート生成-006</t>
        </is>
      </c>
      <c r="F26" s="109" t="n">
        <v>46128</v>
      </c>
      <c r="G26" s="57" t="inlineStr"/>
      <c r="H26" s="57">
        <f>IF(G26&lt;&gt;"","完了",IF(F26="","－",IF(F26&lt;=$L$2,"遅延","予定")))</f>
        <v/>
      </c>
      <c r="I26" s="109" t="n">
        <v>46133</v>
      </c>
      <c r="J26" s="57" t="inlineStr"/>
      <c r="K26" s="57">
        <f>IF(J26&lt;&gt;"","完了",IF(I26="","－",IF(I26&lt;=$L$2,"遅延","予定")))</f>
        <v/>
      </c>
      <c r="L26" s="57">
        <f>IF(AND(H26="完了",K26="完了"),"完了",IF(OR(H26="遅延",K26="遅延"),"遅延","進行中"))</f>
        <v/>
      </c>
    </row>
    <row r="27">
      <c r="A27" s="57" t="n">
        <v>23</v>
      </c>
      <c r="B27" s="59" t="inlineStr">
        <is>
          <t>input/ITB-B-001_日次バッチ.xlsx</t>
        </is>
      </c>
      <c r="C27" s="59" t="inlineStr">
        <is>
          <t>ITB-003_レポート生成</t>
        </is>
      </c>
      <c r="D27" s="57" t="inlineStr">
        <is>
          <t>バッチ</t>
        </is>
      </c>
      <c r="E27" s="57" t="inlineStr">
        <is>
          <t>ITB-003_レポート生成-007</t>
        </is>
      </c>
      <c r="F27" s="109" t="n">
        <v>46150</v>
      </c>
      <c r="G27" s="57" t="inlineStr"/>
      <c r="H27" s="57">
        <f>IF(G27&lt;&gt;"","完了",IF(F27="","－",IF(F27&lt;=$L$2,"遅延","予定")))</f>
        <v/>
      </c>
      <c r="I27" s="109" t="n">
        <v>46154</v>
      </c>
      <c r="J27" s="57" t="inlineStr"/>
      <c r="K27" s="57">
        <f>IF(J27&lt;&gt;"","完了",IF(I27="","－",IF(I27&lt;=$L$2,"遅延","予定")))</f>
        <v/>
      </c>
      <c r="L27" s="57">
        <f>IF(AND(H27="完了",K27="完了"),"完了",IF(OR(H27="遅延",K27="遅延"),"遅延","進行中"))</f>
        <v/>
      </c>
    </row>
    <row r="28">
      <c r="A28" s="57" t="n">
        <v>24</v>
      </c>
      <c r="B28" s="59" t="inlineStr">
        <is>
          <t>input/ITB-B-001_日次バッチ.xlsx</t>
        </is>
      </c>
      <c r="C28" s="59" t="inlineStr">
        <is>
          <t>ITB-003_レポート生成</t>
        </is>
      </c>
      <c r="D28" s="57" t="inlineStr">
        <is>
          <t>バッチ</t>
        </is>
      </c>
      <c r="E28" s="57" t="inlineStr">
        <is>
          <t>ITB-003_レポート生成-008</t>
        </is>
      </c>
      <c r="F28" s="109" t="n">
        <v>46175</v>
      </c>
      <c r="G28" s="57" t="inlineStr"/>
      <c r="H28" s="57">
        <f>IF(G28&lt;&gt;"","完了",IF(F28="","－",IF(F28&lt;=$L$2,"遅延","予定")))</f>
        <v/>
      </c>
      <c r="I28" s="109" t="n">
        <v>46177</v>
      </c>
      <c r="J28" s="57" t="inlineStr"/>
      <c r="K28" s="57">
        <f>IF(J28&lt;&gt;"","完了",IF(I28="","－",IF(I28&lt;=$L$2,"遅延","予定")))</f>
        <v/>
      </c>
      <c r="L28" s="57">
        <f>IF(AND(H28="完了",K28="完了"),"完了",IF(OR(H28="遅延",K28="遅延"),"遅延","進行中"))</f>
        <v/>
      </c>
    </row>
    <row r="29">
      <c r="A29" s="57" t="n">
        <v>25</v>
      </c>
      <c r="B29" s="59" t="inlineStr">
        <is>
          <t>input/ITB-B-002_月次バッチ.xlsx</t>
        </is>
      </c>
      <c r="C29" s="59" t="inlineStr">
        <is>
          <t>ITB-001_月次締め</t>
        </is>
      </c>
      <c r="D29" s="57" t="inlineStr">
        <is>
          <t>バッチ</t>
        </is>
      </c>
      <c r="E29" s="57" t="inlineStr">
        <is>
          <t>ITB-001_月次締め-001</t>
        </is>
      </c>
      <c r="F29" s="109" t="n">
        <v>46003</v>
      </c>
      <c r="G29" s="109" t="n">
        <v>46002</v>
      </c>
      <c r="H29" s="57">
        <f>IF(G29&lt;&gt;"","完了",IF(F29="","－",IF(F29&lt;=$L$2,"遅延","予定")))</f>
        <v/>
      </c>
      <c r="I29" s="109" t="n">
        <v>46006</v>
      </c>
      <c r="J29" s="109" t="n">
        <v>46005</v>
      </c>
      <c r="K29" s="57">
        <f>IF(J29&lt;&gt;"","完了",IF(I29="","－",IF(I29&lt;=$L$2,"遅延","予定")))</f>
        <v/>
      </c>
      <c r="L29" s="57">
        <f>IF(AND(H29="完了",K29="完了"),"完了",IF(OR(H29="遅延",K29="遅延"),"遅延","進行中"))</f>
        <v/>
      </c>
    </row>
    <row r="30">
      <c r="A30" s="57" t="n">
        <v>26</v>
      </c>
      <c r="B30" s="59" t="inlineStr">
        <is>
          <t>input/ITB-B-002_月次バッチ.xlsx</t>
        </is>
      </c>
      <c r="C30" s="59" t="inlineStr">
        <is>
          <t>ITB-001_月次締め</t>
        </is>
      </c>
      <c r="D30" s="57" t="inlineStr">
        <is>
          <t>バッチ</t>
        </is>
      </c>
      <c r="E30" s="57" t="inlineStr">
        <is>
          <t>ITB-001_月次締め-002</t>
        </is>
      </c>
      <c r="F30" s="109" t="n">
        <v>46015</v>
      </c>
      <c r="G30" s="109" t="n">
        <v>46018</v>
      </c>
      <c r="H30" s="57">
        <f>IF(G30&lt;&gt;"","完了",IF(F30="","－",IF(F30&lt;=$L$2,"遅延","予定")))</f>
        <v/>
      </c>
      <c r="I30" s="109" t="n">
        <v>46016</v>
      </c>
      <c r="J30" s="57" t="inlineStr"/>
      <c r="K30" s="57">
        <f>IF(J30&lt;&gt;"","完了",IF(I30="","－",IF(I30&lt;=$L$2,"遅延","予定")))</f>
        <v/>
      </c>
      <c r="L30" s="57">
        <f>IF(AND(H30="完了",K30="完了"),"完了",IF(OR(H30="遅延",K30="遅延"),"遅延","進行中"))</f>
        <v/>
      </c>
    </row>
    <row r="31">
      <c r="A31" s="57" t="n">
        <v>27</v>
      </c>
      <c r="B31" s="59" t="inlineStr">
        <is>
          <t>input/ITB-B-002_月次バッチ.xlsx</t>
        </is>
      </c>
      <c r="C31" s="59" t="inlineStr">
        <is>
          <t>ITB-001_月次締め</t>
        </is>
      </c>
      <c r="D31" s="57" t="inlineStr">
        <is>
          <t>バッチ</t>
        </is>
      </c>
      <c r="E31" s="57" t="inlineStr">
        <is>
          <t>ITB-001_月次締め-003</t>
        </is>
      </c>
      <c r="F31" s="109" t="n">
        <v>46028</v>
      </c>
      <c r="G31" s="109" t="n">
        <v>46027</v>
      </c>
      <c r="H31" s="57">
        <f>IF(G31&lt;&gt;"","完了",IF(F31="","－",IF(F31&lt;=$L$2,"遅延","予定")))</f>
        <v/>
      </c>
      <c r="I31" s="109" t="n">
        <v>46030</v>
      </c>
      <c r="J31" s="57" t="inlineStr"/>
      <c r="K31" s="57">
        <f>IF(J31&lt;&gt;"","完了",IF(I31="","－",IF(I31&lt;=$L$2,"遅延","予定")))</f>
        <v/>
      </c>
      <c r="L31" s="57">
        <f>IF(AND(H31="完了",K31="完了"),"完了",IF(OR(H31="遅延",K31="遅延"),"遅延","進行中"))</f>
        <v/>
      </c>
    </row>
    <row r="32">
      <c r="A32" s="57" t="n">
        <v>28</v>
      </c>
      <c r="B32" s="59" t="inlineStr">
        <is>
          <t>input/ITB-B-002_月次バッチ.xlsx</t>
        </is>
      </c>
      <c r="C32" s="59" t="inlineStr">
        <is>
          <t>ITB-001_月次締め</t>
        </is>
      </c>
      <c r="D32" s="57" t="inlineStr">
        <is>
          <t>バッチ</t>
        </is>
      </c>
      <c r="E32" s="57" t="inlineStr">
        <is>
          <t>ITB-001_月次締め-004</t>
        </is>
      </c>
      <c r="F32" s="109" t="n">
        <v>46039</v>
      </c>
      <c r="G32" s="109" t="n">
        <v>46038</v>
      </c>
      <c r="H32" s="57">
        <f>IF(G32&lt;&gt;"","完了",IF(F32="","－",IF(F32&lt;=$L$2,"遅延","予定")))</f>
        <v/>
      </c>
      <c r="I32" s="109" t="n">
        <v>46043</v>
      </c>
      <c r="J32" s="57" t="inlineStr"/>
      <c r="K32" s="57">
        <f>IF(J32&lt;&gt;"","完了",IF(I32="","－",IF(I32&lt;=$L$2,"遅延","予定")))</f>
        <v/>
      </c>
      <c r="L32" s="57">
        <f>IF(AND(H32="完了",K32="完了"),"完了",IF(OR(H32="遅延",K32="遅延"),"遅延","進行中"))</f>
        <v/>
      </c>
    </row>
    <row r="33">
      <c r="A33" s="57" t="n">
        <v>29</v>
      </c>
      <c r="B33" s="59" t="inlineStr">
        <is>
          <t>input/ITB-B-002_月次バッチ.xlsx</t>
        </is>
      </c>
      <c r="C33" s="59" t="inlineStr">
        <is>
          <t>ITB-001_月次締め</t>
        </is>
      </c>
      <c r="D33" s="57" t="inlineStr">
        <is>
          <t>バッチ</t>
        </is>
      </c>
      <c r="E33" s="57" t="inlineStr">
        <is>
          <t>ITB-001_月次締め-005</t>
        </is>
      </c>
      <c r="F33" s="109" t="n">
        <v>46056</v>
      </c>
      <c r="G33" s="109" t="n">
        <v>46057</v>
      </c>
      <c r="H33" s="57">
        <f>IF(G33&lt;&gt;"","完了",IF(F33="","－",IF(F33&lt;=$L$2,"遅延","予定")))</f>
        <v/>
      </c>
      <c r="I33" s="109" t="n">
        <v>46059</v>
      </c>
      <c r="J33" s="109" t="n">
        <v>46060</v>
      </c>
      <c r="K33" s="57">
        <f>IF(J33&lt;&gt;"","完了",IF(I33="","－",IF(I33&lt;=$L$2,"遅延","予定")))</f>
        <v/>
      </c>
      <c r="L33" s="57">
        <f>IF(AND(H33="完了",K33="完了"),"完了",IF(OR(H33="遅延",K33="遅延"),"遅延","進行中"))</f>
        <v/>
      </c>
    </row>
    <row r="34">
      <c r="A34" s="57" t="n">
        <v>30</v>
      </c>
      <c r="B34" s="59" t="inlineStr">
        <is>
          <t>input/ITB-B-002_月次バッチ.xlsx</t>
        </is>
      </c>
      <c r="C34" s="59" t="inlineStr">
        <is>
          <t>ITB-001_月次締め</t>
        </is>
      </c>
      <c r="D34" s="57" t="inlineStr">
        <is>
          <t>バッチ</t>
        </is>
      </c>
      <c r="E34" s="57" t="inlineStr">
        <is>
          <t>ITB-001_月次締め-006</t>
        </is>
      </c>
      <c r="F34" s="109" t="n">
        <v>46064</v>
      </c>
      <c r="G34" s="109" t="n">
        <v>46066</v>
      </c>
      <c r="H34" s="57">
        <f>IF(G34&lt;&gt;"","完了",IF(F34="","－",IF(F34&lt;=$L$2,"遅延","予定")))</f>
        <v/>
      </c>
      <c r="I34" s="109" t="n">
        <v>46068</v>
      </c>
      <c r="J34" s="109" t="n">
        <v>46068</v>
      </c>
      <c r="K34" s="57">
        <f>IF(J34&lt;&gt;"","完了",IF(I34="","－",IF(I34&lt;=$L$2,"遅延","予定")))</f>
        <v/>
      </c>
      <c r="L34" s="57">
        <f>IF(AND(H34="完了",K34="完了"),"完了",IF(OR(H34="遅延",K34="遅延"),"遅延","進行中"))</f>
        <v/>
      </c>
    </row>
    <row r="35">
      <c r="A35" s="57" t="n">
        <v>31</v>
      </c>
      <c r="B35" s="59" t="inlineStr">
        <is>
          <t>input/ITB-B-002_月次バッチ.xlsx</t>
        </is>
      </c>
      <c r="C35" s="59" t="inlineStr">
        <is>
          <t>ITB-001_月次締め</t>
        </is>
      </c>
      <c r="D35" s="57" t="inlineStr">
        <is>
          <t>バッチ</t>
        </is>
      </c>
      <c r="E35" s="57" t="inlineStr">
        <is>
          <t>ITB-001_月次締め-007</t>
        </is>
      </c>
      <c r="F35" s="109" t="n">
        <v>46075</v>
      </c>
      <c r="G35" s="109" t="n">
        <v>46078</v>
      </c>
      <c r="H35" s="57">
        <f>IF(G35&lt;&gt;"","完了",IF(F35="","－",IF(F35&lt;=$L$2,"遅延","予定")))</f>
        <v/>
      </c>
      <c r="I35" s="109" t="n">
        <v>46080</v>
      </c>
      <c r="J35" s="109" t="n">
        <v>46081</v>
      </c>
      <c r="K35" s="57">
        <f>IF(J35&lt;&gt;"","完了",IF(I35="","－",IF(I35&lt;=$L$2,"遅延","予定")))</f>
        <v/>
      </c>
      <c r="L35" s="57">
        <f>IF(AND(H35="完了",K35="完了"),"完了",IF(OR(H35="遅延",K35="遅延"),"遅延","進行中"))</f>
        <v/>
      </c>
    </row>
    <row r="36">
      <c r="A36" s="57" t="n">
        <v>32</v>
      </c>
      <c r="B36" s="59" t="inlineStr">
        <is>
          <t>input/ITB-B-002_月次バッチ.xlsx</t>
        </is>
      </c>
      <c r="C36" s="59" t="inlineStr">
        <is>
          <t>ITB-001_月次締め</t>
        </is>
      </c>
      <c r="D36" s="57" t="inlineStr">
        <is>
          <t>バッチ</t>
        </is>
      </c>
      <c r="E36" s="57" t="inlineStr">
        <is>
          <t>ITB-001_月次締め-008</t>
        </is>
      </c>
      <c r="F36" s="109" t="n">
        <v>46091</v>
      </c>
      <c r="G36" s="57" t="inlineStr"/>
      <c r="H36" s="57">
        <f>IF(G36&lt;&gt;"","完了",IF(F36="","－",IF(F36&lt;=$L$2,"遅延","予定")))</f>
        <v/>
      </c>
      <c r="I36" s="109" t="n">
        <v>46095</v>
      </c>
      <c r="J36" s="57" t="inlineStr"/>
      <c r="K36" s="57">
        <f>IF(J36&lt;&gt;"","完了",IF(I36="","－",IF(I36&lt;=$L$2,"遅延","予定")))</f>
        <v/>
      </c>
      <c r="L36" s="57">
        <f>IF(AND(H36="完了",K36="完了"),"完了",IF(OR(H36="遅延",K36="遅延"),"遅延","進行中"))</f>
        <v/>
      </c>
    </row>
    <row r="37">
      <c r="A37" s="57" t="n">
        <v>33</v>
      </c>
      <c r="B37" s="59" t="inlineStr">
        <is>
          <t>input/ITB-B-002_月次バッチ.xlsx</t>
        </is>
      </c>
      <c r="C37" s="59" t="inlineStr">
        <is>
          <t>ITB-001_月次締め</t>
        </is>
      </c>
      <c r="D37" s="57" t="inlineStr">
        <is>
          <t>バッチ</t>
        </is>
      </c>
      <c r="E37" s="57" t="inlineStr">
        <is>
          <t>ITB-001_月次締め-009</t>
        </is>
      </c>
      <c r="F37" s="109" t="n">
        <v>46098</v>
      </c>
      <c r="G37" s="57" t="inlineStr"/>
      <c r="H37" s="57">
        <f>IF(G37&lt;&gt;"","完了",IF(F37="","－",IF(F37&lt;=$L$2,"遅延","予定")))</f>
        <v/>
      </c>
      <c r="I37" s="109" t="n">
        <v>46101</v>
      </c>
      <c r="J37" s="57" t="inlineStr"/>
      <c r="K37" s="57">
        <f>IF(J37&lt;&gt;"","完了",IF(I37="","－",IF(I37&lt;=$L$2,"遅延","予定")))</f>
        <v/>
      </c>
      <c r="L37" s="57">
        <f>IF(AND(H37="完了",K37="完了"),"完了",IF(OR(H37="遅延",K37="遅延"),"遅延","進行中"))</f>
        <v/>
      </c>
    </row>
    <row r="38">
      <c r="A38" s="57" t="n">
        <v>34</v>
      </c>
      <c r="B38" s="59" t="inlineStr">
        <is>
          <t>input/ITB-B-002_月次バッチ.xlsx</t>
        </is>
      </c>
      <c r="C38" s="59" t="inlineStr">
        <is>
          <t>ITB-001_月次締め</t>
        </is>
      </c>
      <c r="D38" s="57" t="inlineStr">
        <is>
          <t>バッチ</t>
        </is>
      </c>
      <c r="E38" s="57" t="inlineStr">
        <is>
          <t>ITB-001_月次締め-010</t>
        </is>
      </c>
      <c r="F38" s="109" t="n">
        <v>46113</v>
      </c>
      <c r="G38" s="57" t="inlineStr"/>
      <c r="H38" s="57">
        <f>IF(G38&lt;&gt;"","完了",IF(F38="","－",IF(F38&lt;=$L$2,"遅延","予定")))</f>
        <v/>
      </c>
      <c r="I38" s="109" t="n">
        <v>46115</v>
      </c>
      <c r="J38" s="57" t="inlineStr"/>
      <c r="K38" s="57">
        <f>IF(J38&lt;&gt;"","完了",IF(I38="","－",IF(I38&lt;=$L$2,"遅延","予定")))</f>
        <v/>
      </c>
      <c r="L38" s="57">
        <f>IF(AND(H38="完了",K38="完了"),"完了",IF(OR(H38="遅延",K38="遅延"),"遅延","進行中"))</f>
        <v/>
      </c>
    </row>
    <row r="39">
      <c r="A39" s="57" t="n">
        <v>35</v>
      </c>
      <c r="B39" s="59" t="inlineStr">
        <is>
          <t>input/ITB-B-002_月次バッチ.xlsx</t>
        </is>
      </c>
      <c r="C39" s="59" t="inlineStr">
        <is>
          <t>ITB-001_月次締め</t>
        </is>
      </c>
      <c r="D39" s="57" t="inlineStr">
        <is>
          <t>バッチ</t>
        </is>
      </c>
      <c r="E39" s="57" t="inlineStr">
        <is>
          <t>ITB-001_月次締め-011</t>
        </is>
      </c>
      <c r="F39" s="109" t="n">
        <v>46121</v>
      </c>
      <c r="G39" s="57" t="inlineStr"/>
      <c r="H39" s="57">
        <f>IF(G39&lt;&gt;"","完了",IF(F39="","－",IF(F39&lt;=$L$2,"遅延","予定")))</f>
        <v/>
      </c>
      <c r="I39" s="109" t="n">
        <v>46123</v>
      </c>
      <c r="J39" s="57" t="inlineStr"/>
      <c r="K39" s="57">
        <f>IF(J39&lt;&gt;"","完了",IF(I39="","－",IF(I39&lt;=$L$2,"遅延","予定")))</f>
        <v/>
      </c>
      <c r="L39" s="57">
        <f>IF(AND(H39="完了",K39="完了"),"完了",IF(OR(H39="遅延",K39="遅延"),"遅延","進行中"))</f>
        <v/>
      </c>
    </row>
    <row r="40">
      <c r="A40" s="57" t="n">
        <v>36</v>
      </c>
      <c r="B40" s="59" t="inlineStr">
        <is>
          <t>input/ITB-B-002_月次バッチ.xlsx</t>
        </is>
      </c>
      <c r="C40" s="59" t="inlineStr">
        <is>
          <t>ITB-001_月次締め</t>
        </is>
      </c>
      <c r="D40" s="57" t="inlineStr">
        <is>
          <t>バッチ</t>
        </is>
      </c>
      <c r="E40" s="57" t="inlineStr">
        <is>
          <t>ITB-001_月次締め-012</t>
        </is>
      </c>
      <c r="F40" s="109" t="n">
        <v>46133</v>
      </c>
      <c r="G40" s="57" t="inlineStr"/>
      <c r="H40" s="57">
        <f>IF(G40&lt;&gt;"","完了",IF(F40="","－",IF(F40&lt;=$L$2,"遅延","予定")))</f>
        <v/>
      </c>
      <c r="I40" s="109" t="n">
        <v>46136</v>
      </c>
      <c r="J40" s="57" t="inlineStr"/>
      <c r="K40" s="57">
        <f>IF(J40&lt;&gt;"","完了",IF(I40="","－",IF(I40&lt;=$L$2,"遅延","予定")))</f>
        <v/>
      </c>
      <c r="L40" s="57">
        <f>IF(AND(H40="完了",K40="完了"),"完了",IF(OR(H40="遅延",K40="遅延"),"遅延","進行中"))</f>
        <v/>
      </c>
    </row>
    <row r="41">
      <c r="A41" s="57" t="n">
        <v>37</v>
      </c>
      <c r="B41" s="59" t="inlineStr">
        <is>
          <t>input/ITB-B-002_月次バッチ.xlsx</t>
        </is>
      </c>
      <c r="C41" s="59" t="inlineStr">
        <is>
          <t>ITB-001_月次締め</t>
        </is>
      </c>
      <c r="D41" s="57" t="inlineStr">
        <is>
          <t>バッチ</t>
        </is>
      </c>
      <c r="E41" s="57" t="inlineStr">
        <is>
          <t>ITB-001_月次締め-013</t>
        </is>
      </c>
      <c r="F41" s="109" t="n">
        <v>46143</v>
      </c>
      <c r="G41" s="57" t="inlineStr"/>
      <c r="H41" s="57">
        <f>IF(G41&lt;&gt;"","完了",IF(F41="","－",IF(F41&lt;=$L$2,"遅延","予定")))</f>
        <v/>
      </c>
      <c r="I41" s="109" t="n">
        <v>46146</v>
      </c>
      <c r="J41" s="57" t="inlineStr"/>
      <c r="K41" s="57">
        <f>IF(J41&lt;&gt;"","完了",IF(I41="","－",IF(I41&lt;=$L$2,"遅延","予定")))</f>
        <v/>
      </c>
      <c r="L41" s="57">
        <f>IF(AND(H41="完了",K41="完了"),"完了",IF(OR(H41="遅延",K41="遅延"),"遅延","進行中"))</f>
        <v/>
      </c>
    </row>
    <row r="42">
      <c r="A42" s="57" t="n">
        <v>38</v>
      </c>
      <c r="B42" s="59" t="inlineStr">
        <is>
          <t>input/ITB-B-002_月次バッチ.xlsx</t>
        </is>
      </c>
      <c r="C42" s="59" t="inlineStr">
        <is>
          <t>ITB-001_月次締め</t>
        </is>
      </c>
      <c r="D42" s="57" t="inlineStr">
        <is>
          <t>バッチ</t>
        </is>
      </c>
      <c r="E42" s="57" t="inlineStr">
        <is>
          <t>ITB-001_月次締め-014</t>
        </is>
      </c>
      <c r="F42" s="109" t="n">
        <v>46161</v>
      </c>
      <c r="G42" s="57" t="inlineStr"/>
      <c r="H42" s="57">
        <f>IF(G42&lt;&gt;"","完了",IF(F42="","－",IF(F42&lt;=$L$2,"遅延","予定")))</f>
        <v/>
      </c>
      <c r="I42" s="109" t="n">
        <v>46166</v>
      </c>
      <c r="J42" s="57" t="inlineStr"/>
      <c r="K42" s="57">
        <f>IF(J42&lt;&gt;"","完了",IF(I42="","－",IF(I42&lt;=$L$2,"遅延","予定")))</f>
        <v/>
      </c>
      <c r="L42" s="57">
        <f>IF(AND(H42="完了",K42="完了"),"完了",IF(OR(H42="遅延",K42="遅延"),"遅延","進行中"))</f>
        <v/>
      </c>
    </row>
    <row r="43">
      <c r="A43" s="57" t="n">
        <v>39</v>
      </c>
      <c r="B43" s="59" t="inlineStr">
        <is>
          <t>input/ITB-B-002_月次バッチ.xlsx</t>
        </is>
      </c>
      <c r="C43" s="59" t="inlineStr">
        <is>
          <t>ITB-001_月次締め</t>
        </is>
      </c>
      <c r="D43" s="57" t="inlineStr">
        <is>
          <t>バッチ</t>
        </is>
      </c>
      <c r="E43" s="57" t="inlineStr">
        <is>
          <t>ITB-001_月次締め-015</t>
        </is>
      </c>
      <c r="F43" s="109" t="n">
        <v>46175</v>
      </c>
      <c r="G43" s="57" t="inlineStr"/>
      <c r="H43" s="57">
        <f>IF(G43&lt;&gt;"","完了",IF(F43="","－",IF(F43&lt;=$L$2,"遅延","予定")))</f>
        <v/>
      </c>
      <c r="I43" s="109" t="n">
        <v>46178</v>
      </c>
      <c r="J43" s="57" t="inlineStr"/>
      <c r="K43" s="57">
        <f>IF(J43&lt;&gt;"","完了",IF(I43="","－",IF(I43&lt;=$L$2,"遅延","予定")))</f>
        <v/>
      </c>
      <c r="L43" s="57">
        <f>IF(AND(H43="完了",K43="完了"),"完了",IF(OR(H43="遅延",K43="遅延"),"遅延","進行中"))</f>
        <v/>
      </c>
    </row>
    <row r="44">
      <c r="A44" s="57" t="n">
        <v>40</v>
      </c>
      <c r="B44" s="59" t="inlineStr">
        <is>
          <t>input/ITB-B-002_月次バッチ.xlsx</t>
        </is>
      </c>
      <c r="C44" s="59" t="inlineStr">
        <is>
          <t>ITB-002_請求書発行</t>
        </is>
      </c>
      <c r="D44" s="57" t="inlineStr">
        <is>
          <t>バッチ</t>
        </is>
      </c>
      <c r="E44" s="57" t="inlineStr">
        <is>
          <t>ITB-002_請求書発行-001</t>
        </is>
      </c>
      <c r="F44" s="109" t="n">
        <v>46004</v>
      </c>
      <c r="G44" s="109" t="n">
        <v>46004</v>
      </c>
      <c r="H44" s="57">
        <f>IF(G44&lt;&gt;"","完了",IF(F44="","－",IF(F44&lt;=$L$2,"遅延","予定")))</f>
        <v/>
      </c>
      <c r="I44" s="109" t="n">
        <v>46008</v>
      </c>
      <c r="J44" s="109" t="n">
        <v>46008</v>
      </c>
      <c r="K44" s="57">
        <f>IF(J44&lt;&gt;"","完了",IF(I44="","－",IF(I44&lt;=$L$2,"遅延","予定")))</f>
        <v/>
      </c>
      <c r="L44" s="57">
        <f>IF(AND(H44="完了",K44="完了"),"完了",IF(OR(H44="遅延",K44="遅延"),"遅延","進行中"))</f>
        <v/>
      </c>
    </row>
    <row r="45">
      <c r="A45" s="57" t="n">
        <v>41</v>
      </c>
      <c r="B45" s="59" t="inlineStr">
        <is>
          <t>input/ITB-B-002_月次バッチ.xlsx</t>
        </is>
      </c>
      <c r="C45" s="59" t="inlineStr">
        <is>
          <t>ITB-002_請求書発行</t>
        </is>
      </c>
      <c r="D45" s="57" t="inlineStr">
        <is>
          <t>バッチ</t>
        </is>
      </c>
      <c r="E45" s="57" t="inlineStr">
        <is>
          <t>ITB-002_請求書発行-002</t>
        </is>
      </c>
      <c r="F45" s="109" t="n">
        <v>46017</v>
      </c>
      <c r="G45" s="109" t="n">
        <v>46020</v>
      </c>
      <c r="H45" s="57">
        <f>IF(G45&lt;&gt;"","完了",IF(F45="","－",IF(F45&lt;=$L$2,"遅延","予定")))</f>
        <v/>
      </c>
      <c r="I45" s="109" t="n">
        <v>46020</v>
      </c>
      <c r="J45" s="57" t="inlineStr"/>
      <c r="K45" s="57">
        <f>IF(J45&lt;&gt;"","完了",IF(I45="","－",IF(I45&lt;=$L$2,"遅延","予定")))</f>
        <v/>
      </c>
      <c r="L45" s="57">
        <f>IF(AND(H45="完了",K45="完了"),"完了",IF(OR(H45="遅延",K45="遅延"),"遅延","進行中"))</f>
        <v/>
      </c>
    </row>
    <row r="46">
      <c r="A46" s="57" t="n">
        <v>42</v>
      </c>
      <c r="B46" s="59" t="inlineStr">
        <is>
          <t>input/ITB-B-002_月次バッチ.xlsx</t>
        </is>
      </c>
      <c r="C46" s="59" t="inlineStr">
        <is>
          <t>ITB-002_請求書発行</t>
        </is>
      </c>
      <c r="D46" s="57" t="inlineStr">
        <is>
          <t>バッチ</t>
        </is>
      </c>
      <c r="E46" s="57" t="inlineStr">
        <is>
          <t>ITB-002_請求書発行-003</t>
        </is>
      </c>
      <c r="F46" s="109" t="n">
        <v>46030</v>
      </c>
      <c r="G46" s="109" t="n">
        <v>46028</v>
      </c>
      <c r="H46" s="57">
        <f>IF(G46&lt;&gt;"","完了",IF(F46="","－",IF(F46&lt;=$L$2,"遅延","予定")))</f>
        <v/>
      </c>
      <c r="I46" s="109" t="n">
        <v>46033</v>
      </c>
      <c r="J46" s="109" t="n">
        <v>46035</v>
      </c>
      <c r="K46" s="57">
        <f>IF(J46&lt;&gt;"","完了",IF(I46="","－",IF(I46&lt;=$L$2,"遅延","予定")))</f>
        <v/>
      </c>
      <c r="L46" s="57">
        <f>IF(AND(H46="完了",K46="完了"),"完了",IF(OR(H46="遅延",K46="遅延"),"遅延","進行中"))</f>
        <v/>
      </c>
    </row>
    <row r="47">
      <c r="A47" s="57" t="n">
        <v>43</v>
      </c>
      <c r="B47" s="59" t="inlineStr">
        <is>
          <t>input/ITB-B-002_月次バッチ.xlsx</t>
        </is>
      </c>
      <c r="C47" s="59" t="inlineStr">
        <is>
          <t>ITB-002_請求書発行</t>
        </is>
      </c>
      <c r="D47" s="57" t="inlineStr">
        <is>
          <t>バッチ</t>
        </is>
      </c>
      <c r="E47" s="57" t="inlineStr">
        <is>
          <t>ITB-002_請求書発行-004</t>
        </is>
      </c>
      <c r="F47" s="109" t="n">
        <v>46043</v>
      </c>
      <c r="G47" s="109" t="n">
        <v>46041</v>
      </c>
      <c r="H47" s="57">
        <f>IF(G47&lt;&gt;"","完了",IF(F47="","－",IF(F47&lt;=$L$2,"遅延","予定")))</f>
        <v/>
      </c>
      <c r="I47" s="109" t="n">
        <v>46046</v>
      </c>
      <c r="J47" s="109" t="n">
        <v>46048</v>
      </c>
      <c r="K47" s="57">
        <f>IF(J47&lt;&gt;"","完了",IF(I47="","－",IF(I47&lt;=$L$2,"遅延","予定")))</f>
        <v/>
      </c>
      <c r="L47" s="57">
        <f>IF(AND(H47="完了",K47="完了"),"完了",IF(OR(H47="遅延",K47="遅延"),"遅延","進行中"))</f>
        <v/>
      </c>
    </row>
    <row r="48">
      <c r="A48" s="57" t="n">
        <v>44</v>
      </c>
      <c r="B48" s="59" t="inlineStr">
        <is>
          <t>input/ITB-B-002_月次バッチ.xlsx</t>
        </is>
      </c>
      <c r="C48" s="59" t="inlineStr">
        <is>
          <t>ITB-002_請求書発行</t>
        </is>
      </c>
      <c r="D48" s="57" t="inlineStr">
        <is>
          <t>バッチ</t>
        </is>
      </c>
      <c r="E48" s="57" t="inlineStr">
        <is>
          <t>ITB-002_請求書発行-005</t>
        </is>
      </c>
      <c r="F48" s="109" t="n">
        <v>46053</v>
      </c>
      <c r="G48" s="109" t="n">
        <v>46056</v>
      </c>
      <c r="H48" s="57">
        <f>IF(G48&lt;&gt;"","完了",IF(F48="","－",IF(F48&lt;=$L$2,"遅延","予定")))</f>
        <v/>
      </c>
      <c r="I48" s="109" t="n">
        <v>46057</v>
      </c>
      <c r="J48" s="109" t="n">
        <v>46059</v>
      </c>
      <c r="K48" s="57">
        <f>IF(J48&lt;&gt;"","完了",IF(I48="","－",IF(I48&lt;=$L$2,"遅延","予定")))</f>
        <v/>
      </c>
      <c r="L48" s="57">
        <f>IF(AND(H48="完了",K48="完了"),"完了",IF(OR(H48="遅延",K48="遅延"),"遅延","進行中"))</f>
        <v/>
      </c>
    </row>
    <row r="49">
      <c r="A49" s="57" t="n">
        <v>45</v>
      </c>
      <c r="B49" s="59" t="inlineStr">
        <is>
          <t>input/ITB-B-002_月次バッチ.xlsx</t>
        </is>
      </c>
      <c r="C49" s="59" t="inlineStr">
        <is>
          <t>ITB-002_請求書発行</t>
        </is>
      </c>
      <c r="D49" s="57" t="inlineStr">
        <is>
          <t>バッチ</t>
        </is>
      </c>
      <c r="E49" s="57" t="inlineStr">
        <is>
          <t>ITB-002_請求書発行-006</t>
        </is>
      </c>
      <c r="F49" s="109" t="n">
        <v>46060</v>
      </c>
      <c r="G49" s="109" t="n">
        <v>46061</v>
      </c>
      <c r="H49" s="57">
        <f>IF(G49&lt;&gt;"","完了",IF(F49="","－",IF(F49&lt;=$L$2,"遅延","予定")))</f>
        <v/>
      </c>
      <c r="I49" s="109" t="n">
        <v>46062</v>
      </c>
      <c r="J49" s="109" t="n">
        <v>46061</v>
      </c>
      <c r="K49" s="57">
        <f>IF(J49&lt;&gt;"","完了",IF(I49="","－",IF(I49&lt;=$L$2,"遅延","予定")))</f>
        <v/>
      </c>
      <c r="L49" s="57">
        <f>IF(AND(H49="完了",K49="完了"),"完了",IF(OR(H49="遅延",K49="遅延"),"遅延","進行中"))</f>
        <v/>
      </c>
    </row>
    <row r="50">
      <c r="A50" s="57" t="n">
        <v>46</v>
      </c>
      <c r="B50" s="59" t="inlineStr">
        <is>
          <t>input/ITB-B-002_月次バッチ.xlsx</t>
        </is>
      </c>
      <c r="C50" s="59" t="inlineStr">
        <is>
          <t>ITB-002_請求書発行</t>
        </is>
      </c>
      <c r="D50" s="57" t="inlineStr">
        <is>
          <t>バッチ</t>
        </is>
      </c>
      <c r="E50" s="57" t="inlineStr">
        <is>
          <t>ITB-002_請求書発行-007</t>
        </is>
      </c>
      <c r="F50" s="109" t="n">
        <v>46076</v>
      </c>
      <c r="G50" s="109" t="n">
        <v>46077</v>
      </c>
      <c r="H50" s="57">
        <f>IF(G50&lt;&gt;"","完了",IF(F50="","－",IF(F50&lt;=$L$2,"遅延","予定")))</f>
        <v/>
      </c>
      <c r="I50" s="109" t="n">
        <v>46081</v>
      </c>
      <c r="J50" s="109" t="n">
        <v>46083</v>
      </c>
      <c r="K50" s="57">
        <f>IF(J50&lt;&gt;"","完了",IF(I50="","－",IF(I50&lt;=$L$2,"遅延","予定")))</f>
        <v/>
      </c>
      <c r="L50" s="57">
        <f>IF(AND(H50="完了",K50="完了"),"完了",IF(OR(H50="遅延",K50="遅延"),"遅延","進行中"))</f>
        <v/>
      </c>
    </row>
    <row r="51">
      <c r="A51" s="57" t="n">
        <v>47</v>
      </c>
      <c r="B51" s="59" t="inlineStr">
        <is>
          <t>input/ITB-B-002_月次バッチ.xlsx</t>
        </is>
      </c>
      <c r="C51" s="59" t="inlineStr">
        <is>
          <t>ITB-002_請求書発行</t>
        </is>
      </c>
      <c r="D51" s="57" t="inlineStr">
        <is>
          <t>バッチ</t>
        </is>
      </c>
      <c r="E51" s="57" t="inlineStr">
        <is>
          <t>ITB-002_請求書発行-008</t>
        </is>
      </c>
      <c r="F51" s="109" t="n">
        <v>46091</v>
      </c>
      <c r="G51" s="57" t="inlineStr"/>
      <c r="H51" s="57">
        <f>IF(G51&lt;&gt;"","完了",IF(F51="","－",IF(F51&lt;=$L$2,"遅延","予定")))</f>
        <v/>
      </c>
      <c r="I51" s="109" t="n">
        <v>46094</v>
      </c>
      <c r="J51" s="57" t="inlineStr"/>
      <c r="K51" s="57">
        <f>IF(J51&lt;&gt;"","完了",IF(I51="","－",IF(I51&lt;=$L$2,"遅延","予定")))</f>
        <v/>
      </c>
      <c r="L51" s="57">
        <f>IF(AND(H51="完了",K51="完了"),"完了",IF(OR(H51="遅延",K51="遅延"),"遅延","進行中"))</f>
        <v/>
      </c>
    </row>
    <row r="52">
      <c r="A52" s="57" t="n">
        <v>48</v>
      </c>
      <c r="B52" s="59" t="inlineStr">
        <is>
          <t>input/ITB-B-002_月次バッチ.xlsx</t>
        </is>
      </c>
      <c r="C52" s="59" t="inlineStr">
        <is>
          <t>ITB-002_請求書発行</t>
        </is>
      </c>
      <c r="D52" s="57" t="inlineStr">
        <is>
          <t>バッチ</t>
        </is>
      </c>
      <c r="E52" s="57" t="inlineStr">
        <is>
          <t>ITB-002_請求書発行-009</t>
        </is>
      </c>
      <c r="F52" s="109" t="n">
        <v>46096</v>
      </c>
      <c r="G52" s="57" t="inlineStr"/>
      <c r="H52" s="57">
        <f>IF(G52&lt;&gt;"","完了",IF(F52="","－",IF(F52&lt;=$L$2,"遅延","予定")))</f>
        <v/>
      </c>
      <c r="I52" s="109" t="n">
        <v>46100</v>
      </c>
      <c r="J52" s="57" t="inlineStr"/>
      <c r="K52" s="57">
        <f>IF(J52&lt;&gt;"","完了",IF(I52="","－",IF(I52&lt;=$L$2,"遅延","予定")))</f>
        <v/>
      </c>
      <c r="L52" s="57">
        <f>IF(AND(H52="完了",K52="完了"),"完了",IF(OR(H52="遅延",K52="遅延"),"遅延","進行中"))</f>
        <v/>
      </c>
    </row>
    <row r="53">
      <c r="A53" s="57" t="n">
        <v>49</v>
      </c>
      <c r="B53" s="59" t="inlineStr">
        <is>
          <t>input/ITB-B-002_月次バッチ.xlsx</t>
        </is>
      </c>
      <c r="C53" s="59" t="inlineStr">
        <is>
          <t>ITB-002_請求書発行</t>
        </is>
      </c>
      <c r="D53" s="57" t="inlineStr">
        <is>
          <t>バッチ</t>
        </is>
      </c>
      <c r="E53" s="57" t="inlineStr">
        <is>
          <t>ITB-002_請求書発行-010</t>
        </is>
      </c>
      <c r="F53" s="109" t="n">
        <v>46115</v>
      </c>
      <c r="G53" s="57" t="inlineStr"/>
      <c r="H53" s="57">
        <f>IF(G53&lt;&gt;"","完了",IF(F53="","－",IF(F53&lt;=$L$2,"遅延","予定")))</f>
        <v/>
      </c>
      <c r="I53" s="109" t="n">
        <v>46117</v>
      </c>
      <c r="J53" s="57" t="inlineStr"/>
      <c r="K53" s="57">
        <f>IF(J53&lt;&gt;"","完了",IF(I53="","－",IF(I53&lt;=$L$2,"遅延","予定")))</f>
        <v/>
      </c>
      <c r="L53" s="57">
        <f>IF(AND(H53="完了",K53="完了"),"完了",IF(OR(H53="遅延",K53="遅延"),"遅延","進行中"))</f>
        <v/>
      </c>
    </row>
    <row r="54">
      <c r="A54" s="57" t="n">
        <v>50</v>
      </c>
      <c r="B54" s="59" t="inlineStr">
        <is>
          <t>input/ITB-B-002_月次バッチ.xlsx</t>
        </is>
      </c>
      <c r="C54" s="59" t="inlineStr">
        <is>
          <t>ITB-002_請求書発行</t>
        </is>
      </c>
      <c r="D54" s="57" t="inlineStr">
        <is>
          <t>バッチ</t>
        </is>
      </c>
      <c r="E54" s="57" t="inlineStr">
        <is>
          <t>ITB-002_請求書発行-011</t>
        </is>
      </c>
      <c r="F54" s="109" t="n">
        <v>46125</v>
      </c>
      <c r="G54" s="57" t="inlineStr"/>
      <c r="H54" s="57">
        <f>IF(G54&lt;&gt;"","完了",IF(F54="","－",IF(F54&lt;=$L$2,"遅延","予定")))</f>
        <v/>
      </c>
      <c r="I54" s="109" t="n">
        <v>46129</v>
      </c>
      <c r="J54" s="57" t="inlineStr"/>
      <c r="K54" s="57">
        <f>IF(J54&lt;&gt;"","完了",IF(I54="","－",IF(I54&lt;=$L$2,"遅延","予定")))</f>
        <v/>
      </c>
      <c r="L54" s="57">
        <f>IF(AND(H54="完了",K54="完了"),"完了",IF(OR(H54="遅延",K54="遅延"),"遅延","進行中"))</f>
        <v/>
      </c>
    </row>
    <row r="55">
      <c r="A55" s="57" t="n">
        <v>51</v>
      </c>
      <c r="B55" s="59" t="inlineStr">
        <is>
          <t>input/ITB-B-002_月次バッチ.xlsx</t>
        </is>
      </c>
      <c r="C55" s="59" t="inlineStr">
        <is>
          <t>ITB-002_請求書発行</t>
        </is>
      </c>
      <c r="D55" s="57" t="inlineStr">
        <is>
          <t>バッチ</t>
        </is>
      </c>
      <c r="E55" s="57" t="inlineStr">
        <is>
          <t>ITB-002_請求書発行-012</t>
        </is>
      </c>
      <c r="F55" s="109" t="n">
        <v>46132</v>
      </c>
      <c r="G55" s="57" t="inlineStr"/>
      <c r="H55" s="57">
        <f>IF(G55&lt;&gt;"","完了",IF(F55="","－",IF(F55&lt;=$L$2,"遅延","予定")))</f>
        <v/>
      </c>
      <c r="I55" s="109" t="n">
        <v>46134</v>
      </c>
      <c r="J55" s="57" t="inlineStr"/>
      <c r="K55" s="57">
        <f>IF(J55&lt;&gt;"","完了",IF(I55="","－",IF(I55&lt;=$L$2,"遅延","予定")))</f>
        <v/>
      </c>
      <c r="L55" s="57">
        <f>IF(AND(H55="完了",K55="完了"),"完了",IF(OR(H55="遅延",K55="遅延"),"遅延","進行中"))</f>
        <v/>
      </c>
    </row>
    <row r="56">
      <c r="A56" s="57" t="n">
        <v>52</v>
      </c>
      <c r="B56" s="59" t="inlineStr">
        <is>
          <t>input/ITB-B-002_月次バッチ.xlsx</t>
        </is>
      </c>
      <c r="C56" s="59" t="inlineStr">
        <is>
          <t>ITB-002_請求書発行</t>
        </is>
      </c>
      <c r="D56" s="57" t="inlineStr">
        <is>
          <t>バッチ</t>
        </is>
      </c>
      <c r="E56" s="57" t="inlineStr">
        <is>
          <t>ITB-002_請求書発行-013</t>
        </is>
      </c>
      <c r="F56" s="109" t="n">
        <v>46152</v>
      </c>
      <c r="G56" s="57" t="inlineStr"/>
      <c r="H56" s="57">
        <f>IF(G56&lt;&gt;"","完了",IF(F56="","－",IF(F56&lt;=$L$2,"遅延","予定")))</f>
        <v/>
      </c>
      <c r="I56" s="109" t="n">
        <v>46153</v>
      </c>
      <c r="J56" s="57" t="inlineStr"/>
      <c r="K56" s="57">
        <f>IF(J56&lt;&gt;"","完了",IF(I56="","－",IF(I56&lt;=$L$2,"遅延","予定")))</f>
        <v/>
      </c>
      <c r="L56" s="57">
        <f>IF(AND(H56="完了",K56="完了"),"完了",IF(OR(H56="遅延",K56="遅延"),"遅延","進行中"))</f>
        <v/>
      </c>
    </row>
    <row r="57">
      <c r="A57" s="57" t="n">
        <v>53</v>
      </c>
      <c r="B57" s="59" t="inlineStr">
        <is>
          <t>input/ITB-B-002_月次バッチ.xlsx</t>
        </is>
      </c>
      <c r="C57" s="59" t="inlineStr">
        <is>
          <t>ITB-002_請求書発行</t>
        </is>
      </c>
      <c r="D57" s="57" t="inlineStr">
        <is>
          <t>バッチ</t>
        </is>
      </c>
      <c r="E57" s="57" t="inlineStr">
        <is>
          <t>ITB-002_請求書発行-014</t>
        </is>
      </c>
      <c r="F57" s="109" t="n">
        <v>46157</v>
      </c>
      <c r="G57" s="57" t="inlineStr"/>
      <c r="H57" s="57">
        <f>IF(G57&lt;&gt;"","完了",IF(F57="","－",IF(F57&lt;=$L$2,"遅延","予定")))</f>
        <v/>
      </c>
      <c r="I57" s="109" t="n">
        <v>46160</v>
      </c>
      <c r="J57" s="57" t="inlineStr"/>
      <c r="K57" s="57">
        <f>IF(J57&lt;&gt;"","完了",IF(I57="","－",IF(I57&lt;=$L$2,"遅延","予定")))</f>
        <v/>
      </c>
      <c r="L57" s="57">
        <f>IF(AND(H57="完了",K57="完了"),"完了",IF(OR(H57="遅延",K57="遅延"),"遅延","進行中"))</f>
        <v/>
      </c>
    </row>
    <row r="58">
      <c r="A58" s="57" t="n">
        <v>54</v>
      </c>
      <c r="B58" s="59" t="inlineStr">
        <is>
          <t>input/ITB-B-002_月次バッチ.xlsx</t>
        </is>
      </c>
      <c r="C58" s="59" t="inlineStr">
        <is>
          <t>ITB-002_請求書発行</t>
        </is>
      </c>
      <c r="D58" s="57" t="inlineStr">
        <is>
          <t>バッチ</t>
        </is>
      </c>
      <c r="E58" s="57" t="inlineStr">
        <is>
          <t>ITB-002_請求書発行-015</t>
        </is>
      </c>
      <c r="F58" s="109" t="n">
        <v>46174</v>
      </c>
      <c r="G58" s="57" t="inlineStr"/>
      <c r="H58" s="57">
        <f>IF(G58&lt;&gt;"","完了",IF(F58="","－",IF(F58&lt;=$L$2,"遅延","予定")))</f>
        <v/>
      </c>
      <c r="I58" s="109" t="n">
        <v>46175</v>
      </c>
      <c r="J58" s="57" t="inlineStr"/>
      <c r="K58" s="57">
        <f>IF(J58&lt;&gt;"","完了",IF(I58="","－",IF(I58&lt;=$L$2,"遅延","予定")))</f>
        <v/>
      </c>
      <c r="L58" s="57">
        <f>IF(AND(H58="完了",K58="完了"),"完了",IF(OR(H58="遅延",K58="遅延"),"遅延","進行中"))</f>
        <v/>
      </c>
    </row>
    <row r="59">
      <c r="A59" s="57" t="n">
        <v>55</v>
      </c>
      <c r="B59" s="59" t="inlineStr">
        <is>
          <t>input/ITB-B-003_データ連携.xlsx</t>
        </is>
      </c>
      <c r="C59" s="59" t="inlineStr">
        <is>
          <t>ITB-001_外部システム連携</t>
        </is>
      </c>
      <c r="D59" s="57" t="inlineStr">
        <is>
          <t>バッチ</t>
        </is>
      </c>
      <c r="E59" s="57" t="inlineStr">
        <is>
          <t>ITB-001_外部システム連携-001</t>
        </is>
      </c>
      <c r="F59" s="109" t="n">
        <v>46010</v>
      </c>
      <c r="G59" s="109" t="n">
        <v>46010</v>
      </c>
      <c r="H59" s="57">
        <f>IF(G59&lt;&gt;"","完了",IF(F59="","－",IF(F59&lt;=$L$2,"遅延","予定")))</f>
        <v/>
      </c>
      <c r="I59" s="109" t="n">
        <v>46014</v>
      </c>
      <c r="J59" s="109" t="n">
        <v>46013</v>
      </c>
      <c r="K59" s="57">
        <f>IF(J59&lt;&gt;"","完了",IF(I59="","－",IF(I59&lt;=$L$2,"遅延","予定")))</f>
        <v/>
      </c>
      <c r="L59" s="57">
        <f>IF(AND(H59="完了",K59="完了"),"完了",IF(OR(H59="遅延",K59="遅延"),"遅延","進行中"))</f>
        <v/>
      </c>
    </row>
    <row r="60">
      <c r="A60" s="57" t="n">
        <v>56</v>
      </c>
      <c r="B60" s="59" t="inlineStr">
        <is>
          <t>input/ITB-B-003_データ連携.xlsx</t>
        </is>
      </c>
      <c r="C60" s="59" t="inlineStr">
        <is>
          <t>ITB-001_外部システム連携</t>
        </is>
      </c>
      <c r="D60" s="57" t="inlineStr">
        <is>
          <t>バッチ</t>
        </is>
      </c>
      <c r="E60" s="57" t="inlineStr">
        <is>
          <t>ITB-001_外部システム連携-002</t>
        </is>
      </c>
      <c r="F60" s="109" t="n">
        <v>46030</v>
      </c>
      <c r="G60" s="109" t="n">
        <v>46033</v>
      </c>
      <c r="H60" s="57">
        <f>IF(G60&lt;&gt;"","完了",IF(F60="","－",IF(F60&lt;=$L$2,"遅延","予定")))</f>
        <v/>
      </c>
      <c r="I60" s="109" t="n">
        <v>46033</v>
      </c>
      <c r="J60" s="109" t="n">
        <v>46035</v>
      </c>
      <c r="K60" s="57">
        <f>IF(J60&lt;&gt;"","完了",IF(I60="","－",IF(I60&lt;=$L$2,"遅延","予定")))</f>
        <v/>
      </c>
      <c r="L60" s="57">
        <f>IF(AND(H60="完了",K60="完了"),"完了",IF(OR(H60="遅延",K60="遅延"),"遅延","進行中"))</f>
        <v/>
      </c>
    </row>
    <row r="61">
      <c r="A61" s="57" t="n">
        <v>57</v>
      </c>
      <c r="B61" s="59" t="inlineStr">
        <is>
          <t>input/ITB-B-003_データ連携.xlsx</t>
        </is>
      </c>
      <c r="C61" s="59" t="inlineStr">
        <is>
          <t>ITB-001_外部システム連携</t>
        </is>
      </c>
      <c r="D61" s="57" t="inlineStr">
        <is>
          <t>バッチ</t>
        </is>
      </c>
      <c r="E61" s="57" t="inlineStr">
        <is>
          <t>ITB-001_外部システム連携-003</t>
        </is>
      </c>
      <c r="F61" s="109" t="n">
        <v>46042</v>
      </c>
      <c r="G61" s="109" t="n">
        <v>46042</v>
      </c>
      <c r="H61" s="57">
        <f>IF(G61&lt;&gt;"","完了",IF(F61="","－",IF(F61&lt;=$L$2,"遅延","予定")))</f>
        <v/>
      </c>
      <c r="I61" s="109" t="n">
        <v>46046</v>
      </c>
      <c r="J61" s="57" t="inlineStr"/>
      <c r="K61" s="57">
        <f>IF(J61&lt;&gt;"","完了",IF(I61="","－",IF(I61&lt;=$L$2,"遅延","予定")))</f>
        <v/>
      </c>
      <c r="L61" s="57">
        <f>IF(AND(H61="完了",K61="完了"),"完了",IF(OR(H61="遅延",K61="遅延"),"遅延","進行中"))</f>
        <v/>
      </c>
    </row>
    <row r="62">
      <c r="A62" s="57" t="n">
        <v>58</v>
      </c>
      <c r="B62" s="59" t="inlineStr">
        <is>
          <t>input/ITB-B-003_データ連携.xlsx</t>
        </is>
      </c>
      <c r="C62" s="59" t="inlineStr">
        <is>
          <t>ITB-001_外部システム連携</t>
        </is>
      </c>
      <c r="D62" s="57" t="inlineStr">
        <is>
          <t>バッチ</t>
        </is>
      </c>
      <c r="E62" s="57" t="inlineStr">
        <is>
          <t>ITB-001_外部システム連携-004</t>
        </is>
      </c>
      <c r="F62" s="109" t="n">
        <v>46065</v>
      </c>
      <c r="G62" s="109" t="n">
        <v>46063</v>
      </c>
      <c r="H62" s="57">
        <f>IF(G62&lt;&gt;"","完了",IF(F62="","－",IF(F62&lt;=$L$2,"遅延","予定")))</f>
        <v/>
      </c>
      <c r="I62" s="109" t="n">
        <v>46066</v>
      </c>
      <c r="J62" s="109" t="n">
        <v>46065</v>
      </c>
      <c r="K62" s="57">
        <f>IF(J62&lt;&gt;"","完了",IF(I62="","－",IF(I62&lt;=$L$2,"遅延","予定")))</f>
        <v/>
      </c>
      <c r="L62" s="57">
        <f>IF(AND(H62="完了",K62="完了"),"完了",IF(OR(H62="遅延",K62="遅延"),"遅延","進行中"))</f>
        <v/>
      </c>
    </row>
    <row r="63">
      <c r="A63" s="57" t="n">
        <v>59</v>
      </c>
      <c r="B63" s="59" t="inlineStr">
        <is>
          <t>input/ITB-B-003_データ連携.xlsx</t>
        </is>
      </c>
      <c r="C63" s="59" t="inlineStr">
        <is>
          <t>ITB-001_外部システム連携</t>
        </is>
      </c>
      <c r="D63" s="57" t="inlineStr">
        <is>
          <t>バッチ</t>
        </is>
      </c>
      <c r="E63" s="57" t="inlineStr">
        <is>
          <t>ITB-001_外部システム連携-005</t>
        </is>
      </c>
      <c r="F63" s="109" t="n">
        <v>46083</v>
      </c>
      <c r="G63" s="109" t="n">
        <v>46083</v>
      </c>
      <c r="H63" s="57">
        <f>IF(G63&lt;&gt;"","完了",IF(F63="","－",IF(F63&lt;=$L$2,"遅延","予定")))</f>
        <v/>
      </c>
      <c r="I63" s="109" t="n">
        <v>46088</v>
      </c>
      <c r="J63" s="57" t="inlineStr"/>
      <c r="K63" s="57">
        <f>IF(J63&lt;&gt;"","完了",IF(I63="","－",IF(I63&lt;=$L$2,"遅延","予定")))</f>
        <v/>
      </c>
      <c r="L63" s="57">
        <f>IF(AND(H63="完了",K63="完了"),"完了",IF(OR(H63="遅延",K63="遅延"),"遅延","進行中"))</f>
        <v/>
      </c>
    </row>
    <row r="64">
      <c r="A64" s="57" t="n">
        <v>60</v>
      </c>
      <c r="B64" s="59" t="inlineStr">
        <is>
          <t>input/ITB-B-003_データ連携.xlsx</t>
        </is>
      </c>
      <c r="C64" s="59" t="inlineStr">
        <is>
          <t>ITB-001_外部システム連携</t>
        </is>
      </c>
      <c r="D64" s="57" t="inlineStr">
        <is>
          <t>バッチ</t>
        </is>
      </c>
      <c r="E64" s="57" t="inlineStr">
        <is>
          <t>ITB-001_外部システム連携-006</t>
        </is>
      </c>
      <c r="F64" s="109" t="n">
        <v>46102</v>
      </c>
      <c r="G64" s="57" t="inlineStr"/>
      <c r="H64" s="57">
        <f>IF(G64&lt;&gt;"","完了",IF(F64="","－",IF(F64&lt;=$L$2,"遅延","予定")))</f>
        <v/>
      </c>
      <c r="I64" s="109" t="n">
        <v>46105</v>
      </c>
      <c r="J64" s="57" t="inlineStr"/>
      <c r="K64" s="57">
        <f>IF(J64&lt;&gt;"","完了",IF(I64="","－",IF(I64&lt;=$L$2,"遅延","予定")))</f>
        <v/>
      </c>
      <c r="L64" s="57">
        <f>IF(AND(H64="完了",K64="完了"),"完了",IF(OR(H64="遅延",K64="遅延"),"遅延","進行中"))</f>
        <v/>
      </c>
    </row>
    <row r="65">
      <c r="A65" s="57" t="n">
        <v>61</v>
      </c>
      <c r="B65" s="59" t="inlineStr">
        <is>
          <t>input/ITB-B-003_データ連携.xlsx</t>
        </is>
      </c>
      <c r="C65" s="59" t="inlineStr">
        <is>
          <t>ITB-001_外部システム連携</t>
        </is>
      </c>
      <c r="D65" s="57" t="inlineStr">
        <is>
          <t>バッチ</t>
        </is>
      </c>
      <c r="E65" s="57" t="inlineStr">
        <is>
          <t>ITB-001_外部システム連携-007</t>
        </is>
      </c>
      <c r="F65" s="109" t="n">
        <v>46123</v>
      </c>
      <c r="G65" s="57" t="inlineStr"/>
      <c r="H65" s="57">
        <f>IF(G65&lt;&gt;"","完了",IF(F65="","－",IF(F65&lt;=$L$2,"遅延","予定")))</f>
        <v/>
      </c>
      <c r="I65" s="109" t="n">
        <v>46124</v>
      </c>
      <c r="J65" s="57" t="inlineStr"/>
      <c r="K65" s="57">
        <f>IF(J65&lt;&gt;"","完了",IF(I65="","－",IF(I65&lt;=$L$2,"遅延","予定")))</f>
        <v/>
      </c>
      <c r="L65" s="57">
        <f>IF(AND(H65="完了",K65="完了"),"完了",IF(OR(H65="遅延",K65="遅延"),"遅延","進行中"))</f>
        <v/>
      </c>
    </row>
    <row r="66">
      <c r="A66" s="57" t="n">
        <v>62</v>
      </c>
      <c r="B66" s="59" t="inlineStr">
        <is>
          <t>input/ITB-B-003_データ連携.xlsx</t>
        </is>
      </c>
      <c r="C66" s="59" t="inlineStr">
        <is>
          <t>ITB-001_外部システム連携</t>
        </is>
      </c>
      <c r="D66" s="57" t="inlineStr">
        <is>
          <t>バッチ</t>
        </is>
      </c>
      <c r="E66" s="57" t="inlineStr">
        <is>
          <t>ITB-001_外部システム連携-008</t>
        </is>
      </c>
      <c r="F66" s="109" t="n">
        <v>46135</v>
      </c>
      <c r="G66" s="57" t="inlineStr"/>
      <c r="H66" s="57">
        <f>IF(G66&lt;&gt;"","完了",IF(F66="","－",IF(F66&lt;=$L$2,"遅延","予定")))</f>
        <v/>
      </c>
      <c r="I66" s="109" t="n">
        <v>46137</v>
      </c>
      <c r="J66" s="57" t="inlineStr"/>
      <c r="K66" s="57">
        <f>IF(J66&lt;&gt;"","完了",IF(I66="","－",IF(I66&lt;=$L$2,"遅延","予定")))</f>
        <v/>
      </c>
      <c r="L66" s="57">
        <f>IF(AND(H66="完了",K66="完了"),"完了",IF(OR(H66="遅延",K66="遅延"),"遅延","進行中"))</f>
        <v/>
      </c>
    </row>
    <row r="67">
      <c r="A67" s="57" t="n">
        <v>63</v>
      </c>
      <c r="B67" s="59" t="inlineStr">
        <is>
          <t>input/ITB-B-003_データ連携.xlsx</t>
        </is>
      </c>
      <c r="C67" s="59" t="inlineStr">
        <is>
          <t>ITB-001_外部システム連携</t>
        </is>
      </c>
      <c r="D67" s="57" t="inlineStr">
        <is>
          <t>バッチ</t>
        </is>
      </c>
      <c r="E67" s="57" t="inlineStr">
        <is>
          <t>ITB-001_外部システム連携-009</t>
        </is>
      </c>
      <c r="F67" s="109" t="n">
        <v>46150</v>
      </c>
      <c r="G67" s="57" t="inlineStr"/>
      <c r="H67" s="57">
        <f>IF(G67&lt;&gt;"","完了",IF(F67="","－",IF(F67&lt;=$L$2,"遅延","予定")))</f>
        <v/>
      </c>
      <c r="I67" s="109" t="n">
        <v>46155</v>
      </c>
      <c r="J67" s="57" t="inlineStr"/>
      <c r="K67" s="57">
        <f>IF(J67&lt;&gt;"","完了",IF(I67="","－",IF(I67&lt;=$L$2,"遅延","予定")))</f>
        <v/>
      </c>
      <c r="L67" s="57">
        <f>IF(AND(H67="完了",K67="完了"),"完了",IF(OR(H67="遅延",K67="遅延"),"遅延","進行中"))</f>
        <v/>
      </c>
    </row>
    <row r="68">
      <c r="A68" s="57" t="n">
        <v>64</v>
      </c>
      <c r="B68" s="59" t="inlineStr">
        <is>
          <t>input/ITB-B-003_データ連携.xlsx</t>
        </is>
      </c>
      <c r="C68" s="59" t="inlineStr">
        <is>
          <t>ITB-001_外部システム連携</t>
        </is>
      </c>
      <c r="D68" s="57" t="inlineStr">
        <is>
          <t>バッチ</t>
        </is>
      </c>
      <c r="E68" s="57" t="inlineStr">
        <is>
          <t>ITB-001_外部システム連携-010</t>
        </is>
      </c>
      <c r="F68" s="109" t="n">
        <v>46170</v>
      </c>
      <c r="G68" s="57" t="inlineStr"/>
      <c r="H68" s="57">
        <f>IF(G68&lt;&gt;"","完了",IF(F68="","－",IF(F68&lt;=$L$2,"遅延","予定")))</f>
        <v/>
      </c>
      <c r="I68" s="109" t="n">
        <v>46171</v>
      </c>
      <c r="J68" s="57" t="inlineStr"/>
      <c r="K68" s="57">
        <f>IF(J68&lt;&gt;"","完了",IF(I68="","－",IF(I68&lt;=$L$2,"遅延","予定")))</f>
        <v/>
      </c>
      <c r="L68" s="57">
        <f>IF(AND(H68="完了",K68="完了"),"完了",IF(OR(H68="遅延",K68="遅延"),"遅延","進行中"))</f>
        <v/>
      </c>
    </row>
    <row r="69">
      <c r="A69" s="57" t="n">
        <v>65</v>
      </c>
      <c r="B69" s="59" t="inlineStr">
        <is>
          <t>input/ITB-B-003_データ連携.xlsx</t>
        </is>
      </c>
      <c r="C69" s="59" t="inlineStr">
        <is>
          <t>ITB-002_データ同期</t>
        </is>
      </c>
      <c r="D69" s="57" t="inlineStr">
        <is>
          <t>バッチ</t>
        </is>
      </c>
      <c r="E69" s="57" t="inlineStr">
        <is>
          <t>ITB-002_データ同期-001</t>
        </is>
      </c>
      <c r="F69" s="109" t="n">
        <v>46012</v>
      </c>
      <c r="G69" s="109" t="n">
        <v>46015</v>
      </c>
      <c r="H69" s="57">
        <f>IF(G69&lt;&gt;"","完了",IF(F69="","－",IF(F69&lt;=$L$2,"遅延","予定")))</f>
        <v/>
      </c>
      <c r="I69" s="109" t="n">
        <v>46013</v>
      </c>
      <c r="J69" s="109" t="n">
        <v>46014</v>
      </c>
      <c r="K69" s="57">
        <f>IF(J69&lt;&gt;"","完了",IF(I69="","－",IF(I69&lt;=$L$2,"遅延","予定")))</f>
        <v/>
      </c>
      <c r="L69" s="57">
        <f>IF(AND(H69="完了",K69="完了"),"完了",IF(OR(H69="遅延",K69="遅延"),"遅延","進行中"))</f>
        <v/>
      </c>
    </row>
    <row r="70">
      <c r="A70" s="57" t="n">
        <v>66</v>
      </c>
      <c r="B70" s="59" t="inlineStr">
        <is>
          <t>input/ITB-B-003_データ連携.xlsx</t>
        </is>
      </c>
      <c r="C70" s="59" t="inlineStr">
        <is>
          <t>ITB-002_データ同期</t>
        </is>
      </c>
      <c r="D70" s="57" t="inlineStr">
        <is>
          <t>バッチ</t>
        </is>
      </c>
      <c r="E70" s="57" t="inlineStr">
        <is>
          <t>ITB-002_データ同期-002</t>
        </is>
      </c>
      <c r="F70" s="109" t="n">
        <v>46026</v>
      </c>
      <c r="G70" s="109" t="n">
        <v>46025</v>
      </c>
      <c r="H70" s="57">
        <f>IF(G70&lt;&gt;"","完了",IF(F70="","－",IF(F70&lt;=$L$2,"遅延","予定")))</f>
        <v/>
      </c>
      <c r="I70" s="109" t="n">
        <v>46027</v>
      </c>
      <c r="J70" s="109" t="n">
        <v>46027</v>
      </c>
      <c r="K70" s="57">
        <f>IF(J70&lt;&gt;"","完了",IF(I70="","－",IF(I70&lt;=$L$2,"遅延","予定")))</f>
        <v/>
      </c>
      <c r="L70" s="57">
        <f>IF(AND(H70="完了",K70="完了"),"完了",IF(OR(H70="遅延",K70="遅延"),"遅延","進行中"))</f>
        <v/>
      </c>
    </row>
    <row r="71">
      <c r="A71" s="57" t="n">
        <v>67</v>
      </c>
      <c r="B71" s="59" t="inlineStr">
        <is>
          <t>input/ITB-B-003_データ連携.xlsx</t>
        </is>
      </c>
      <c r="C71" s="59" t="inlineStr">
        <is>
          <t>ITB-002_データ同期</t>
        </is>
      </c>
      <c r="D71" s="57" t="inlineStr">
        <is>
          <t>バッチ</t>
        </is>
      </c>
      <c r="E71" s="57" t="inlineStr">
        <is>
          <t>ITB-002_データ同期-003</t>
        </is>
      </c>
      <c r="F71" s="109" t="n">
        <v>46044</v>
      </c>
      <c r="G71" s="109" t="n">
        <v>46047</v>
      </c>
      <c r="H71" s="57">
        <f>IF(G71&lt;&gt;"","完了",IF(F71="","－",IF(F71&lt;=$L$2,"遅延","予定")))</f>
        <v/>
      </c>
      <c r="I71" s="109" t="n">
        <v>46046</v>
      </c>
      <c r="J71" s="57" t="inlineStr"/>
      <c r="K71" s="57">
        <f>IF(J71&lt;&gt;"","完了",IF(I71="","－",IF(I71&lt;=$L$2,"遅延","予定")))</f>
        <v/>
      </c>
      <c r="L71" s="57">
        <f>IF(AND(H71="完了",K71="完了"),"完了",IF(OR(H71="遅延",K71="遅延"),"遅延","進行中"))</f>
        <v/>
      </c>
    </row>
    <row r="72">
      <c r="A72" s="57" t="n">
        <v>68</v>
      </c>
      <c r="B72" s="59" t="inlineStr">
        <is>
          <t>input/ITB-B-003_データ連携.xlsx</t>
        </is>
      </c>
      <c r="C72" s="59" t="inlineStr">
        <is>
          <t>ITB-002_データ同期</t>
        </is>
      </c>
      <c r="D72" s="57" t="inlineStr">
        <is>
          <t>バッチ</t>
        </is>
      </c>
      <c r="E72" s="57" t="inlineStr">
        <is>
          <t>ITB-002_データ同期-004</t>
        </is>
      </c>
      <c r="F72" s="109" t="n">
        <v>46062</v>
      </c>
      <c r="G72" s="109" t="n">
        <v>46060</v>
      </c>
      <c r="H72" s="57">
        <f>IF(G72&lt;&gt;"","完了",IF(F72="","－",IF(F72&lt;=$L$2,"遅延","予定")))</f>
        <v/>
      </c>
      <c r="I72" s="109" t="n">
        <v>46067</v>
      </c>
      <c r="J72" s="109" t="n">
        <v>46066</v>
      </c>
      <c r="K72" s="57">
        <f>IF(J72&lt;&gt;"","完了",IF(I72="","－",IF(I72&lt;=$L$2,"遅延","予定")))</f>
        <v/>
      </c>
      <c r="L72" s="57">
        <f>IF(AND(H72="完了",K72="完了"),"完了",IF(OR(H72="遅延",K72="遅延"),"遅延","進行中"))</f>
        <v/>
      </c>
    </row>
    <row r="73">
      <c r="A73" s="57" t="n">
        <v>69</v>
      </c>
      <c r="B73" s="59" t="inlineStr">
        <is>
          <t>input/ITB-B-003_データ連携.xlsx</t>
        </is>
      </c>
      <c r="C73" s="59" t="inlineStr">
        <is>
          <t>ITB-002_データ同期</t>
        </is>
      </c>
      <c r="D73" s="57" t="inlineStr">
        <is>
          <t>バッチ</t>
        </is>
      </c>
      <c r="E73" s="57" t="inlineStr">
        <is>
          <t>ITB-002_データ同期-005</t>
        </is>
      </c>
      <c r="F73" s="109" t="n">
        <v>46084</v>
      </c>
      <c r="G73" s="109" t="n">
        <v>46086</v>
      </c>
      <c r="H73" s="57">
        <f>IF(G73&lt;&gt;"","完了",IF(F73="","－",IF(F73&lt;=$L$2,"遅延","予定")))</f>
        <v/>
      </c>
      <c r="I73" s="109" t="n">
        <v>46085</v>
      </c>
      <c r="J73" s="109" t="n">
        <v>46086</v>
      </c>
      <c r="K73" s="57">
        <f>IF(J73&lt;&gt;"","完了",IF(I73="","－",IF(I73&lt;=$L$2,"遅延","予定")))</f>
        <v/>
      </c>
      <c r="L73" s="57">
        <f>IF(AND(H73="完了",K73="完了"),"完了",IF(OR(H73="遅延",K73="遅延"),"遅延","進行中"))</f>
        <v/>
      </c>
    </row>
    <row r="74">
      <c r="A74" s="57" t="n">
        <v>70</v>
      </c>
      <c r="B74" s="59" t="inlineStr">
        <is>
          <t>input/ITB-B-003_データ連携.xlsx</t>
        </is>
      </c>
      <c r="C74" s="59" t="inlineStr">
        <is>
          <t>ITB-002_データ同期</t>
        </is>
      </c>
      <c r="D74" s="57" t="inlineStr">
        <is>
          <t>バッチ</t>
        </is>
      </c>
      <c r="E74" s="57" t="inlineStr">
        <is>
          <t>ITB-002_データ同期-006</t>
        </is>
      </c>
      <c r="F74" s="109" t="n">
        <v>46102</v>
      </c>
      <c r="G74" s="57" t="inlineStr"/>
      <c r="H74" s="57">
        <f>IF(G74&lt;&gt;"","完了",IF(F74="","－",IF(F74&lt;=$L$2,"遅延","予定")))</f>
        <v/>
      </c>
      <c r="I74" s="109" t="n">
        <v>46104</v>
      </c>
      <c r="J74" s="57" t="inlineStr"/>
      <c r="K74" s="57">
        <f>IF(J74&lt;&gt;"","完了",IF(I74="","－",IF(I74&lt;=$L$2,"遅延","予定")))</f>
        <v/>
      </c>
      <c r="L74" s="57">
        <f>IF(AND(H74="完了",K74="完了"),"完了",IF(OR(H74="遅延",K74="遅延"),"遅延","進行中"))</f>
        <v/>
      </c>
    </row>
    <row r="75">
      <c r="A75" s="57" t="n">
        <v>71</v>
      </c>
      <c r="B75" s="59" t="inlineStr">
        <is>
          <t>input/ITB-B-003_データ連携.xlsx</t>
        </is>
      </c>
      <c r="C75" s="59" t="inlineStr">
        <is>
          <t>ITB-002_データ同期</t>
        </is>
      </c>
      <c r="D75" s="57" t="inlineStr">
        <is>
          <t>バッチ</t>
        </is>
      </c>
      <c r="E75" s="57" t="inlineStr">
        <is>
          <t>ITB-002_データ同期-007</t>
        </is>
      </c>
      <c r="F75" s="109" t="n">
        <v>46115</v>
      </c>
      <c r="G75" s="57" t="inlineStr"/>
      <c r="H75" s="57">
        <f>IF(G75&lt;&gt;"","完了",IF(F75="","－",IF(F75&lt;=$L$2,"遅延","予定")))</f>
        <v/>
      </c>
      <c r="I75" s="109" t="n">
        <v>46116</v>
      </c>
      <c r="J75" s="57" t="inlineStr"/>
      <c r="K75" s="57">
        <f>IF(J75&lt;&gt;"","完了",IF(I75="","－",IF(I75&lt;=$L$2,"遅延","予定")))</f>
        <v/>
      </c>
      <c r="L75" s="57">
        <f>IF(AND(H75="完了",K75="完了"),"完了",IF(OR(H75="遅延",K75="遅延"),"遅延","進行中"))</f>
        <v/>
      </c>
    </row>
    <row r="76">
      <c r="A76" s="57" t="n">
        <v>72</v>
      </c>
      <c r="B76" s="59" t="inlineStr">
        <is>
          <t>input/ITB-B-003_データ連携.xlsx</t>
        </is>
      </c>
      <c r="C76" s="59" t="inlineStr">
        <is>
          <t>ITB-002_データ同期</t>
        </is>
      </c>
      <c r="D76" s="57" t="inlineStr">
        <is>
          <t>バッチ</t>
        </is>
      </c>
      <c r="E76" s="57" t="inlineStr">
        <is>
          <t>ITB-002_データ同期-008</t>
        </is>
      </c>
      <c r="F76" s="109" t="n">
        <v>46131</v>
      </c>
      <c r="G76" s="57" t="inlineStr"/>
      <c r="H76" s="57">
        <f>IF(G76&lt;&gt;"","完了",IF(F76="","－",IF(F76&lt;=$L$2,"遅延","予定")))</f>
        <v/>
      </c>
      <c r="I76" s="109" t="n">
        <v>46132</v>
      </c>
      <c r="J76" s="57" t="inlineStr"/>
      <c r="K76" s="57">
        <f>IF(J76&lt;&gt;"","完了",IF(I76="","－",IF(I76&lt;=$L$2,"遅延","予定")))</f>
        <v/>
      </c>
      <c r="L76" s="57">
        <f>IF(AND(H76="完了",K76="完了"),"完了",IF(OR(H76="遅延",K76="遅延"),"遅延","進行中"))</f>
        <v/>
      </c>
    </row>
    <row r="77">
      <c r="A77" s="57" t="n">
        <v>73</v>
      </c>
      <c r="B77" s="59" t="inlineStr">
        <is>
          <t>input/ITB-B-003_データ連携.xlsx</t>
        </is>
      </c>
      <c r="C77" s="59" t="inlineStr">
        <is>
          <t>ITB-002_データ同期</t>
        </is>
      </c>
      <c r="D77" s="57" t="inlineStr">
        <is>
          <t>バッチ</t>
        </is>
      </c>
      <c r="E77" s="57" t="inlineStr">
        <is>
          <t>ITB-002_データ同期-009</t>
        </is>
      </c>
      <c r="F77" s="109" t="n">
        <v>46150</v>
      </c>
      <c r="G77" s="57" t="inlineStr"/>
      <c r="H77" s="57">
        <f>IF(G77&lt;&gt;"","完了",IF(F77="","－",IF(F77&lt;=$L$2,"遅延","予定")))</f>
        <v/>
      </c>
      <c r="I77" s="109" t="n">
        <v>46152</v>
      </c>
      <c r="J77" s="57" t="inlineStr"/>
      <c r="K77" s="57">
        <f>IF(J77&lt;&gt;"","完了",IF(I77="","－",IF(I77&lt;=$L$2,"遅延","予定")))</f>
        <v/>
      </c>
      <c r="L77" s="57">
        <f>IF(AND(H77="完了",K77="完了"),"完了",IF(OR(H77="遅延",K77="遅延"),"遅延","進行中"))</f>
        <v/>
      </c>
    </row>
    <row r="78">
      <c r="A78" s="57" t="n">
        <v>74</v>
      </c>
      <c r="B78" s="59" t="inlineStr">
        <is>
          <t>input/ITB-B-003_データ連携.xlsx</t>
        </is>
      </c>
      <c r="C78" s="59" t="inlineStr">
        <is>
          <t>ITB-002_データ同期</t>
        </is>
      </c>
      <c r="D78" s="57" t="inlineStr">
        <is>
          <t>バッチ</t>
        </is>
      </c>
      <c r="E78" s="57" t="inlineStr">
        <is>
          <t>ITB-002_データ同期-010</t>
        </is>
      </c>
      <c r="F78" s="109" t="n">
        <v>46171</v>
      </c>
      <c r="G78" s="57" t="inlineStr"/>
      <c r="H78" s="57">
        <f>IF(G78&lt;&gt;"","完了",IF(F78="","－",IF(F78&lt;=$L$2,"遅延","予定")))</f>
        <v/>
      </c>
      <c r="I78" s="109" t="n">
        <v>46176</v>
      </c>
      <c r="J78" s="57" t="inlineStr"/>
      <c r="K78" s="57">
        <f>IF(J78&lt;&gt;"","完了",IF(I78="","－",IF(I78&lt;=$L$2,"遅延","予定")))</f>
        <v/>
      </c>
      <c r="L78" s="57">
        <f>IF(AND(H78="完了",K78="完了"),"完了",IF(OR(H78="遅延",K78="遅延"),"遅延","進行中"))</f>
        <v/>
      </c>
    </row>
    <row r="79">
      <c r="A79" s="57" t="n">
        <v>75</v>
      </c>
      <c r="B79" s="59" t="inlineStr">
        <is>
          <t>input/ITB-O-001_ログイン認証.xlsx</t>
        </is>
      </c>
      <c r="C79" s="59" t="inlineStr">
        <is>
          <t>ITB-001_ログイン</t>
        </is>
      </c>
      <c r="D79" s="57" t="inlineStr">
        <is>
          <t>オンライン</t>
        </is>
      </c>
      <c r="E79" s="57" t="inlineStr">
        <is>
          <t>ITB-001_ログイン-001</t>
        </is>
      </c>
      <c r="F79" s="109" t="n">
        <v>45999</v>
      </c>
      <c r="G79" s="109" t="n">
        <v>45998</v>
      </c>
      <c r="H79" s="57">
        <f>IF(G79&lt;&gt;"","完了",IF(F79="","－",IF(F79&lt;=$L$2,"遅延","予定")))</f>
        <v/>
      </c>
      <c r="I79" s="109" t="n">
        <v>46002</v>
      </c>
      <c r="J79" s="109" t="n">
        <v>46004</v>
      </c>
      <c r="K79" s="57">
        <f>IF(J79&lt;&gt;"","完了",IF(I79="","－",IF(I79&lt;=$L$2,"遅延","予定")))</f>
        <v/>
      </c>
      <c r="L79" s="57">
        <f>IF(AND(H79="完了",K79="完了"),"完了",IF(OR(H79="遅延",K79="遅延"),"遅延","進行中"))</f>
        <v/>
      </c>
    </row>
    <row r="80">
      <c r="A80" s="57" t="n">
        <v>76</v>
      </c>
      <c r="B80" s="59" t="inlineStr">
        <is>
          <t>input/ITB-O-001_ログイン認証.xlsx</t>
        </is>
      </c>
      <c r="C80" s="59" t="inlineStr">
        <is>
          <t>ITB-001_ログイン</t>
        </is>
      </c>
      <c r="D80" s="57" t="inlineStr">
        <is>
          <t>オンライン</t>
        </is>
      </c>
      <c r="E80" s="57" t="inlineStr">
        <is>
          <t>ITB-001_ログイン-002</t>
        </is>
      </c>
      <c r="F80" s="109" t="n">
        <v>46018</v>
      </c>
      <c r="G80" s="109" t="n">
        <v>46019</v>
      </c>
      <c r="H80" s="57">
        <f>IF(G80&lt;&gt;"","完了",IF(F80="","－",IF(F80&lt;=$L$2,"遅延","予定")))</f>
        <v/>
      </c>
      <c r="I80" s="109" t="n">
        <v>46020</v>
      </c>
      <c r="J80" s="109" t="n">
        <v>46021</v>
      </c>
      <c r="K80" s="57">
        <f>IF(J80&lt;&gt;"","完了",IF(I80="","－",IF(I80&lt;=$L$2,"遅延","予定")))</f>
        <v/>
      </c>
      <c r="L80" s="57">
        <f>IF(AND(H80="完了",K80="完了"),"完了",IF(OR(H80="遅延",K80="遅延"),"遅延","進行中"))</f>
        <v/>
      </c>
    </row>
    <row r="81">
      <c r="A81" s="57" t="n">
        <v>77</v>
      </c>
      <c r="B81" s="59" t="inlineStr">
        <is>
          <t>input/ITB-O-001_ログイン認証.xlsx</t>
        </is>
      </c>
      <c r="C81" s="59" t="inlineStr">
        <is>
          <t>ITB-001_ログイン</t>
        </is>
      </c>
      <c r="D81" s="57" t="inlineStr">
        <is>
          <t>オンライン</t>
        </is>
      </c>
      <c r="E81" s="57" t="inlineStr">
        <is>
          <t>ITB-001_ログイン-003</t>
        </is>
      </c>
      <c r="F81" s="109" t="n">
        <v>46031</v>
      </c>
      <c r="G81" s="109" t="n">
        <v>46030</v>
      </c>
      <c r="H81" s="57">
        <f>IF(G81&lt;&gt;"","完了",IF(F81="","－",IF(F81&lt;=$L$2,"遅延","予定")))</f>
        <v/>
      </c>
      <c r="I81" s="109" t="n">
        <v>46035</v>
      </c>
      <c r="J81" s="109" t="n">
        <v>46034</v>
      </c>
      <c r="K81" s="57">
        <f>IF(J81&lt;&gt;"","完了",IF(I81="","－",IF(I81&lt;=$L$2,"遅延","予定")))</f>
        <v/>
      </c>
      <c r="L81" s="57">
        <f>IF(AND(H81="完了",K81="完了"),"完了",IF(OR(H81="遅延",K81="遅延"),"遅延","進行中"))</f>
        <v/>
      </c>
    </row>
    <row r="82">
      <c r="A82" s="57" t="n">
        <v>78</v>
      </c>
      <c r="B82" s="59" t="inlineStr">
        <is>
          <t>input/ITB-O-001_ログイン認証.xlsx</t>
        </is>
      </c>
      <c r="C82" s="59" t="inlineStr">
        <is>
          <t>ITB-001_ログイン</t>
        </is>
      </c>
      <c r="D82" s="57" t="inlineStr">
        <is>
          <t>オンライン</t>
        </is>
      </c>
      <c r="E82" s="57" t="inlineStr">
        <is>
          <t>ITB-001_ログイン-004</t>
        </is>
      </c>
      <c r="F82" s="109" t="n">
        <v>46044</v>
      </c>
      <c r="G82" s="109" t="n">
        <v>46043</v>
      </c>
      <c r="H82" s="57">
        <f>IF(G82&lt;&gt;"","完了",IF(F82="","－",IF(F82&lt;=$L$2,"遅延","予定")))</f>
        <v/>
      </c>
      <c r="I82" s="109" t="n">
        <v>46048</v>
      </c>
      <c r="J82" s="109" t="n">
        <v>46048</v>
      </c>
      <c r="K82" s="57">
        <f>IF(J82&lt;&gt;"","完了",IF(I82="","－",IF(I82&lt;=$L$2,"遅延","予定")))</f>
        <v/>
      </c>
      <c r="L82" s="57">
        <f>IF(AND(H82="完了",K82="完了"),"完了",IF(OR(H82="遅延",K82="遅延"),"遅延","進行中"))</f>
        <v/>
      </c>
    </row>
    <row r="83">
      <c r="A83" s="57" t="n">
        <v>79</v>
      </c>
      <c r="B83" s="59" t="inlineStr">
        <is>
          <t>input/ITB-O-001_ログイン認証.xlsx</t>
        </is>
      </c>
      <c r="C83" s="59" t="inlineStr">
        <is>
          <t>ITB-001_ログイン</t>
        </is>
      </c>
      <c r="D83" s="57" t="inlineStr">
        <is>
          <t>オンライン</t>
        </is>
      </c>
      <c r="E83" s="57" t="inlineStr">
        <is>
          <t>ITB-001_ログイン-005</t>
        </is>
      </c>
      <c r="F83" s="109" t="n">
        <v>46047</v>
      </c>
      <c r="G83" s="109" t="n">
        <v>46045</v>
      </c>
      <c r="H83" s="57">
        <f>IF(G83&lt;&gt;"","完了",IF(F83="","－",IF(F83&lt;=$L$2,"遅延","予定")))</f>
        <v/>
      </c>
      <c r="I83" s="109" t="n">
        <v>46048</v>
      </c>
      <c r="J83" s="109" t="n">
        <v>46050</v>
      </c>
      <c r="K83" s="57">
        <f>IF(J83&lt;&gt;"","完了",IF(I83="","－",IF(I83&lt;=$L$2,"遅延","予定")))</f>
        <v/>
      </c>
      <c r="L83" s="57">
        <f>IF(AND(H83="完了",K83="完了"),"完了",IF(OR(H83="遅延",K83="遅延"),"遅延","進行中"))</f>
        <v/>
      </c>
    </row>
    <row r="84">
      <c r="A84" s="57" t="n">
        <v>80</v>
      </c>
      <c r="B84" s="59" t="inlineStr">
        <is>
          <t>input/ITB-O-001_ログイン認証.xlsx</t>
        </is>
      </c>
      <c r="C84" s="59" t="inlineStr">
        <is>
          <t>ITB-001_ログイン</t>
        </is>
      </c>
      <c r="D84" s="57" t="inlineStr">
        <is>
          <t>オンライン</t>
        </is>
      </c>
      <c r="E84" s="57" t="inlineStr">
        <is>
          <t>ITB-001_ログイン-006</t>
        </is>
      </c>
      <c r="F84" s="109" t="n">
        <v>46063</v>
      </c>
      <c r="G84" s="109" t="n">
        <v>46061</v>
      </c>
      <c r="H84" s="57">
        <f>IF(G84&lt;&gt;"","完了",IF(F84="","－",IF(F84&lt;=$L$2,"遅延","予定")))</f>
        <v/>
      </c>
      <c r="I84" s="109" t="n">
        <v>46068</v>
      </c>
      <c r="J84" s="109" t="n">
        <v>46069</v>
      </c>
      <c r="K84" s="57">
        <f>IF(J84&lt;&gt;"","完了",IF(I84="","－",IF(I84&lt;=$L$2,"遅延","予定")))</f>
        <v/>
      </c>
      <c r="L84" s="57">
        <f>IF(AND(H84="完了",K84="完了"),"完了",IF(OR(H84="遅延",K84="遅延"),"遅延","進行中"))</f>
        <v/>
      </c>
    </row>
    <row r="85">
      <c r="A85" s="57" t="n">
        <v>81</v>
      </c>
      <c r="B85" s="59" t="inlineStr">
        <is>
          <t>input/ITB-O-001_ログイン認証.xlsx</t>
        </is>
      </c>
      <c r="C85" s="59" t="inlineStr">
        <is>
          <t>ITB-001_ログイン</t>
        </is>
      </c>
      <c r="D85" s="57" t="inlineStr">
        <is>
          <t>オンライン</t>
        </is>
      </c>
      <c r="E85" s="57" t="inlineStr">
        <is>
          <t>ITB-001_ログイン-007</t>
        </is>
      </c>
      <c r="F85" s="109" t="n">
        <v>46079</v>
      </c>
      <c r="G85" s="109" t="n">
        <v>46079</v>
      </c>
      <c r="H85" s="57">
        <f>IF(G85&lt;&gt;"","完了",IF(F85="","－",IF(F85&lt;=$L$2,"遅延","予定")))</f>
        <v/>
      </c>
      <c r="I85" s="109" t="n">
        <v>46083</v>
      </c>
      <c r="J85" s="57" t="inlineStr"/>
      <c r="K85" s="57">
        <f>IF(J85&lt;&gt;"","完了",IF(I85="","－",IF(I85&lt;=$L$2,"遅延","予定")))</f>
        <v/>
      </c>
      <c r="L85" s="57">
        <f>IF(AND(H85="完了",K85="完了"),"完了",IF(OR(H85="遅延",K85="遅延"),"遅延","進行中"))</f>
        <v/>
      </c>
    </row>
    <row r="86">
      <c r="A86" s="57" t="n">
        <v>82</v>
      </c>
      <c r="B86" s="59" t="inlineStr">
        <is>
          <t>input/ITB-O-001_ログイン認証.xlsx</t>
        </is>
      </c>
      <c r="C86" s="59" t="inlineStr">
        <is>
          <t>ITB-001_ログイン</t>
        </is>
      </c>
      <c r="D86" s="57" t="inlineStr">
        <is>
          <t>オンライン</t>
        </is>
      </c>
      <c r="E86" s="57" t="inlineStr">
        <is>
          <t>ITB-001_ログイン-008</t>
        </is>
      </c>
      <c r="F86" s="109" t="n">
        <v>46083</v>
      </c>
      <c r="G86" s="109" t="n">
        <v>46086</v>
      </c>
      <c r="H86" s="57">
        <f>IF(G86&lt;&gt;"","完了",IF(F86="","－",IF(F86&lt;=$L$2,"遅延","予定")))</f>
        <v/>
      </c>
      <c r="I86" s="109" t="n">
        <v>46087</v>
      </c>
      <c r="J86" s="57" t="inlineStr"/>
      <c r="K86" s="57">
        <f>IF(J86&lt;&gt;"","完了",IF(I86="","－",IF(I86&lt;=$L$2,"遅延","予定")))</f>
        <v/>
      </c>
      <c r="L86" s="57">
        <f>IF(AND(H86="完了",K86="完了"),"完了",IF(OR(H86="遅延",K86="遅延"),"遅延","進行中"))</f>
        <v/>
      </c>
    </row>
    <row r="87">
      <c r="A87" s="57" t="n">
        <v>83</v>
      </c>
      <c r="B87" s="59" t="inlineStr">
        <is>
          <t>input/ITB-O-001_ログイン認証.xlsx</t>
        </is>
      </c>
      <c r="C87" s="59" t="inlineStr">
        <is>
          <t>ITB-001_ログイン</t>
        </is>
      </c>
      <c r="D87" s="57" t="inlineStr">
        <is>
          <t>オンライン</t>
        </is>
      </c>
      <c r="E87" s="57" t="inlineStr">
        <is>
          <t>ITB-001_ログイン-009</t>
        </is>
      </c>
      <c r="F87" s="109" t="n">
        <v>46104</v>
      </c>
      <c r="G87" s="57" t="inlineStr"/>
      <c r="H87" s="57">
        <f>IF(G87&lt;&gt;"","完了",IF(F87="","－",IF(F87&lt;=$L$2,"遅延","予定")))</f>
        <v/>
      </c>
      <c r="I87" s="109" t="n">
        <v>46105</v>
      </c>
      <c r="J87" s="57" t="inlineStr"/>
      <c r="K87" s="57">
        <f>IF(J87&lt;&gt;"","完了",IF(I87="","－",IF(I87&lt;=$L$2,"遅延","予定")))</f>
        <v/>
      </c>
      <c r="L87" s="57">
        <f>IF(AND(H87="完了",K87="完了"),"完了",IF(OR(H87="遅延",K87="遅延"),"遅延","進行中"))</f>
        <v/>
      </c>
    </row>
    <row r="88">
      <c r="A88" s="57" t="n">
        <v>84</v>
      </c>
      <c r="B88" s="59" t="inlineStr">
        <is>
          <t>input/ITB-O-001_ログイン認証.xlsx</t>
        </is>
      </c>
      <c r="C88" s="59" t="inlineStr">
        <is>
          <t>ITB-001_ログイン</t>
        </is>
      </c>
      <c r="D88" s="57" t="inlineStr">
        <is>
          <t>オンライン</t>
        </is>
      </c>
      <c r="E88" s="57" t="inlineStr">
        <is>
          <t>ITB-001_ログイン-010</t>
        </is>
      </c>
      <c r="F88" s="109" t="n">
        <v>46112</v>
      </c>
      <c r="G88" s="57" t="inlineStr"/>
      <c r="H88" s="57">
        <f>IF(G88&lt;&gt;"","完了",IF(F88="","－",IF(F88&lt;=$L$2,"遅延","予定")))</f>
        <v/>
      </c>
      <c r="I88" s="109" t="n">
        <v>46114</v>
      </c>
      <c r="J88" s="57" t="inlineStr"/>
      <c r="K88" s="57">
        <f>IF(J88&lt;&gt;"","完了",IF(I88="","－",IF(I88&lt;=$L$2,"遅延","予定")))</f>
        <v/>
      </c>
      <c r="L88" s="57">
        <f>IF(AND(H88="完了",K88="完了"),"完了",IF(OR(H88="遅延",K88="遅延"),"遅延","進行中"))</f>
        <v/>
      </c>
    </row>
    <row r="89">
      <c r="A89" s="57" t="n">
        <v>85</v>
      </c>
      <c r="B89" s="59" t="inlineStr">
        <is>
          <t>input/ITB-O-001_ログイン認証.xlsx</t>
        </is>
      </c>
      <c r="C89" s="59" t="inlineStr">
        <is>
          <t>ITB-001_ログイン</t>
        </is>
      </c>
      <c r="D89" s="57" t="inlineStr">
        <is>
          <t>オンライン</t>
        </is>
      </c>
      <c r="E89" s="57" t="inlineStr">
        <is>
          <t>ITB-001_ログイン-011</t>
        </is>
      </c>
      <c r="F89" s="109" t="n">
        <v>46120</v>
      </c>
      <c r="G89" s="57" t="inlineStr"/>
      <c r="H89" s="57">
        <f>IF(G89&lt;&gt;"","完了",IF(F89="","－",IF(F89&lt;=$L$2,"遅延","予定")))</f>
        <v/>
      </c>
      <c r="I89" s="109" t="n">
        <v>46125</v>
      </c>
      <c r="J89" s="57" t="inlineStr"/>
      <c r="K89" s="57">
        <f>IF(J89&lt;&gt;"","完了",IF(I89="","－",IF(I89&lt;=$L$2,"遅延","予定")))</f>
        <v/>
      </c>
      <c r="L89" s="57">
        <f>IF(AND(H89="完了",K89="完了"),"完了",IF(OR(H89="遅延",K89="遅延"),"遅延","進行中"))</f>
        <v/>
      </c>
    </row>
    <row r="90">
      <c r="A90" s="57" t="n">
        <v>86</v>
      </c>
      <c r="B90" s="59" t="inlineStr">
        <is>
          <t>input/ITB-O-001_ログイン認証.xlsx</t>
        </is>
      </c>
      <c r="C90" s="59" t="inlineStr">
        <is>
          <t>ITB-001_ログイン</t>
        </is>
      </c>
      <c r="D90" s="57" t="inlineStr">
        <is>
          <t>オンライン</t>
        </is>
      </c>
      <c r="E90" s="57" t="inlineStr">
        <is>
          <t>ITB-001_ログイン-012</t>
        </is>
      </c>
      <c r="F90" s="109" t="n">
        <v>46138</v>
      </c>
      <c r="G90" s="57" t="inlineStr"/>
      <c r="H90" s="57">
        <f>IF(G90&lt;&gt;"","完了",IF(F90="","－",IF(F90&lt;=$L$2,"遅延","予定")))</f>
        <v/>
      </c>
      <c r="I90" s="109" t="n">
        <v>46142</v>
      </c>
      <c r="J90" s="57" t="inlineStr"/>
      <c r="K90" s="57">
        <f>IF(J90&lt;&gt;"","完了",IF(I90="","－",IF(I90&lt;=$L$2,"遅延","予定")))</f>
        <v/>
      </c>
      <c r="L90" s="57">
        <f>IF(AND(H90="完了",K90="完了"),"完了",IF(OR(H90="遅延",K90="遅延"),"遅延","進行中"))</f>
        <v/>
      </c>
    </row>
    <row r="91">
      <c r="A91" s="57" t="n">
        <v>87</v>
      </c>
      <c r="B91" s="59" t="inlineStr">
        <is>
          <t>input/ITB-O-001_ログイン認証.xlsx</t>
        </is>
      </c>
      <c r="C91" s="59" t="inlineStr">
        <is>
          <t>ITB-001_ログイン</t>
        </is>
      </c>
      <c r="D91" s="57" t="inlineStr">
        <is>
          <t>オンライン</t>
        </is>
      </c>
      <c r="E91" s="57" t="inlineStr">
        <is>
          <t>ITB-001_ログイン-013</t>
        </is>
      </c>
      <c r="F91" s="109" t="n">
        <v>46152</v>
      </c>
      <c r="G91" s="57" t="inlineStr"/>
      <c r="H91" s="57">
        <f>IF(G91&lt;&gt;"","完了",IF(F91="","－",IF(F91&lt;=$L$2,"遅延","予定")))</f>
        <v/>
      </c>
      <c r="I91" s="109" t="n">
        <v>46154</v>
      </c>
      <c r="J91" s="57" t="inlineStr"/>
      <c r="K91" s="57">
        <f>IF(J91&lt;&gt;"","完了",IF(I91="","－",IF(I91&lt;=$L$2,"遅延","予定")))</f>
        <v/>
      </c>
      <c r="L91" s="57">
        <f>IF(AND(H91="完了",K91="完了"),"完了",IF(OR(H91="遅延",K91="遅延"),"遅延","進行中"))</f>
        <v/>
      </c>
    </row>
    <row r="92">
      <c r="A92" s="57" t="n">
        <v>88</v>
      </c>
      <c r="B92" s="59" t="inlineStr">
        <is>
          <t>input/ITB-O-001_ログイン認証.xlsx</t>
        </is>
      </c>
      <c r="C92" s="59" t="inlineStr">
        <is>
          <t>ITB-001_ログイン</t>
        </is>
      </c>
      <c r="D92" s="57" t="inlineStr">
        <is>
          <t>オンライン</t>
        </is>
      </c>
      <c r="E92" s="57" t="inlineStr">
        <is>
          <t>ITB-001_ログイン-014</t>
        </is>
      </c>
      <c r="F92" s="109" t="n">
        <v>46164</v>
      </c>
      <c r="G92" s="57" t="inlineStr"/>
      <c r="H92" s="57">
        <f>IF(G92&lt;&gt;"","完了",IF(F92="","－",IF(F92&lt;=$L$2,"遅延","予定")))</f>
        <v/>
      </c>
      <c r="I92" s="109" t="n">
        <v>46165</v>
      </c>
      <c r="J92" s="57" t="inlineStr"/>
      <c r="K92" s="57">
        <f>IF(J92&lt;&gt;"","完了",IF(I92="","－",IF(I92&lt;=$L$2,"遅延","予定")))</f>
        <v/>
      </c>
      <c r="L92" s="57">
        <f>IF(AND(H92="完了",K92="完了"),"完了",IF(OR(H92="遅延",K92="遅延"),"遅延","進行中"))</f>
        <v/>
      </c>
    </row>
    <row r="93">
      <c r="A93" s="57" t="n">
        <v>89</v>
      </c>
      <c r="B93" s="59" t="inlineStr">
        <is>
          <t>input/ITB-O-001_ログイン認証.xlsx</t>
        </is>
      </c>
      <c r="C93" s="59" t="inlineStr">
        <is>
          <t>ITB-001_ログイン</t>
        </is>
      </c>
      <c r="D93" s="57" t="inlineStr">
        <is>
          <t>オンライン</t>
        </is>
      </c>
      <c r="E93" s="57" t="inlineStr">
        <is>
          <t>ITB-001_ログイン-015</t>
        </is>
      </c>
      <c r="F93" s="109" t="n">
        <v>46168</v>
      </c>
      <c r="G93" s="57" t="inlineStr"/>
      <c r="H93" s="57">
        <f>IF(G93&lt;&gt;"","完了",IF(F93="","－",IF(F93&lt;=$L$2,"遅延","予定")))</f>
        <v/>
      </c>
      <c r="I93" s="109" t="n">
        <v>46171</v>
      </c>
      <c r="J93" s="57" t="inlineStr"/>
      <c r="K93" s="57">
        <f>IF(J93&lt;&gt;"","完了",IF(I93="","－",IF(I93&lt;=$L$2,"遅延","予定")))</f>
        <v/>
      </c>
      <c r="L93" s="57">
        <f>IF(AND(H93="完了",K93="完了"),"完了",IF(OR(H93="遅延",K93="遅延"),"遅延","進行中"))</f>
        <v/>
      </c>
    </row>
    <row r="94">
      <c r="A94" s="57" t="n">
        <v>90</v>
      </c>
      <c r="B94" s="59" t="inlineStr">
        <is>
          <t>input/ITB-O-001_ログイン認証.xlsx</t>
        </is>
      </c>
      <c r="C94" s="59" t="inlineStr">
        <is>
          <t>ITB-002_ログアウト</t>
        </is>
      </c>
      <c r="D94" s="57" t="inlineStr">
        <is>
          <t>オンライン</t>
        </is>
      </c>
      <c r="E94" s="57" t="inlineStr">
        <is>
          <t>ITB-002_ログアウト-001</t>
        </is>
      </c>
      <c r="F94" s="109" t="n">
        <v>46008</v>
      </c>
      <c r="G94" s="109" t="n">
        <v>46006</v>
      </c>
      <c r="H94" s="57">
        <f>IF(G94&lt;&gt;"","完了",IF(F94="","－",IF(F94&lt;=$L$2,"遅延","予定")))</f>
        <v/>
      </c>
      <c r="I94" s="109" t="n">
        <v>46011</v>
      </c>
      <c r="J94" s="109" t="n">
        <v>46013</v>
      </c>
      <c r="K94" s="57">
        <f>IF(J94&lt;&gt;"","完了",IF(I94="","－",IF(I94&lt;=$L$2,"遅延","予定")))</f>
        <v/>
      </c>
      <c r="L94" s="57">
        <f>IF(AND(H94="完了",K94="完了"),"完了",IF(OR(H94="遅延",K94="遅延"),"遅延","進行中"))</f>
        <v/>
      </c>
    </row>
    <row r="95">
      <c r="A95" s="57" t="n">
        <v>91</v>
      </c>
      <c r="B95" s="59" t="inlineStr">
        <is>
          <t>input/ITB-O-001_ログイン認証.xlsx</t>
        </is>
      </c>
      <c r="C95" s="59" t="inlineStr">
        <is>
          <t>ITB-002_ログアウト</t>
        </is>
      </c>
      <c r="D95" s="57" t="inlineStr">
        <is>
          <t>オンライン</t>
        </is>
      </c>
      <c r="E95" s="57" t="inlineStr">
        <is>
          <t>ITB-002_ログアウト-002</t>
        </is>
      </c>
      <c r="F95" s="109" t="n">
        <v>46018</v>
      </c>
      <c r="G95" s="109" t="n">
        <v>46018</v>
      </c>
      <c r="H95" s="57">
        <f>IF(G95&lt;&gt;"","完了",IF(F95="","－",IF(F95&lt;=$L$2,"遅延","予定")))</f>
        <v/>
      </c>
      <c r="I95" s="109" t="n">
        <v>46020</v>
      </c>
      <c r="J95" s="109" t="n">
        <v>46019</v>
      </c>
      <c r="K95" s="57">
        <f>IF(J95&lt;&gt;"","完了",IF(I95="","－",IF(I95&lt;=$L$2,"遅延","予定")))</f>
        <v/>
      </c>
      <c r="L95" s="57">
        <f>IF(AND(H95="完了",K95="完了"),"完了",IF(OR(H95="遅延",K95="遅延"),"遅延","進行中"))</f>
        <v/>
      </c>
    </row>
    <row r="96">
      <c r="A96" s="57" t="n">
        <v>92</v>
      </c>
      <c r="B96" s="59" t="inlineStr">
        <is>
          <t>input/ITB-O-001_ログイン認証.xlsx</t>
        </is>
      </c>
      <c r="C96" s="59" t="inlineStr">
        <is>
          <t>ITB-002_ログアウト</t>
        </is>
      </c>
      <c r="D96" s="57" t="inlineStr">
        <is>
          <t>オンライン</t>
        </is>
      </c>
      <c r="E96" s="57" t="inlineStr">
        <is>
          <t>ITB-002_ログアウト-003</t>
        </is>
      </c>
      <c r="F96" s="109" t="n">
        <v>46027</v>
      </c>
      <c r="G96" s="109" t="n">
        <v>46026</v>
      </c>
      <c r="H96" s="57">
        <f>IF(G96&lt;&gt;"","完了",IF(F96="","－",IF(F96&lt;=$L$2,"遅延","予定")))</f>
        <v/>
      </c>
      <c r="I96" s="109" t="n">
        <v>46029</v>
      </c>
      <c r="J96" s="109" t="n">
        <v>46028</v>
      </c>
      <c r="K96" s="57">
        <f>IF(J96&lt;&gt;"","完了",IF(I96="","－",IF(I96&lt;=$L$2,"遅延","予定")))</f>
        <v/>
      </c>
      <c r="L96" s="57">
        <f>IF(AND(H96="完了",K96="完了"),"完了",IF(OR(H96="遅延",K96="遅延"),"遅延","進行中"))</f>
        <v/>
      </c>
    </row>
    <row r="97">
      <c r="A97" s="57" t="n">
        <v>93</v>
      </c>
      <c r="B97" s="59" t="inlineStr">
        <is>
          <t>input/ITB-O-001_ログイン認証.xlsx</t>
        </is>
      </c>
      <c r="C97" s="59" t="inlineStr">
        <is>
          <t>ITB-002_ログアウト</t>
        </is>
      </c>
      <c r="D97" s="57" t="inlineStr">
        <is>
          <t>オンライン</t>
        </is>
      </c>
      <c r="E97" s="57" t="inlineStr">
        <is>
          <t>ITB-002_ログアウト-004</t>
        </is>
      </c>
      <c r="F97" s="109" t="n">
        <v>46037</v>
      </c>
      <c r="G97" s="109" t="n">
        <v>46035</v>
      </c>
      <c r="H97" s="57">
        <f>IF(G97&lt;&gt;"","完了",IF(F97="","－",IF(F97&lt;=$L$2,"遅延","予定")))</f>
        <v/>
      </c>
      <c r="I97" s="109" t="n">
        <v>46038</v>
      </c>
      <c r="J97" s="109" t="n">
        <v>46040</v>
      </c>
      <c r="K97" s="57">
        <f>IF(J97&lt;&gt;"","完了",IF(I97="","－",IF(I97&lt;=$L$2,"遅延","予定")))</f>
        <v/>
      </c>
      <c r="L97" s="57">
        <f>IF(AND(H97="完了",K97="完了"),"完了",IF(OR(H97="遅延",K97="遅延"),"遅延","進行中"))</f>
        <v/>
      </c>
    </row>
    <row r="98">
      <c r="A98" s="57" t="n">
        <v>94</v>
      </c>
      <c r="B98" s="59" t="inlineStr">
        <is>
          <t>input/ITB-O-001_ログイン認証.xlsx</t>
        </is>
      </c>
      <c r="C98" s="59" t="inlineStr">
        <is>
          <t>ITB-002_ログアウト</t>
        </is>
      </c>
      <c r="D98" s="57" t="inlineStr">
        <is>
          <t>オンライン</t>
        </is>
      </c>
      <c r="E98" s="57" t="inlineStr">
        <is>
          <t>ITB-002_ログアウト-005</t>
        </is>
      </c>
      <c r="F98" s="109" t="n">
        <v>46052</v>
      </c>
      <c r="G98" s="109" t="n">
        <v>46053</v>
      </c>
      <c r="H98" s="57">
        <f>IF(G98&lt;&gt;"","完了",IF(F98="","－",IF(F98&lt;=$L$2,"遅延","予定")))</f>
        <v/>
      </c>
      <c r="I98" s="109" t="n">
        <v>46054</v>
      </c>
      <c r="J98" s="57" t="inlineStr"/>
      <c r="K98" s="57">
        <f>IF(J98&lt;&gt;"","完了",IF(I98="","－",IF(I98&lt;=$L$2,"遅延","予定")))</f>
        <v/>
      </c>
      <c r="L98" s="57">
        <f>IF(AND(H98="完了",K98="完了"),"完了",IF(OR(H98="遅延",K98="遅延"),"遅延","進行中"))</f>
        <v/>
      </c>
    </row>
    <row r="99">
      <c r="A99" s="57" t="n">
        <v>95</v>
      </c>
      <c r="B99" s="59" t="inlineStr">
        <is>
          <t>input/ITB-O-001_ログイン認証.xlsx</t>
        </is>
      </c>
      <c r="C99" s="59" t="inlineStr">
        <is>
          <t>ITB-002_ログアウト</t>
        </is>
      </c>
      <c r="D99" s="57" t="inlineStr">
        <is>
          <t>オンライン</t>
        </is>
      </c>
      <c r="E99" s="57" t="inlineStr">
        <is>
          <t>ITB-002_ログアウト-006</t>
        </is>
      </c>
      <c r="F99" s="109" t="n">
        <v>46065</v>
      </c>
      <c r="G99" s="57" t="inlineStr"/>
      <c r="H99" s="57">
        <f>IF(G99&lt;&gt;"","完了",IF(F99="","－",IF(F99&lt;=$L$2,"遅延","予定")))</f>
        <v/>
      </c>
      <c r="I99" s="109" t="n">
        <v>46070</v>
      </c>
      <c r="J99" s="57" t="inlineStr"/>
      <c r="K99" s="57">
        <f>IF(J99&lt;&gt;"","完了",IF(I99="","－",IF(I99&lt;=$L$2,"遅延","予定")))</f>
        <v/>
      </c>
      <c r="L99" s="57">
        <f>IF(AND(H99="完了",K99="完了"),"完了",IF(OR(H99="遅延",K99="遅延"),"遅延","進行中"))</f>
        <v/>
      </c>
    </row>
    <row r="100">
      <c r="A100" s="57" t="n">
        <v>96</v>
      </c>
      <c r="B100" s="59" t="inlineStr">
        <is>
          <t>input/ITB-O-001_ログイン認証.xlsx</t>
        </is>
      </c>
      <c r="C100" s="59" t="inlineStr">
        <is>
          <t>ITB-002_ログアウト</t>
        </is>
      </c>
      <c r="D100" s="57" t="inlineStr">
        <is>
          <t>オンライン</t>
        </is>
      </c>
      <c r="E100" s="57" t="inlineStr">
        <is>
          <t>ITB-002_ログアウト-007</t>
        </is>
      </c>
      <c r="F100" s="109" t="n">
        <v>46075</v>
      </c>
      <c r="G100" s="109" t="n">
        <v>46074</v>
      </c>
      <c r="H100" s="57">
        <f>IF(G100&lt;&gt;"","完了",IF(F100="","－",IF(F100&lt;=$L$2,"遅延","予定")))</f>
        <v/>
      </c>
      <c r="I100" s="109" t="n">
        <v>46079</v>
      </c>
      <c r="J100" s="109" t="n">
        <v>46081</v>
      </c>
      <c r="K100" s="57">
        <f>IF(J100&lt;&gt;"","完了",IF(I100="","－",IF(I100&lt;=$L$2,"遅延","予定")))</f>
        <v/>
      </c>
      <c r="L100" s="57">
        <f>IF(AND(H100="完了",K100="完了"),"完了",IF(OR(H100="遅延",K100="遅延"),"遅延","進行中"))</f>
        <v/>
      </c>
    </row>
    <row r="101">
      <c r="A101" s="57" t="n">
        <v>97</v>
      </c>
      <c r="B101" s="59" t="inlineStr">
        <is>
          <t>input/ITB-O-001_ログイン認証.xlsx</t>
        </is>
      </c>
      <c r="C101" s="59" t="inlineStr">
        <is>
          <t>ITB-002_ログアウト</t>
        </is>
      </c>
      <c r="D101" s="57" t="inlineStr">
        <is>
          <t>オンライン</t>
        </is>
      </c>
      <c r="E101" s="57" t="inlineStr">
        <is>
          <t>ITB-002_ログアウト-008</t>
        </is>
      </c>
      <c r="F101" s="109" t="n">
        <v>46084</v>
      </c>
      <c r="G101" s="109" t="n">
        <v>46087</v>
      </c>
      <c r="H101" s="57">
        <f>IF(G101&lt;&gt;"","完了",IF(F101="","－",IF(F101&lt;=$L$2,"遅延","予定")))</f>
        <v/>
      </c>
      <c r="I101" s="109" t="n">
        <v>46089</v>
      </c>
      <c r="J101" s="57" t="inlineStr"/>
      <c r="K101" s="57">
        <f>IF(J101&lt;&gt;"","完了",IF(I101="","－",IF(I101&lt;=$L$2,"遅延","予定")))</f>
        <v/>
      </c>
      <c r="L101" s="57">
        <f>IF(AND(H101="完了",K101="完了"),"完了",IF(OR(H101="遅延",K101="遅延"),"遅延","進行中"))</f>
        <v/>
      </c>
    </row>
    <row r="102">
      <c r="A102" s="57" t="n">
        <v>98</v>
      </c>
      <c r="B102" s="59" t="inlineStr">
        <is>
          <t>input/ITB-O-001_ログイン認証.xlsx</t>
        </is>
      </c>
      <c r="C102" s="59" t="inlineStr">
        <is>
          <t>ITB-002_ログアウト</t>
        </is>
      </c>
      <c r="D102" s="57" t="inlineStr">
        <is>
          <t>オンライン</t>
        </is>
      </c>
      <c r="E102" s="57" t="inlineStr">
        <is>
          <t>ITB-002_ログアウト-009</t>
        </is>
      </c>
      <c r="F102" s="109" t="n">
        <v>46104</v>
      </c>
      <c r="G102" s="57" t="inlineStr"/>
      <c r="H102" s="57">
        <f>IF(G102&lt;&gt;"","完了",IF(F102="","－",IF(F102&lt;=$L$2,"遅延","予定")))</f>
        <v/>
      </c>
      <c r="I102" s="109" t="n">
        <v>46105</v>
      </c>
      <c r="J102" s="57" t="inlineStr"/>
      <c r="K102" s="57">
        <f>IF(J102&lt;&gt;"","完了",IF(I102="","－",IF(I102&lt;=$L$2,"遅延","予定")))</f>
        <v/>
      </c>
      <c r="L102" s="57">
        <f>IF(AND(H102="完了",K102="完了"),"完了",IF(OR(H102="遅延",K102="遅延"),"遅延","進行中"))</f>
        <v/>
      </c>
    </row>
    <row r="103">
      <c r="A103" s="57" t="n">
        <v>99</v>
      </c>
      <c r="B103" s="59" t="inlineStr">
        <is>
          <t>input/ITB-O-001_ログイン認証.xlsx</t>
        </is>
      </c>
      <c r="C103" s="59" t="inlineStr">
        <is>
          <t>ITB-002_ログアウト</t>
        </is>
      </c>
      <c r="D103" s="57" t="inlineStr">
        <is>
          <t>オンライン</t>
        </is>
      </c>
      <c r="E103" s="57" t="inlineStr">
        <is>
          <t>ITB-002_ログアウト-010</t>
        </is>
      </c>
      <c r="F103" s="109" t="n">
        <v>46115</v>
      </c>
      <c r="G103" s="57" t="inlineStr"/>
      <c r="H103" s="57">
        <f>IF(G103&lt;&gt;"","完了",IF(F103="","－",IF(F103&lt;=$L$2,"遅延","予定")))</f>
        <v/>
      </c>
      <c r="I103" s="109" t="n">
        <v>46116</v>
      </c>
      <c r="J103" s="57" t="inlineStr"/>
      <c r="K103" s="57">
        <f>IF(J103&lt;&gt;"","完了",IF(I103="","－",IF(I103&lt;=$L$2,"遅延","予定")))</f>
        <v/>
      </c>
      <c r="L103" s="57">
        <f>IF(AND(H103="完了",K103="完了"),"完了",IF(OR(H103="遅延",K103="遅延"),"遅延","進行中"))</f>
        <v/>
      </c>
    </row>
    <row r="104">
      <c r="A104" s="57" t="n">
        <v>100</v>
      </c>
      <c r="B104" s="59" t="inlineStr">
        <is>
          <t>input/ITB-O-001_ログイン認証.xlsx</t>
        </is>
      </c>
      <c r="C104" s="59" t="inlineStr">
        <is>
          <t>ITB-002_ログアウト</t>
        </is>
      </c>
      <c r="D104" s="57" t="inlineStr">
        <is>
          <t>オンライン</t>
        </is>
      </c>
      <c r="E104" s="57" t="inlineStr">
        <is>
          <t>ITB-002_ログアウト-011</t>
        </is>
      </c>
      <c r="F104" s="109" t="n">
        <v>46120</v>
      </c>
      <c r="G104" s="57" t="inlineStr"/>
      <c r="H104" s="57">
        <f>IF(G104&lt;&gt;"","完了",IF(F104="","－",IF(F104&lt;=$L$2,"遅延","予定")))</f>
        <v/>
      </c>
      <c r="I104" s="109" t="n">
        <v>46124</v>
      </c>
      <c r="J104" s="57" t="inlineStr"/>
      <c r="K104" s="57">
        <f>IF(J104&lt;&gt;"","完了",IF(I104="","－",IF(I104&lt;=$L$2,"遅延","予定")))</f>
        <v/>
      </c>
      <c r="L104" s="57">
        <f>IF(AND(H104="完了",K104="完了"),"完了",IF(OR(H104="遅延",K104="遅延"),"遅延","進行中"))</f>
        <v/>
      </c>
    </row>
    <row r="105">
      <c r="A105" s="57" t="n">
        <v>101</v>
      </c>
      <c r="B105" s="59" t="inlineStr">
        <is>
          <t>input/ITB-O-001_ログイン認証.xlsx</t>
        </is>
      </c>
      <c r="C105" s="59" t="inlineStr">
        <is>
          <t>ITB-002_ログアウト</t>
        </is>
      </c>
      <c r="D105" s="57" t="inlineStr">
        <is>
          <t>オンライン</t>
        </is>
      </c>
      <c r="E105" s="57" t="inlineStr">
        <is>
          <t>ITB-002_ログアウト-012</t>
        </is>
      </c>
      <c r="F105" s="109" t="n">
        <v>46141</v>
      </c>
      <c r="G105" s="57" t="inlineStr"/>
      <c r="H105" s="57">
        <f>IF(G105&lt;&gt;"","完了",IF(F105="","－",IF(F105&lt;=$L$2,"遅延","予定")))</f>
        <v/>
      </c>
      <c r="I105" s="109" t="n">
        <v>46142</v>
      </c>
      <c r="J105" s="57" t="inlineStr"/>
      <c r="K105" s="57">
        <f>IF(J105&lt;&gt;"","完了",IF(I105="","－",IF(I105&lt;=$L$2,"遅延","予定")))</f>
        <v/>
      </c>
      <c r="L105" s="57">
        <f>IF(AND(H105="完了",K105="完了"),"完了",IF(OR(H105="遅延",K105="遅延"),"遅延","進行中"))</f>
        <v/>
      </c>
    </row>
    <row r="106">
      <c r="A106" s="57" t="n">
        <v>102</v>
      </c>
      <c r="B106" s="59" t="inlineStr">
        <is>
          <t>input/ITB-O-001_ログイン認証.xlsx</t>
        </is>
      </c>
      <c r="C106" s="59" t="inlineStr">
        <is>
          <t>ITB-002_ログアウト</t>
        </is>
      </c>
      <c r="D106" s="57" t="inlineStr">
        <is>
          <t>オンライン</t>
        </is>
      </c>
      <c r="E106" s="57" t="inlineStr">
        <is>
          <t>ITB-002_ログアウト-013</t>
        </is>
      </c>
      <c r="F106" s="109" t="n">
        <v>46144</v>
      </c>
      <c r="G106" s="57" t="inlineStr"/>
      <c r="H106" s="57">
        <f>IF(G106&lt;&gt;"","完了",IF(F106="","－",IF(F106&lt;=$L$2,"遅延","予定")))</f>
        <v/>
      </c>
      <c r="I106" s="109" t="n">
        <v>46145</v>
      </c>
      <c r="J106" s="57" t="inlineStr"/>
      <c r="K106" s="57">
        <f>IF(J106&lt;&gt;"","完了",IF(I106="","－",IF(I106&lt;=$L$2,"遅延","予定")))</f>
        <v/>
      </c>
      <c r="L106" s="57">
        <f>IF(AND(H106="完了",K106="完了"),"完了",IF(OR(H106="遅延",K106="遅延"),"遅延","進行中"))</f>
        <v/>
      </c>
    </row>
    <row r="107">
      <c r="A107" s="57" t="n">
        <v>103</v>
      </c>
      <c r="B107" s="59" t="inlineStr">
        <is>
          <t>input/ITB-O-001_ログイン認証.xlsx</t>
        </is>
      </c>
      <c r="C107" s="59" t="inlineStr">
        <is>
          <t>ITB-002_ログアウト</t>
        </is>
      </c>
      <c r="D107" s="57" t="inlineStr">
        <is>
          <t>オンライン</t>
        </is>
      </c>
      <c r="E107" s="57" t="inlineStr">
        <is>
          <t>ITB-002_ログアウト-014</t>
        </is>
      </c>
      <c r="F107" s="109" t="n">
        <v>46165</v>
      </c>
      <c r="G107" s="57" t="inlineStr"/>
      <c r="H107" s="57">
        <f>IF(G107&lt;&gt;"","完了",IF(F107="","－",IF(F107&lt;=$L$2,"遅延","予定")))</f>
        <v/>
      </c>
      <c r="I107" s="109" t="n">
        <v>46169</v>
      </c>
      <c r="J107" s="57" t="inlineStr"/>
      <c r="K107" s="57">
        <f>IF(J107&lt;&gt;"","完了",IF(I107="","－",IF(I107&lt;=$L$2,"遅延","予定")))</f>
        <v/>
      </c>
      <c r="L107" s="57">
        <f>IF(AND(H107="完了",K107="完了"),"完了",IF(OR(H107="遅延",K107="遅延"),"遅延","進行中"))</f>
        <v/>
      </c>
    </row>
    <row r="108">
      <c r="A108" s="57" t="n">
        <v>104</v>
      </c>
      <c r="B108" s="59" t="inlineStr">
        <is>
          <t>input/ITB-O-001_ログイン認証.xlsx</t>
        </is>
      </c>
      <c r="C108" s="59" t="inlineStr">
        <is>
          <t>ITB-002_ログアウト</t>
        </is>
      </c>
      <c r="D108" s="57" t="inlineStr">
        <is>
          <t>オンライン</t>
        </is>
      </c>
      <c r="E108" s="57" t="inlineStr">
        <is>
          <t>ITB-002_ログアウト-015</t>
        </is>
      </c>
      <c r="F108" s="109" t="n">
        <v>46172</v>
      </c>
      <c r="G108" s="57" t="inlineStr"/>
      <c r="H108" s="57">
        <f>IF(G108&lt;&gt;"","完了",IF(F108="","－",IF(F108&lt;=$L$2,"遅延","予定")))</f>
        <v/>
      </c>
      <c r="I108" s="109" t="n">
        <v>46173</v>
      </c>
      <c r="J108" s="57" t="inlineStr"/>
      <c r="K108" s="57">
        <f>IF(J108&lt;&gt;"","完了",IF(I108="","－",IF(I108&lt;=$L$2,"遅延","予定")))</f>
        <v/>
      </c>
      <c r="L108" s="57">
        <f>IF(AND(H108="完了",K108="完了"),"完了",IF(OR(H108="遅延",K108="遅延"),"遅延","進行中"))</f>
        <v/>
      </c>
    </row>
    <row r="109">
      <c r="A109" s="57" t="n">
        <v>105</v>
      </c>
      <c r="B109" s="59" t="inlineStr">
        <is>
          <t>input/ITB-O-001_ログイン認証.xlsx</t>
        </is>
      </c>
      <c r="C109" s="59" t="inlineStr">
        <is>
          <t>ITB-003_パスワード変更</t>
        </is>
      </c>
      <c r="D109" s="57" t="inlineStr">
        <is>
          <t>オンライン</t>
        </is>
      </c>
      <c r="E109" s="57" t="inlineStr">
        <is>
          <t>ITB-003_パスワード変更-001</t>
        </is>
      </c>
      <c r="F109" s="109" t="n">
        <v>46006</v>
      </c>
      <c r="G109" s="109" t="n">
        <v>46007</v>
      </c>
      <c r="H109" s="57">
        <f>IF(G109&lt;&gt;"","完了",IF(F109="","－",IF(F109&lt;=$L$2,"遅延","予定")))</f>
        <v/>
      </c>
      <c r="I109" s="109" t="n">
        <v>46010</v>
      </c>
      <c r="J109" s="109" t="n">
        <v>46010</v>
      </c>
      <c r="K109" s="57">
        <f>IF(J109&lt;&gt;"","完了",IF(I109="","－",IF(I109&lt;=$L$2,"遅延","予定")))</f>
        <v/>
      </c>
      <c r="L109" s="57">
        <f>IF(AND(H109="完了",K109="完了"),"完了",IF(OR(H109="遅延",K109="遅延"),"遅延","進行中"))</f>
        <v/>
      </c>
    </row>
    <row r="110">
      <c r="A110" s="57" t="n">
        <v>106</v>
      </c>
      <c r="B110" s="59" t="inlineStr">
        <is>
          <t>input/ITB-O-001_ログイン認証.xlsx</t>
        </is>
      </c>
      <c r="C110" s="59" t="inlineStr">
        <is>
          <t>ITB-003_パスワード変更</t>
        </is>
      </c>
      <c r="D110" s="57" t="inlineStr">
        <is>
          <t>オンライン</t>
        </is>
      </c>
      <c r="E110" s="57" t="inlineStr">
        <is>
          <t>ITB-003_パスワード変更-002</t>
        </is>
      </c>
      <c r="F110" s="109" t="n">
        <v>46015</v>
      </c>
      <c r="G110" s="109" t="n">
        <v>46016</v>
      </c>
      <c r="H110" s="57">
        <f>IF(G110&lt;&gt;"","完了",IF(F110="","－",IF(F110&lt;=$L$2,"遅延","予定")))</f>
        <v/>
      </c>
      <c r="I110" s="109" t="n">
        <v>46018</v>
      </c>
      <c r="J110" s="57" t="inlineStr"/>
      <c r="K110" s="57">
        <f>IF(J110&lt;&gt;"","完了",IF(I110="","－",IF(I110&lt;=$L$2,"遅延","予定")))</f>
        <v/>
      </c>
      <c r="L110" s="57">
        <f>IF(AND(H110="完了",K110="完了"),"完了",IF(OR(H110="遅延",K110="遅延"),"遅延","進行中"))</f>
        <v/>
      </c>
    </row>
    <row r="111">
      <c r="A111" s="57" t="n">
        <v>107</v>
      </c>
      <c r="B111" s="59" t="inlineStr">
        <is>
          <t>input/ITB-O-001_ログイン認証.xlsx</t>
        </is>
      </c>
      <c r="C111" s="59" t="inlineStr">
        <is>
          <t>ITB-003_パスワード変更</t>
        </is>
      </c>
      <c r="D111" s="57" t="inlineStr">
        <is>
          <t>オンライン</t>
        </is>
      </c>
      <c r="E111" s="57" t="inlineStr">
        <is>
          <t>ITB-003_パスワード変更-003</t>
        </is>
      </c>
      <c r="F111" s="109" t="n">
        <v>46026</v>
      </c>
      <c r="G111" s="109" t="n">
        <v>46028</v>
      </c>
      <c r="H111" s="57">
        <f>IF(G111&lt;&gt;"","完了",IF(F111="","－",IF(F111&lt;=$L$2,"遅延","予定")))</f>
        <v/>
      </c>
      <c r="I111" s="109" t="n">
        <v>46027</v>
      </c>
      <c r="J111" s="57" t="inlineStr"/>
      <c r="K111" s="57">
        <f>IF(J111&lt;&gt;"","完了",IF(I111="","－",IF(I111&lt;=$L$2,"遅延","予定")))</f>
        <v/>
      </c>
      <c r="L111" s="57">
        <f>IF(AND(H111="完了",K111="完了"),"完了",IF(OR(H111="遅延",K111="遅延"),"遅延","進行中"))</f>
        <v/>
      </c>
    </row>
    <row r="112">
      <c r="A112" s="57" t="n">
        <v>108</v>
      </c>
      <c r="B112" s="59" t="inlineStr">
        <is>
          <t>input/ITB-O-001_ログイン認証.xlsx</t>
        </is>
      </c>
      <c r="C112" s="59" t="inlineStr">
        <is>
          <t>ITB-003_パスワード変更</t>
        </is>
      </c>
      <c r="D112" s="57" t="inlineStr">
        <is>
          <t>オンライン</t>
        </is>
      </c>
      <c r="E112" s="57" t="inlineStr">
        <is>
          <t>ITB-003_パスワード変更-004</t>
        </is>
      </c>
      <c r="F112" s="109" t="n">
        <v>46035</v>
      </c>
      <c r="G112" s="109" t="n">
        <v>46036</v>
      </c>
      <c r="H112" s="57">
        <f>IF(G112&lt;&gt;"","完了",IF(F112="","－",IF(F112&lt;=$L$2,"遅延","予定")))</f>
        <v/>
      </c>
      <c r="I112" s="109" t="n">
        <v>46037</v>
      </c>
      <c r="J112" s="109" t="n">
        <v>46038</v>
      </c>
      <c r="K112" s="57">
        <f>IF(J112&lt;&gt;"","完了",IF(I112="","－",IF(I112&lt;=$L$2,"遅延","予定")))</f>
        <v/>
      </c>
      <c r="L112" s="57">
        <f>IF(AND(H112="完了",K112="完了"),"完了",IF(OR(H112="遅延",K112="遅延"),"遅延","進行中"))</f>
        <v/>
      </c>
    </row>
    <row r="113">
      <c r="A113" s="57" t="n">
        <v>109</v>
      </c>
      <c r="B113" s="59" t="inlineStr">
        <is>
          <t>input/ITB-O-001_ログイン認証.xlsx</t>
        </is>
      </c>
      <c r="C113" s="59" t="inlineStr">
        <is>
          <t>ITB-003_パスワード変更</t>
        </is>
      </c>
      <c r="D113" s="57" t="inlineStr">
        <is>
          <t>オンライン</t>
        </is>
      </c>
      <c r="E113" s="57" t="inlineStr">
        <is>
          <t>ITB-003_パスワード変更-005</t>
        </is>
      </c>
      <c r="F113" s="109" t="n">
        <v>46051</v>
      </c>
      <c r="G113" s="109" t="n">
        <v>46049</v>
      </c>
      <c r="H113" s="57">
        <f>IF(G113&lt;&gt;"","完了",IF(F113="","－",IF(F113&lt;=$L$2,"遅延","予定")))</f>
        <v/>
      </c>
      <c r="I113" s="109" t="n">
        <v>46055</v>
      </c>
      <c r="J113" s="109" t="n">
        <v>46057</v>
      </c>
      <c r="K113" s="57">
        <f>IF(J113&lt;&gt;"","完了",IF(I113="","－",IF(I113&lt;=$L$2,"遅延","予定")))</f>
        <v/>
      </c>
      <c r="L113" s="57">
        <f>IF(AND(H113="完了",K113="完了"),"完了",IF(OR(H113="遅延",K113="遅延"),"遅延","進行中"))</f>
        <v/>
      </c>
    </row>
    <row r="114">
      <c r="A114" s="57" t="n">
        <v>110</v>
      </c>
      <c r="B114" s="59" t="inlineStr">
        <is>
          <t>input/ITB-O-001_ログイン認証.xlsx</t>
        </is>
      </c>
      <c r="C114" s="59" t="inlineStr">
        <is>
          <t>ITB-003_パスワード変更</t>
        </is>
      </c>
      <c r="D114" s="57" t="inlineStr">
        <is>
          <t>オンライン</t>
        </is>
      </c>
      <c r="E114" s="57" t="inlineStr">
        <is>
          <t>ITB-003_パスワード変更-006</t>
        </is>
      </c>
      <c r="F114" s="109" t="n">
        <v>46065</v>
      </c>
      <c r="G114" s="109" t="n">
        <v>46068</v>
      </c>
      <c r="H114" s="57">
        <f>IF(G114&lt;&gt;"","完了",IF(F114="","－",IF(F114&lt;=$L$2,"遅延","予定")))</f>
        <v/>
      </c>
      <c r="I114" s="109" t="n">
        <v>46070</v>
      </c>
      <c r="J114" s="109" t="n">
        <v>46071</v>
      </c>
      <c r="K114" s="57">
        <f>IF(J114&lt;&gt;"","完了",IF(I114="","－",IF(I114&lt;=$L$2,"遅延","予定")))</f>
        <v/>
      </c>
      <c r="L114" s="57">
        <f>IF(AND(H114="完了",K114="完了"),"完了",IF(OR(H114="遅延",K114="遅延"),"遅延","進行中"))</f>
        <v/>
      </c>
    </row>
    <row r="115">
      <c r="A115" s="57" t="n">
        <v>111</v>
      </c>
      <c r="B115" s="59" t="inlineStr">
        <is>
          <t>input/ITB-O-001_ログイン認証.xlsx</t>
        </is>
      </c>
      <c r="C115" s="59" t="inlineStr">
        <is>
          <t>ITB-003_パスワード変更</t>
        </is>
      </c>
      <c r="D115" s="57" t="inlineStr">
        <is>
          <t>オンライン</t>
        </is>
      </c>
      <c r="E115" s="57" t="inlineStr">
        <is>
          <t>ITB-003_パスワード変更-007</t>
        </is>
      </c>
      <c r="F115" s="109" t="n">
        <v>46073</v>
      </c>
      <c r="G115" s="109" t="n">
        <v>46074</v>
      </c>
      <c r="H115" s="57">
        <f>IF(G115&lt;&gt;"","完了",IF(F115="","－",IF(F115&lt;=$L$2,"遅延","予定")))</f>
        <v/>
      </c>
      <c r="I115" s="109" t="n">
        <v>46078</v>
      </c>
      <c r="J115" s="109" t="n">
        <v>46078</v>
      </c>
      <c r="K115" s="57">
        <f>IF(J115&lt;&gt;"","完了",IF(I115="","－",IF(I115&lt;=$L$2,"遅延","予定")))</f>
        <v/>
      </c>
      <c r="L115" s="57">
        <f>IF(AND(H115="完了",K115="完了"),"完了",IF(OR(H115="遅延",K115="遅延"),"遅延","進行中"))</f>
        <v/>
      </c>
    </row>
    <row r="116">
      <c r="A116" s="57" t="n">
        <v>112</v>
      </c>
      <c r="B116" s="59" t="inlineStr">
        <is>
          <t>input/ITB-O-001_ログイン認証.xlsx</t>
        </is>
      </c>
      <c r="C116" s="59" t="inlineStr">
        <is>
          <t>ITB-003_パスワード変更</t>
        </is>
      </c>
      <c r="D116" s="57" t="inlineStr">
        <is>
          <t>オンライン</t>
        </is>
      </c>
      <c r="E116" s="57" t="inlineStr">
        <is>
          <t>ITB-003_パスワード変更-008</t>
        </is>
      </c>
      <c r="F116" s="109" t="n">
        <v>46092</v>
      </c>
      <c r="G116" s="57" t="inlineStr"/>
      <c r="H116" s="57">
        <f>IF(G116&lt;&gt;"","完了",IF(F116="","－",IF(F116&lt;=$L$2,"遅延","予定")))</f>
        <v/>
      </c>
      <c r="I116" s="109" t="n">
        <v>46096</v>
      </c>
      <c r="J116" s="57" t="inlineStr"/>
      <c r="K116" s="57">
        <f>IF(J116&lt;&gt;"","完了",IF(I116="","－",IF(I116&lt;=$L$2,"遅延","予定")))</f>
        <v/>
      </c>
      <c r="L116" s="57">
        <f>IF(AND(H116="完了",K116="完了"),"完了",IF(OR(H116="遅延",K116="遅延"),"遅延","進行中"))</f>
        <v/>
      </c>
    </row>
    <row r="117">
      <c r="A117" s="57" t="n">
        <v>113</v>
      </c>
      <c r="B117" s="59" t="inlineStr">
        <is>
          <t>input/ITB-O-001_ログイン認証.xlsx</t>
        </is>
      </c>
      <c r="C117" s="59" t="inlineStr">
        <is>
          <t>ITB-003_パスワード変更</t>
        </is>
      </c>
      <c r="D117" s="57" t="inlineStr">
        <is>
          <t>オンライン</t>
        </is>
      </c>
      <c r="E117" s="57" t="inlineStr">
        <is>
          <t>ITB-003_パスワード変更-009</t>
        </is>
      </c>
      <c r="F117" s="109" t="n">
        <v>46102</v>
      </c>
      <c r="G117" s="57" t="inlineStr"/>
      <c r="H117" s="57">
        <f>IF(G117&lt;&gt;"","完了",IF(F117="","－",IF(F117&lt;=$L$2,"遅延","予定")))</f>
        <v/>
      </c>
      <c r="I117" s="109" t="n">
        <v>46103</v>
      </c>
      <c r="J117" s="57" t="inlineStr"/>
      <c r="K117" s="57">
        <f>IF(J117&lt;&gt;"","完了",IF(I117="","－",IF(I117&lt;=$L$2,"遅延","予定")))</f>
        <v/>
      </c>
      <c r="L117" s="57">
        <f>IF(AND(H117="完了",K117="完了"),"完了",IF(OR(H117="遅延",K117="遅延"),"遅延","進行中"))</f>
        <v/>
      </c>
    </row>
    <row r="118">
      <c r="A118" s="57" t="n">
        <v>114</v>
      </c>
      <c r="B118" s="59" t="inlineStr">
        <is>
          <t>input/ITB-O-001_ログイン認証.xlsx</t>
        </is>
      </c>
      <c r="C118" s="59" t="inlineStr">
        <is>
          <t>ITB-003_パスワード変更</t>
        </is>
      </c>
      <c r="D118" s="57" t="inlineStr">
        <is>
          <t>オンライン</t>
        </is>
      </c>
      <c r="E118" s="57" t="inlineStr">
        <is>
          <t>ITB-003_パスワード変更-010</t>
        </is>
      </c>
      <c r="F118" s="109" t="n">
        <v>46114</v>
      </c>
      <c r="G118" s="57" t="inlineStr"/>
      <c r="H118" s="57">
        <f>IF(G118&lt;&gt;"","完了",IF(F118="","－",IF(F118&lt;=$L$2,"遅延","予定")))</f>
        <v/>
      </c>
      <c r="I118" s="109" t="n">
        <v>46117</v>
      </c>
      <c r="J118" s="57" t="inlineStr"/>
      <c r="K118" s="57">
        <f>IF(J118&lt;&gt;"","完了",IF(I118="","－",IF(I118&lt;=$L$2,"遅延","予定")))</f>
        <v/>
      </c>
      <c r="L118" s="57">
        <f>IF(AND(H118="完了",K118="完了"),"完了",IF(OR(H118="遅延",K118="遅延"),"遅延","進行中"))</f>
        <v/>
      </c>
    </row>
    <row r="119">
      <c r="A119" s="57" t="n">
        <v>115</v>
      </c>
      <c r="B119" s="59" t="inlineStr">
        <is>
          <t>input/ITB-O-001_ログイン認証.xlsx</t>
        </is>
      </c>
      <c r="C119" s="59" t="inlineStr">
        <is>
          <t>ITB-003_パスワード変更</t>
        </is>
      </c>
      <c r="D119" s="57" t="inlineStr">
        <is>
          <t>オンライン</t>
        </is>
      </c>
      <c r="E119" s="57" t="inlineStr">
        <is>
          <t>ITB-003_パスワード変更-011</t>
        </is>
      </c>
      <c r="F119" s="109" t="n">
        <v>46126</v>
      </c>
      <c r="G119" s="57" t="inlineStr"/>
      <c r="H119" s="57">
        <f>IF(G119&lt;&gt;"","完了",IF(F119="","－",IF(F119&lt;=$L$2,"遅延","予定")))</f>
        <v/>
      </c>
      <c r="I119" s="109" t="n">
        <v>46128</v>
      </c>
      <c r="J119" s="57" t="inlineStr"/>
      <c r="K119" s="57">
        <f>IF(J119&lt;&gt;"","完了",IF(I119="","－",IF(I119&lt;=$L$2,"遅延","予定")))</f>
        <v/>
      </c>
      <c r="L119" s="57">
        <f>IF(AND(H119="完了",K119="完了"),"完了",IF(OR(H119="遅延",K119="遅延"),"遅延","進行中"))</f>
        <v/>
      </c>
    </row>
    <row r="120">
      <c r="A120" s="57" t="n">
        <v>116</v>
      </c>
      <c r="B120" s="59" t="inlineStr">
        <is>
          <t>input/ITB-O-001_ログイン認証.xlsx</t>
        </is>
      </c>
      <c r="C120" s="59" t="inlineStr">
        <is>
          <t>ITB-003_パスワード変更</t>
        </is>
      </c>
      <c r="D120" s="57" t="inlineStr">
        <is>
          <t>オンライン</t>
        </is>
      </c>
      <c r="E120" s="57" t="inlineStr">
        <is>
          <t>ITB-003_パスワード変更-012</t>
        </is>
      </c>
      <c r="F120" s="109" t="n">
        <v>46132</v>
      </c>
      <c r="G120" s="57" t="inlineStr"/>
      <c r="H120" s="57">
        <f>IF(G120&lt;&gt;"","完了",IF(F120="","－",IF(F120&lt;=$L$2,"遅延","予定")))</f>
        <v/>
      </c>
      <c r="I120" s="109" t="n">
        <v>46133</v>
      </c>
      <c r="J120" s="57" t="inlineStr"/>
      <c r="K120" s="57">
        <f>IF(J120&lt;&gt;"","完了",IF(I120="","－",IF(I120&lt;=$L$2,"遅延","予定")))</f>
        <v/>
      </c>
      <c r="L120" s="57">
        <f>IF(AND(H120="完了",K120="完了"),"完了",IF(OR(H120="遅延",K120="遅延"),"遅延","進行中"))</f>
        <v/>
      </c>
    </row>
    <row r="121">
      <c r="A121" s="57" t="n">
        <v>117</v>
      </c>
      <c r="B121" s="59" t="inlineStr">
        <is>
          <t>input/ITB-O-001_ログイン認証.xlsx</t>
        </is>
      </c>
      <c r="C121" s="59" t="inlineStr">
        <is>
          <t>ITB-003_パスワード変更</t>
        </is>
      </c>
      <c r="D121" s="57" t="inlineStr">
        <is>
          <t>オンライン</t>
        </is>
      </c>
      <c r="E121" s="57" t="inlineStr">
        <is>
          <t>ITB-003_パスワード変更-013</t>
        </is>
      </c>
      <c r="F121" s="109" t="n">
        <v>46151</v>
      </c>
      <c r="G121" s="57" t="inlineStr"/>
      <c r="H121" s="57">
        <f>IF(G121&lt;&gt;"","完了",IF(F121="","－",IF(F121&lt;=$L$2,"遅延","予定")))</f>
        <v/>
      </c>
      <c r="I121" s="109" t="n">
        <v>46153</v>
      </c>
      <c r="J121" s="57" t="inlineStr"/>
      <c r="K121" s="57">
        <f>IF(J121&lt;&gt;"","完了",IF(I121="","－",IF(I121&lt;=$L$2,"遅延","予定")))</f>
        <v/>
      </c>
      <c r="L121" s="57">
        <f>IF(AND(H121="完了",K121="完了"),"完了",IF(OR(H121="遅延",K121="遅延"),"遅延","進行中"))</f>
        <v/>
      </c>
    </row>
    <row r="122">
      <c r="A122" s="57" t="n">
        <v>118</v>
      </c>
      <c r="B122" s="59" t="inlineStr">
        <is>
          <t>input/ITB-O-001_ログイン認証.xlsx</t>
        </is>
      </c>
      <c r="C122" s="59" t="inlineStr">
        <is>
          <t>ITB-003_パスワード変更</t>
        </is>
      </c>
      <c r="D122" s="57" t="inlineStr">
        <is>
          <t>オンライン</t>
        </is>
      </c>
      <c r="E122" s="57" t="inlineStr">
        <is>
          <t>ITB-003_パスワード変更-014</t>
        </is>
      </c>
      <c r="F122" s="109" t="n">
        <v>46156</v>
      </c>
      <c r="G122" s="57" t="inlineStr"/>
      <c r="H122" s="57">
        <f>IF(G122&lt;&gt;"","完了",IF(F122="","－",IF(F122&lt;=$L$2,"遅延","予定")))</f>
        <v/>
      </c>
      <c r="I122" s="109" t="n">
        <v>46160</v>
      </c>
      <c r="J122" s="57" t="inlineStr"/>
      <c r="K122" s="57">
        <f>IF(J122&lt;&gt;"","完了",IF(I122="","－",IF(I122&lt;=$L$2,"遅延","予定")))</f>
        <v/>
      </c>
      <c r="L122" s="57">
        <f>IF(AND(H122="完了",K122="完了"),"完了",IF(OR(H122="遅延",K122="遅延"),"遅延","進行中"))</f>
        <v/>
      </c>
    </row>
    <row r="123">
      <c r="A123" s="57" t="n">
        <v>119</v>
      </c>
      <c r="B123" s="59" t="inlineStr">
        <is>
          <t>input/ITB-O-001_ログイン認証.xlsx</t>
        </is>
      </c>
      <c r="C123" s="59" t="inlineStr">
        <is>
          <t>ITB-003_パスワード変更</t>
        </is>
      </c>
      <c r="D123" s="57" t="inlineStr">
        <is>
          <t>オンライン</t>
        </is>
      </c>
      <c r="E123" s="57" t="inlineStr">
        <is>
          <t>ITB-003_パスワード変更-015</t>
        </is>
      </c>
      <c r="F123" s="109" t="n">
        <v>46177</v>
      </c>
      <c r="G123" s="57" t="inlineStr"/>
      <c r="H123" s="57">
        <f>IF(G123&lt;&gt;"","完了",IF(F123="","－",IF(F123&lt;=$L$2,"遅延","予定")))</f>
        <v/>
      </c>
      <c r="I123" s="109" t="n">
        <v>46181</v>
      </c>
      <c r="J123" s="57" t="inlineStr"/>
      <c r="K123" s="57">
        <f>IF(J123&lt;&gt;"","完了",IF(I123="","－",IF(I123&lt;=$L$2,"遅延","予定")))</f>
        <v/>
      </c>
      <c r="L123" s="57">
        <f>IF(AND(H123="完了",K123="完了"),"完了",IF(OR(H123="遅延",K123="遅延"),"遅延","進行中"))</f>
        <v/>
      </c>
    </row>
    <row r="124">
      <c r="A124" s="57" t="n">
        <v>120</v>
      </c>
      <c r="B124" s="59" t="inlineStr">
        <is>
          <t>input/ITB-O-002_ユーザー管理.xlsx</t>
        </is>
      </c>
      <c r="C124" s="59" t="inlineStr">
        <is>
          <t>ITB-001_ユーザー登録</t>
        </is>
      </c>
      <c r="D124" s="57" t="inlineStr">
        <is>
          <t>オンライン</t>
        </is>
      </c>
      <c r="E124" s="57" t="inlineStr">
        <is>
          <t>ITB-001_ユーザー登録-001</t>
        </is>
      </c>
      <c r="F124" s="109" t="n">
        <v>46008</v>
      </c>
      <c r="G124" s="109" t="n">
        <v>46010</v>
      </c>
      <c r="H124" s="57">
        <f>IF(G124&lt;&gt;"","完了",IF(F124="","－",IF(F124&lt;=$L$2,"遅延","予定")))</f>
        <v/>
      </c>
      <c r="I124" s="109" t="n">
        <v>46010</v>
      </c>
      <c r="J124" s="109" t="n">
        <v>46012</v>
      </c>
      <c r="K124" s="57">
        <f>IF(J124&lt;&gt;"","完了",IF(I124="","－",IF(I124&lt;=$L$2,"遅延","予定")))</f>
        <v/>
      </c>
      <c r="L124" s="57">
        <f>IF(AND(H124="完了",K124="完了"),"完了",IF(OR(H124="遅延",K124="遅延"),"遅延","進行中"))</f>
        <v/>
      </c>
    </row>
    <row r="125">
      <c r="A125" s="57" t="n">
        <v>121</v>
      </c>
      <c r="B125" s="59" t="inlineStr">
        <is>
          <t>input/ITB-O-002_ユーザー管理.xlsx</t>
        </is>
      </c>
      <c r="C125" s="59" t="inlineStr">
        <is>
          <t>ITB-001_ユーザー登録</t>
        </is>
      </c>
      <c r="D125" s="57" t="inlineStr">
        <is>
          <t>オンライン</t>
        </is>
      </c>
      <c r="E125" s="57" t="inlineStr">
        <is>
          <t>ITB-001_ユーザー登録-002</t>
        </is>
      </c>
      <c r="F125" s="109" t="n">
        <v>46018</v>
      </c>
      <c r="G125" s="57" t="inlineStr"/>
      <c r="H125" s="57">
        <f>IF(G125&lt;&gt;"","完了",IF(F125="","－",IF(F125&lt;=$L$2,"遅延","予定")))</f>
        <v/>
      </c>
      <c r="I125" s="109" t="n">
        <v>46019</v>
      </c>
      <c r="J125" s="57" t="inlineStr"/>
      <c r="K125" s="57">
        <f>IF(J125&lt;&gt;"","完了",IF(I125="","－",IF(I125&lt;=$L$2,"遅延","予定")))</f>
        <v/>
      </c>
      <c r="L125" s="57">
        <f>IF(AND(H125="完了",K125="完了"),"完了",IF(OR(H125="遅延",K125="遅延"),"遅延","進行中"))</f>
        <v/>
      </c>
    </row>
    <row r="126">
      <c r="A126" s="57" t="n">
        <v>122</v>
      </c>
      <c r="B126" s="59" t="inlineStr">
        <is>
          <t>input/ITB-O-002_ユーザー管理.xlsx</t>
        </is>
      </c>
      <c r="C126" s="59" t="inlineStr">
        <is>
          <t>ITB-001_ユーザー登録</t>
        </is>
      </c>
      <c r="D126" s="57" t="inlineStr">
        <is>
          <t>オンライン</t>
        </is>
      </c>
      <c r="E126" s="57" t="inlineStr">
        <is>
          <t>ITB-001_ユーザー登録-003</t>
        </is>
      </c>
      <c r="F126" s="109" t="n">
        <v>46042</v>
      </c>
      <c r="G126" s="109" t="n">
        <v>46044</v>
      </c>
      <c r="H126" s="57">
        <f>IF(G126&lt;&gt;"","完了",IF(F126="","－",IF(F126&lt;=$L$2,"遅延","予定")))</f>
        <v/>
      </c>
      <c r="I126" s="109" t="n">
        <v>46045</v>
      </c>
      <c r="J126" s="109" t="n">
        <v>46045</v>
      </c>
      <c r="K126" s="57">
        <f>IF(J126&lt;&gt;"","完了",IF(I126="","－",IF(I126&lt;=$L$2,"遅延","予定")))</f>
        <v/>
      </c>
      <c r="L126" s="57">
        <f>IF(AND(H126="完了",K126="完了"),"完了",IF(OR(H126="遅延",K126="遅延"),"遅延","進行中"))</f>
        <v/>
      </c>
    </row>
    <row r="127">
      <c r="A127" s="57" t="n">
        <v>123</v>
      </c>
      <c r="B127" s="59" t="inlineStr">
        <is>
          <t>input/ITB-O-002_ユーザー管理.xlsx</t>
        </is>
      </c>
      <c r="C127" s="59" t="inlineStr">
        <is>
          <t>ITB-001_ユーザー登録</t>
        </is>
      </c>
      <c r="D127" s="57" t="inlineStr">
        <is>
          <t>オンライン</t>
        </is>
      </c>
      <c r="E127" s="57" t="inlineStr">
        <is>
          <t>ITB-001_ユーザー登録-004</t>
        </is>
      </c>
      <c r="F127" s="109" t="n">
        <v>46047</v>
      </c>
      <c r="G127" s="109" t="n">
        <v>46050</v>
      </c>
      <c r="H127" s="57">
        <f>IF(G127&lt;&gt;"","完了",IF(F127="","－",IF(F127&lt;=$L$2,"遅延","予定")))</f>
        <v/>
      </c>
      <c r="I127" s="109" t="n">
        <v>46052</v>
      </c>
      <c r="J127" s="109" t="n">
        <v>46052</v>
      </c>
      <c r="K127" s="57">
        <f>IF(J127&lt;&gt;"","完了",IF(I127="","－",IF(I127&lt;=$L$2,"遅延","予定")))</f>
        <v/>
      </c>
      <c r="L127" s="57">
        <f>IF(AND(H127="完了",K127="完了"),"完了",IF(OR(H127="遅延",K127="遅延"),"遅延","進行中"))</f>
        <v/>
      </c>
    </row>
    <row r="128">
      <c r="A128" s="57" t="n">
        <v>124</v>
      </c>
      <c r="B128" s="59" t="inlineStr">
        <is>
          <t>input/ITB-O-002_ユーザー管理.xlsx</t>
        </is>
      </c>
      <c r="C128" s="59" t="inlineStr">
        <is>
          <t>ITB-001_ユーザー登録</t>
        </is>
      </c>
      <c r="D128" s="57" t="inlineStr">
        <is>
          <t>オンライン</t>
        </is>
      </c>
      <c r="E128" s="57" t="inlineStr">
        <is>
          <t>ITB-001_ユーザー登録-005</t>
        </is>
      </c>
      <c r="F128" s="109" t="n">
        <v>46065</v>
      </c>
      <c r="G128" s="109" t="n">
        <v>46065</v>
      </c>
      <c r="H128" s="57">
        <f>IF(G128&lt;&gt;"","完了",IF(F128="","－",IF(F128&lt;=$L$2,"遅延","予定")))</f>
        <v/>
      </c>
      <c r="I128" s="109" t="n">
        <v>46067</v>
      </c>
      <c r="J128" s="109" t="n">
        <v>46068</v>
      </c>
      <c r="K128" s="57">
        <f>IF(J128&lt;&gt;"","完了",IF(I128="","－",IF(I128&lt;=$L$2,"遅延","予定")))</f>
        <v/>
      </c>
      <c r="L128" s="57">
        <f>IF(AND(H128="完了",K128="完了"),"完了",IF(OR(H128="遅延",K128="遅延"),"遅延","進行中"))</f>
        <v/>
      </c>
    </row>
    <row r="129">
      <c r="A129" s="57" t="n">
        <v>125</v>
      </c>
      <c r="B129" s="59" t="inlineStr">
        <is>
          <t>input/ITB-O-002_ユーザー管理.xlsx</t>
        </is>
      </c>
      <c r="C129" s="59" t="inlineStr">
        <is>
          <t>ITB-001_ユーザー登録</t>
        </is>
      </c>
      <c r="D129" s="57" t="inlineStr">
        <is>
          <t>オンライン</t>
        </is>
      </c>
      <c r="E129" s="57" t="inlineStr">
        <is>
          <t>ITB-001_ユーザー登録-006</t>
        </is>
      </c>
      <c r="F129" s="109" t="n">
        <v>46078</v>
      </c>
      <c r="G129" s="109" t="n">
        <v>46077</v>
      </c>
      <c r="H129" s="57">
        <f>IF(G129&lt;&gt;"","完了",IF(F129="","－",IF(F129&lt;=$L$2,"遅延","予定")))</f>
        <v/>
      </c>
      <c r="I129" s="109" t="n">
        <v>46082</v>
      </c>
      <c r="J129" s="109" t="n">
        <v>46083</v>
      </c>
      <c r="K129" s="57">
        <f>IF(J129&lt;&gt;"","完了",IF(I129="","－",IF(I129&lt;=$L$2,"遅延","予定")))</f>
        <v/>
      </c>
      <c r="L129" s="57">
        <f>IF(AND(H129="完了",K129="完了"),"完了",IF(OR(H129="遅延",K129="遅延"),"遅延","進行中"))</f>
        <v/>
      </c>
    </row>
    <row r="130">
      <c r="A130" s="57" t="n">
        <v>126</v>
      </c>
      <c r="B130" s="59" t="inlineStr">
        <is>
          <t>input/ITB-O-002_ユーザー管理.xlsx</t>
        </is>
      </c>
      <c r="C130" s="59" t="inlineStr">
        <is>
          <t>ITB-001_ユーザー登録</t>
        </is>
      </c>
      <c r="D130" s="57" t="inlineStr">
        <is>
          <t>オンライン</t>
        </is>
      </c>
      <c r="E130" s="57" t="inlineStr">
        <is>
          <t>ITB-001_ユーザー登録-007</t>
        </is>
      </c>
      <c r="F130" s="109" t="n">
        <v>46097</v>
      </c>
      <c r="G130" s="57" t="inlineStr"/>
      <c r="H130" s="57">
        <f>IF(G130&lt;&gt;"","完了",IF(F130="","－",IF(F130&lt;=$L$2,"遅延","予定")))</f>
        <v/>
      </c>
      <c r="I130" s="109" t="n">
        <v>46101</v>
      </c>
      <c r="J130" s="57" t="inlineStr"/>
      <c r="K130" s="57">
        <f>IF(J130&lt;&gt;"","完了",IF(I130="","－",IF(I130&lt;=$L$2,"遅延","予定")))</f>
        <v/>
      </c>
      <c r="L130" s="57">
        <f>IF(AND(H130="完了",K130="完了"),"完了",IF(OR(H130="遅延",K130="遅延"),"遅延","進行中"))</f>
        <v/>
      </c>
    </row>
    <row r="131">
      <c r="A131" s="57" t="n">
        <v>127</v>
      </c>
      <c r="B131" s="59" t="inlineStr">
        <is>
          <t>input/ITB-O-002_ユーザー管理.xlsx</t>
        </is>
      </c>
      <c r="C131" s="59" t="inlineStr">
        <is>
          <t>ITB-001_ユーザー登録</t>
        </is>
      </c>
      <c r="D131" s="57" t="inlineStr">
        <is>
          <t>オンライン</t>
        </is>
      </c>
      <c r="E131" s="57" t="inlineStr">
        <is>
          <t>ITB-001_ユーザー登録-008</t>
        </is>
      </c>
      <c r="F131" s="109" t="n">
        <v>46116</v>
      </c>
      <c r="G131" s="57" t="inlineStr"/>
      <c r="H131" s="57">
        <f>IF(G131&lt;&gt;"","完了",IF(F131="","－",IF(F131&lt;=$L$2,"遅延","予定")))</f>
        <v/>
      </c>
      <c r="I131" s="109" t="n">
        <v>46119</v>
      </c>
      <c r="J131" s="57" t="inlineStr"/>
      <c r="K131" s="57">
        <f>IF(J131&lt;&gt;"","完了",IF(I131="","－",IF(I131&lt;=$L$2,"遅延","予定")))</f>
        <v/>
      </c>
      <c r="L131" s="57">
        <f>IF(AND(H131="完了",K131="完了"),"完了",IF(OR(H131="遅延",K131="遅延"),"遅延","進行中"))</f>
        <v/>
      </c>
    </row>
    <row r="132">
      <c r="A132" s="57" t="n">
        <v>128</v>
      </c>
      <c r="B132" s="59" t="inlineStr">
        <is>
          <t>input/ITB-O-002_ユーザー管理.xlsx</t>
        </is>
      </c>
      <c r="C132" s="59" t="inlineStr">
        <is>
          <t>ITB-001_ユーザー登録</t>
        </is>
      </c>
      <c r="D132" s="57" t="inlineStr">
        <is>
          <t>オンライン</t>
        </is>
      </c>
      <c r="E132" s="57" t="inlineStr">
        <is>
          <t>ITB-001_ユーザー登録-009</t>
        </is>
      </c>
      <c r="F132" s="109" t="n">
        <v>46123</v>
      </c>
      <c r="G132" s="57" t="inlineStr"/>
      <c r="H132" s="57">
        <f>IF(G132&lt;&gt;"","完了",IF(F132="","－",IF(F132&lt;=$L$2,"遅延","予定")))</f>
        <v/>
      </c>
      <c r="I132" s="109" t="n">
        <v>46128</v>
      </c>
      <c r="J132" s="57" t="inlineStr"/>
      <c r="K132" s="57">
        <f>IF(J132&lt;&gt;"","完了",IF(I132="","－",IF(I132&lt;=$L$2,"遅延","予定")))</f>
        <v/>
      </c>
      <c r="L132" s="57">
        <f>IF(AND(H132="完了",K132="完了"),"完了",IF(OR(H132="遅延",K132="遅延"),"遅延","進行中"))</f>
        <v/>
      </c>
    </row>
    <row r="133">
      <c r="A133" s="57" t="n">
        <v>129</v>
      </c>
      <c r="B133" s="59" t="inlineStr">
        <is>
          <t>input/ITB-O-002_ユーザー管理.xlsx</t>
        </is>
      </c>
      <c r="C133" s="59" t="inlineStr">
        <is>
          <t>ITB-001_ユーザー登録</t>
        </is>
      </c>
      <c r="D133" s="57" t="inlineStr">
        <is>
          <t>オンライン</t>
        </is>
      </c>
      <c r="E133" s="57" t="inlineStr">
        <is>
          <t>ITB-001_ユーザー登録-010</t>
        </is>
      </c>
      <c r="F133" s="109" t="n">
        <v>46142</v>
      </c>
      <c r="G133" s="57" t="inlineStr"/>
      <c r="H133" s="57">
        <f>IF(G133&lt;&gt;"","完了",IF(F133="","－",IF(F133&lt;=$L$2,"遅延","予定")))</f>
        <v/>
      </c>
      <c r="I133" s="109" t="n">
        <v>46144</v>
      </c>
      <c r="J133" s="57" t="inlineStr"/>
      <c r="K133" s="57">
        <f>IF(J133&lt;&gt;"","完了",IF(I133="","－",IF(I133&lt;=$L$2,"遅延","予定")))</f>
        <v/>
      </c>
      <c r="L133" s="57">
        <f>IF(AND(H133="完了",K133="完了"),"完了",IF(OR(H133="遅延",K133="遅延"),"遅延","進行中"))</f>
        <v/>
      </c>
    </row>
    <row r="134">
      <c r="A134" s="57" t="n">
        <v>130</v>
      </c>
      <c r="B134" s="59" t="inlineStr">
        <is>
          <t>input/ITB-O-002_ユーザー管理.xlsx</t>
        </is>
      </c>
      <c r="C134" s="59" t="inlineStr">
        <is>
          <t>ITB-001_ユーザー登録</t>
        </is>
      </c>
      <c r="D134" s="57" t="inlineStr">
        <is>
          <t>オンライン</t>
        </is>
      </c>
      <c r="E134" s="57" t="inlineStr">
        <is>
          <t>ITB-001_ユーザー登録-011</t>
        </is>
      </c>
      <c r="F134" s="109" t="n">
        <v>46153</v>
      </c>
      <c r="G134" s="57" t="inlineStr"/>
      <c r="H134" s="57">
        <f>IF(G134&lt;&gt;"","完了",IF(F134="","－",IF(F134&lt;=$L$2,"遅延","予定")))</f>
        <v/>
      </c>
      <c r="I134" s="109" t="n">
        <v>46156</v>
      </c>
      <c r="J134" s="57" t="inlineStr"/>
      <c r="K134" s="57">
        <f>IF(J134&lt;&gt;"","完了",IF(I134="","－",IF(I134&lt;=$L$2,"遅延","予定")))</f>
        <v/>
      </c>
      <c r="L134" s="57">
        <f>IF(AND(H134="完了",K134="完了"),"完了",IF(OR(H134="遅延",K134="遅延"),"遅延","進行中"))</f>
        <v/>
      </c>
    </row>
    <row r="135">
      <c r="A135" s="57" t="n">
        <v>131</v>
      </c>
      <c r="B135" s="59" t="inlineStr">
        <is>
          <t>input/ITB-O-002_ユーザー管理.xlsx</t>
        </is>
      </c>
      <c r="C135" s="59" t="inlineStr">
        <is>
          <t>ITB-001_ユーザー登録</t>
        </is>
      </c>
      <c r="D135" s="57" t="inlineStr">
        <is>
          <t>オンライン</t>
        </is>
      </c>
      <c r="E135" s="57" t="inlineStr">
        <is>
          <t>ITB-001_ユーザー登録-012</t>
        </is>
      </c>
      <c r="F135" s="109" t="n">
        <v>46175</v>
      </c>
      <c r="G135" s="57" t="inlineStr"/>
      <c r="H135" s="57">
        <f>IF(G135&lt;&gt;"","完了",IF(F135="","－",IF(F135&lt;=$L$2,"遅延","予定")))</f>
        <v/>
      </c>
      <c r="I135" s="109" t="n">
        <v>46178</v>
      </c>
      <c r="J135" s="57" t="inlineStr"/>
      <c r="K135" s="57">
        <f>IF(J135&lt;&gt;"","完了",IF(I135="","－",IF(I135&lt;=$L$2,"遅延","予定")))</f>
        <v/>
      </c>
      <c r="L135" s="57">
        <f>IF(AND(H135="完了",K135="完了"),"完了",IF(OR(H135="遅延",K135="遅延"),"遅延","進行中"))</f>
        <v/>
      </c>
    </row>
    <row r="136">
      <c r="A136" s="57" t="n">
        <v>132</v>
      </c>
      <c r="B136" s="59" t="inlineStr">
        <is>
          <t>input/ITB-O-002_ユーザー管理.xlsx</t>
        </is>
      </c>
      <c r="C136" s="59" t="inlineStr">
        <is>
          <t>ITB-002_ユーザー編集</t>
        </is>
      </c>
      <c r="D136" s="57" t="inlineStr">
        <is>
          <t>オンライン</t>
        </is>
      </c>
      <c r="E136" s="57" t="inlineStr">
        <is>
          <t>ITB-002_ユーザー編集-001</t>
        </is>
      </c>
      <c r="F136" s="109" t="n">
        <v>46004</v>
      </c>
      <c r="G136" s="57" t="inlineStr"/>
      <c r="H136" s="57">
        <f>IF(G136&lt;&gt;"","完了",IF(F136="","－",IF(F136&lt;=$L$2,"遅延","予定")))</f>
        <v/>
      </c>
      <c r="I136" s="109" t="n">
        <v>46008</v>
      </c>
      <c r="J136" s="57" t="inlineStr"/>
      <c r="K136" s="57">
        <f>IF(J136&lt;&gt;"","完了",IF(I136="","－",IF(I136&lt;=$L$2,"遅延","予定")))</f>
        <v/>
      </c>
      <c r="L136" s="57">
        <f>IF(AND(H136="完了",K136="完了"),"完了",IF(OR(H136="遅延",K136="遅延"),"遅延","進行中"))</f>
        <v/>
      </c>
    </row>
    <row r="137">
      <c r="A137" s="57" t="n">
        <v>133</v>
      </c>
      <c r="B137" s="59" t="inlineStr">
        <is>
          <t>input/ITB-O-002_ユーザー管理.xlsx</t>
        </is>
      </c>
      <c r="C137" s="59" t="inlineStr">
        <is>
          <t>ITB-002_ユーザー編集</t>
        </is>
      </c>
      <c r="D137" s="57" t="inlineStr">
        <is>
          <t>オンライン</t>
        </is>
      </c>
      <c r="E137" s="57" t="inlineStr">
        <is>
          <t>ITB-002_ユーザー編集-002</t>
        </is>
      </c>
      <c r="F137" s="109" t="n">
        <v>46027</v>
      </c>
      <c r="G137" s="109" t="n">
        <v>46025</v>
      </c>
      <c r="H137" s="57">
        <f>IF(G137&lt;&gt;"","完了",IF(F137="","－",IF(F137&lt;=$L$2,"遅延","予定")))</f>
        <v/>
      </c>
      <c r="I137" s="109" t="n">
        <v>46030</v>
      </c>
      <c r="J137" s="109" t="n">
        <v>46032</v>
      </c>
      <c r="K137" s="57">
        <f>IF(J137&lt;&gt;"","完了",IF(I137="","－",IF(I137&lt;=$L$2,"遅延","予定")))</f>
        <v/>
      </c>
      <c r="L137" s="57">
        <f>IF(AND(H137="完了",K137="完了"),"完了",IF(OR(H137="遅延",K137="遅延"),"遅延","進行中"))</f>
        <v/>
      </c>
    </row>
    <row r="138">
      <c r="A138" s="57" t="n">
        <v>134</v>
      </c>
      <c r="B138" s="59" t="inlineStr">
        <is>
          <t>input/ITB-O-002_ユーザー管理.xlsx</t>
        </is>
      </c>
      <c r="C138" s="59" t="inlineStr">
        <is>
          <t>ITB-002_ユーザー編集</t>
        </is>
      </c>
      <c r="D138" s="57" t="inlineStr">
        <is>
          <t>オンライン</t>
        </is>
      </c>
      <c r="E138" s="57" t="inlineStr">
        <is>
          <t>ITB-002_ユーザー編集-003</t>
        </is>
      </c>
      <c r="F138" s="109" t="n">
        <v>46036</v>
      </c>
      <c r="G138" s="109" t="n">
        <v>46039</v>
      </c>
      <c r="H138" s="57">
        <f>IF(G138&lt;&gt;"","完了",IF(F138="","－",IF(F138&lt;=$L$2,"遅延","予定")))</f>
        <v/>
      </c>
      <c r="I138" s="109" t="n">
        <v>46037</v>
      </c>
      <c r="J138" s="109" t="n">
        <v>46037</v>
      </c>
      <c r="K138" s="57">
        <f>IF(J138&lt;&gt;"","完了",IF(I138="","－",IF(I138&lt;=$L$2,"遅延","予定")))</f>
        <v/>
      </c>
      <c r="L138" s="57">
        <f>IF(AND(H138="完了",K138="完了"),"完了",IF(OR(H138="遅延",K138="遅延"),"遅延","進行中"))</f>
        <v/>
      </c>
    </row>
    <row r="139">
      <c r="A139" s="57" t="n">
        <v>135</v>
      </c>
      <c r="B139" s="59" t="inlineStr">
        <is>
          <t>input/ITB-O-002_ユーザー管理.xlsx</t>
        </is>
      </c>
      <c r="C139" s="59" t="inlineStr">
        <is>
          <t>ITB-002_ユーザー編集</t>
        </is>
      </c>
      <c r="D139" s="57" t="inlineStr">
        <is>
          <t>オンライン</t>
        </is>
      </c>
      <c r="E139" s="57" t="inlineStr">
        <is>
          <t>ITB-002_ユーザー編集-004</t>
        </is>
      </c>
      <c r="F139" s="109" t="n">
        <v>46052</v>
      </c>
      <c r="G139" s="109" t="n">
        <v>46053</v>
      </c>
      <c r="H139" s="57">
        <f>IF(G139&lt;&gt;"","完了",IF(F139="","－",IF(F139&lt;=$L$2,"遅延","予定")))</f>
        <v/>
      </c>
      <c r="I139" s="109" t="n">
        <v>46055</v>
      </c>
      <c r="J139" s="109" t="n">
        <v>46057</v>
      </c>
      <c r="K139" s="57">
        <f>IF(J139&lt;&gt;"","完了",IF(I139="","－",IF(I139&lt;=$L$2,"遅延","予定")))</f>
        <v/>
      </c>
      <c r="L139" s="57">
        <f>IF(AND(H139="完了",K139="完了"),"完了",IF(OR(H139="遅延",K139="遅延"),"遅延","進行中"))</f>
        <v/>
      </c>
    </row>
    <row r="140">
      <c r="A140" s="57" t="n">
        <v>136</v>
      </c>
      <c r="B140" s="59" t="inlineStr">
        <is>
          <t>input/ITB-O-002_ユーザー管理.xlsx</t>
        </is>
      </c>
      <c r="C140" s="59" t="inlineStr">
        <is>
          <t>ITB-002_ユーザー編集</t>
        </is>
      </c>
      <c r="D140" s="57" t="inlineStr">
        <is>
          <t>オンライン</t>
        </is>
      </c>
      <c r="E140" s="57" t="inlineStr">
        <is>
          <t>ITB-002_ユーザー編集-005</t>
        </is>
      </c>
      <c r="F140" s="109" t="n">
        <v>46067</v>
      </c>
      <c r="G140" s="109" t="n">
        <v>46065</v>
      </c>
      <c r="H140" s="57">
        <f>IF(G140&lt;&gt;"","完了",IF(F140="","－",IF(F140&lt;=$L$2,"遅延","予定")))</f>
        <v/>
      </c>
      <c r="I140" s="109" t="n">
        <v>46070</v>
      </c>
      <c r="J140" s="109" t="n">
        <v>46071</v>
      </c>
      <c r="K140" s="57">
        <f>IF(J140&lt;&gt;"","完了",IF(I140="","－",IF(I140&lt;=$L$2,"遅延","予定")))</f>
        <v/>
      </c>
      <c r="L140" s="57">
        <f>IF(AND(H140="完了",K140="完了"),"完了",IF(OR(H140="遅延",K140="遅延"),"遅延","進行中"))</f>
        <v/>
      </c>
    </row>
    <row r="141">
      <c r="A141" s="57" t="n">
        <v>137</v>
      </c>
      <c r="B141" s="59" t="inlineStr">
        <is>
          <t>input/ITB-O-002_ユーザー管理.xlsx</t>
        </is>
      </c>
      <c r="C141" s="59" t="inlineStr">
        <is>
          <t>ITB-002_ユーザー編集</t>
        </is>
      </c>
      <c r="D141" s="57" t="inlineStr">
        <is>
          <t>オンライン</t>
        </is>
      </c>
      <c r="E141" s="57" t="inlineStr">
        <is>
          <t>ITB-002_ユーザー編集-006</t>
        </is>
      </c>
      <c r="F141" s="109" t="n">
        <v>46077</v>
      </c>
      <c r="G141" s="109" t="n">
        <v>46079</v>
      </c>
      <c r="H141" s="57">
        <f>IF(G141&lt;&gt;"","完了",IF(F141="","－",IF(F141&lt;=$L$2,"遅延","予定")))</f>
        <v/>
      </c>
      <c r="I141" s="109" t="n">
        <v>46078</v>
      </c>
      <c r="J141" s="109" t="n">
        <v>46077</v>
      </c>
      <c r="K141" s="57">
        <f>IF(J141&lt;&gt;"","完了",IF(I141="","－",IF(I141&lt;=$L$2,"遅延","予定")))</f>
        <v/>
      </c>
      <c r="L141" s="57">
        <f>IF(AND(H141="完了",K141="完了"),"完了",IF(OR(H141="遅延",K141="遅延"),"遅延","進行中"))</f>
        <v/>
      </c>
    </row>
    <row r="142">
      <c r="A142" s="57" t="n">
        <v>138</v>
      </c>
      <c r="B142" s="59" t="inlineStr">
        <is>
          <t>input/ITB-O-002_ユーザー管理.xlsx</t>
        </is>
      </c>
      <c r="C142" s="59" t="inlineStr">
        <is>
          <t>ITB-002_ユーザー編集</t>
        </is>
      </c>
      <c r="D142" s="57" t="inlineStr">
        <is>
          <t>オンライン</t>
        </is>
      </c>
      <c r="E142" s="57" t="inlineStr">
        <is>
          <t>ITB-002_ユーザー編集-007</t>
        </is>
      </c>
      <c r="F142" s="109" t="n">
        <v>46096</v>
      </c>
      <c r="G142" s="57" t="inlineStr"/>
      <c r="H142" s="57">
        <f>IF(G142&lt;&gt;"","完了",IF(F142="","－",IF(F142&lt;=$L$2,"遅延","予定")))</f>
        <v/>
      </c>
      <c r="I142" s="109" t="n">
        <v>46101</v>
      </c>
      <c r="J142" s="57" t="inlineStr"/>
      <c r="K142" s="57">
        <f>IF(J142&lt;&gt;"","完了",IF(I142="","－",IF(I142&lt;=$L$2,"遅延","予定")))</f>
        <v/>
      </c>
      <c r="L142" s="57">
        <f>IF(AND(H142="完了",K142="完了"),"完了",IF(OR(H142="遅延",K142="遅延"),"遅延","進行中"))</f>
        <v/>
      </c>
    </row>
    <row r="143">
      <c r="A143" s="57" t="n">
        <v>139</v>
      </c>
      <c r="B143" s="59" t="inlineStr">
        <is>
          <t>input/ITB-O-002_ユーザー管理.xlsx</t>
        </is>
      </c>
      <c r="C143" s="59" t="inlineStr">
        <is>
          <t>ITB-002_ユーザー編集</t>
        </is>
      </c>
      <c r="D143" s="57" t="inlineStr">
        <is>
          <t>オンライン</t>
        </is>
      </c>
      <c r="E143" s="57" t="inlineStr">
        <is>
          <t>ITB-002_ユーザー編集-008</t>
        </is>
      </c>
      <c r="F143" s="109" t="n">
        <v>46115</v>
      </c>
      <c r="G143" s="57" t="inlineStr"/>
      <c r="H143" s="57">
        <f>IF(G143&lt;&gt;"","完了",IF(F143="","－",IF(F143&lt;=$L$2,"遅延","予定")))</f>
        <v/>
      </c>
      <c r="I143" s="109" t="n">
        <v>46118</v>
      </c>
      <c r="J143" s="57" t="inlineStr"/>
      <c r="K143" s="57">
        <f>IF(J143&lt;&gt;"","完了",IF(I143="","－",IF(I143&lt;=$L$2,"遅延","予定")))</f>
        <v/>
      </c>
      <c r="L143" s="57">
        <f>IF(AND(H143="完了",K143="完了"),"完了",IF(OR(H143="遅延",K143="遅延"),"遅延","進行中"))</f>
        <v/>
      </c>
    </row>
    <row r="144">
      <c r="A144" s="57" t="n">
        <v>140</v>
      </c>
      <c r="B144" s="59" t="inlineStr">
        <is>
          <t>input/ITB-O-002_ユーザー管理.xlsx</t>
        </is>
      </c>
      <c r="C144" s="59" t="inlineStr">
        <is>
          <t>ITB-002_ユーザー編集</t>
        </is>
      </c>
      <c r="D144" s="57" t="inlineStr">
        <is>
          <t>オンライン</t>
        </is>
      </c>
      <c r="E144" s="57" t="inlineStr">
        <is>
          <t>ITB-002_ユーザー編集-009</t>
        </is>
      </c>
      <c r="F144" s="109" t="n">
        <v>46127</v>
      </c>
      <c r="G144" s="57" t="inlineStr"/>
      <c r="H144" s="57">
        <f>IF(G144&lt;&gt;"","完了",IF(F144="","－",IF(F144&lt;=$L$2,"遅延","予定")))</f>
        <v/>
      </c>
      <c r="I144" s="109" t="n">
        <v>46131</v>
      </c>
      <c r="J144" s="57" t="inlineStr"/>
      <c r="K144" s="57">
        <f>IF(J144&lt;&gt;"","完了",IF(I144="","－",IF(I144&lt;=$L$2,"遅延","予定")))</f>
        <v/>
      </c>
      <c r="L144" s="57">
        <f>IF(AND(H144="完了",K144="完了"),"完了",IF(OR(H144="遅延",K144="遅延"),"遅延","進行中"))</f>
        <v/>
      </c>
    </row>
    <row r="145">
      <c r="A145" s="57" t="n">
        <v>141</v>
      </c>
      <c r="B145" s="59" t="inlineStr">
        <is>
          <t>input/ITB-O-002_ユーザー管理.xlsx</t>
        </is>
      </c>
      <c r="C145" s="59" t="inlineStr">
        <is>
          <t>ITB-002_ユーザー編集</t>
        </is>
      </c>
      <c r="D145" s="57" t="inlineStr">
        <is>
          <t>オンライン</t>
        </is>
      </c>
      <c r="E145" s="57" t="inlineStr">
        <is>
          <t>ITB-002_ユーザー編集-010</t>
        </is>
      </c>
      <c r="F145" s="109" t="n">
        <v>46140</v>
      </c>
      <c r="G145" s="57" t="inlineStr"/>
      <c r="H145" s="57">
        <f>IF(G145&lt;&gt;"","完了",IF(F145="","－",IF(F145&lt;=$L$2,"遅延","予定")))</f>
        <v/>
      </c>
      <c r="I145" s="109" t="n">
        <v>46144</v>
      </c>
      <c r="J145" s="57" t="inlineStr"/>
      <c r="K145" s="57">
        <f>IF(J145&lt;&gt;"","完了",IF(I145="","－",IF(I145&lt;=$L$2,"遅延","予定")))</f>
        <v/>
      </c>
      <c r="L145" s="57">
        <f>IF(AND(H145="完了",K145="完了"),"完了",IF(OR(H145="遅延",K145="遅延"),"遅延","進行中"))</f>
        <v/>
      </c>
    </row>
    <row r="146">
      <c r="A146" s="57" t="n">
        <v>142</v>
      </c>
      <c r="B146" s="59" t="inlineStr">
        <is>
          <t>input/ITB-O-002_ユーザー管理.xlsx</t>
        </is>
      </c>
      <c r="C146" s="59" t="inlineStr">
        <is>
          <t>ITB-002_ユーザー編集</t>
        </is>
      </c>
      <c r="D146" s="57" t="inlineStr">
        <is>
          <t>オンライン</t>
        </is>
      </c>
      <c r="E146" s="57" t="inlineStr">
        <is>
          <t>ITB-002_ユーザー編集-011</t>
        </is>
      </c>
      <c r="F146" s="109" t="n">
        <v>46152</v>
      </c>
      <c r="G146" s="57" t="inlineStr"/>
      <c r="H146" s="57">
        <f>IF(G146&lt;&gt;"","完了",IF(F146="","－",IF(F146&lt;=$L$2,"遅延","予定")))</f>
        <v/>
      </c>
      <c r="I146" s="109" t="n">
        <v>46155</v>
      </c>
      <c r="J146" s="57" t="inlineStr"/>
      <c r="K146" s="57">
        <f>IF(J146&lt;&gt;"","完了",IF(I146="","－",IF(I146&lt;=$L$2,"遅延","予定")))</f>
        <v/>
      </c>
      <c r="L146" s="57">
        <f>IF(AND(H146="完了",K146="完了"),"完了",IF(OR(H146="遅延",K146="遅延"),"遅延","進行中"))</f>
        <v/>
      </c>
    </row>
    <row r="147">
      <c r="A147" s="57" t="n">
        <v>143</v>
      </c>
      <c r="B147" s="59" t="inlineStr">
        <is>
          <t>input/ITB-O-002_ユーザー管理.xlsx</t>
        </is>
      </c>
      <c r="C147" s="59" t="inlineStr">
        <is>
          <t>ITB-002_ユーザー編集</t>
        </is>
      </c>
      <c r="D147" s="57" t="inlineStr">
        <is>
          <t>オンライン</t>
        </is>
      </c>
      <c r="E147" s="57" t="inlineStr">
        <is>
          <t>ITB-002_ユーザー編集-012</t>
        </is>
      </c>
      <c r="F147" s="109" t="n">
        <v>46168</v>
      </c>
      <c r="G147" s="57" t="inlineStr"/>
      <c r="H147" s="57">
        <f>IF(G147&lt;&gt;"","完了",IF(F147="","－",IF(F147&lt;=$L$2,"遅延","予定")))</f>
        <v/>
      </c>
      <c r="I147" s="109" t="n">
        <v>46170</v>
      </c>
      <c r="J147" s="57" t="inlineStr"/>
      <c r="K147" s="57">
        <f>IF(J147&lt;&gt;"","完了",IF(I147="","－",IF(I147&lt;=$L$2,"遅延","予定")))</f>
        <v/>
      </c>
      <c r="L147" s="57">
        <f>IF(AND(H147="完了",K147="完了"),"完了",IF(OR(H147="遅延",K147="遅延"),"遅延","進行中"))</f>
        <v/>
      </c>
    </row>
    <row r="148">
      <c r="A148" s="57" t="n">
        <v>144</v>
      </c>
      <c r="B148" s="59" t="inlineStr">
        <is>
          <t>input/ITB-O-002_ユーザー管理.xlsx</t>
        </is>
      </c>
      <c r="C148" s="59" t="inlineStr">
        <is>
          <t>ITB-003_ユーザー削除</t>
        </is>
      </c>
      <c r="D148" s="57" t="inlineStr">
        <is>
          <t>オンライン</t>
        </is>
      </c>
      <c r="E148" s="57" t="inlineStr">
        <is>
          <t>ITB-003_ユーザー削除-001</t>
        </is>
      </c>
      <c r="F148" s="109" t="n">
        <v>46010</v>
      </c>
      <c r="G148" s="57" t="inlineStr"/>
      <c r="H148" s="57">
        <f>IF(G148&lt;&gt;"","完了",IF(F148="","－",IF(F148&lt;=$L$2,"遅延","予定")))</f>
        <v/>
      </c>
      <c r="I148" s="109" t="n">
        <v>46015</v>
      </c>
      <c r="J148" s="57" t="inlineStr"/>
      <c r="K148" s="57">
        <f>IF(J148&lt;&gt;"","完了",IF(I148="","－",IF(I148&lt;=$L$2,"遅延","予定")))</f>
        <v/>
      </c>
      <c r="L148" s="57">
        <f>IF(AND(H148="完了",K148="完了"),"完了",IF(OR(H148="遅延",K148="遅延"),"遅延","進行中"))</f>
        <v/>
      </c>
    </row>
    <row r="149">
      <c r="A149" s="57" t="n">
        <v>145</v>
      </c>
      <c r="B149" s="59" t="inlineStr">
        <is>
          <t>input/ITB-O-002_ユーザー管理.xlsx</t>
        </is>
      </c>
      <c r="C149" s="59" t="inlineStr">
        <is>
          <t>ITB-003_ユーザー削除</t>
        </is>
      </c>
      <c r="D149" s="57" t="inlineStr">
        <is>
          <t>オンライン</t>
        </is>
      </c>
      <c r="E149" s="57" t="inlineStr">
        <is>
          <t>ITB-003_ユーザー削除-002</t>
        </is>
      </c>
      <c r="F149" s="109" t="n">
        <v>46021</v>
      </c>
      <c r="G149" s="109" t="n">
        <v>46021</v>
      </c>
      <c r="H149" s="57">
        <f>IF(G149&lt;&gt;"","完了",IF(F149="","－",IF(F149&lt;=$L$2,"遅延","予定")))</f>
        <v/>
      </c>
      <c r="I149" s="109" t="n">
        <v>46026</v>
      </c>
      <c r="J149" s="109" t="n">
        <v>46027</v>
      </c>
      <c r="K149" s="57">
        <f>IF(J149&lt;&gt;"","完了",IF(I149="","－",IF(I149&lt;=$L$2,"遅延","予定")))</f>
        <v/>
      </c>
      <c r="L149" s="57">
        <f>IF(AND(H149="完了",K149="完了"),"完了",IF(OR(H149="遅延",K149="遅延"),"遅延","進行中"))</f>
        <v/>
      </c>
    </row>
    <row r="150">
      <c r="A150" s="57" t="n">
        <v>146</v>
      </c>
      <c r="B150" s="59" t="inlineStr">
        <is>
          <t>input/ITB-O-002_ユーザー管理.xlsx</t>
        </is>
      </c>
      <c r="C150" s="59" t="inlineStr">
        <is>
          <t>ITB-003_ユーザー削除</t>
        </is>
      </c>
      <c r="D150" s="57" t="inlineStr">
        <is>
          <t>オンライン</t>
        </is>
      </c>
      <c r="E150" s="57" t="inlineStr">
        <is>
          <t>ITB-003_ユーザー削除-003</t>
        </is>
      </c>
      <c r="F150" s="109" t="n">
        <v>46032</v>
      </c>
      <c r="G150" s="109" t="n">
        <v>46030</v>
      </c>
      <c r="H150" s="57">
        <f>IF(G150&lt;&gt;"","完了",IF(F150="","－",IF(F150&lt;=$L$2,"遅延","予定")))</f>
        <v/>
      </c>
      <c r="I150" s="109" t="n">
        <v>46036</v>
      </c>
      <c r="J150" s="109" t="n">
        <v>46036</v>
      </c>
      <c r="K150" s="57">
        <f>IF(J150&lt;&gt;"","完了",IF(I150="","－",IF(I150&lt;=$L$2,"遅延","予定")))</f>
        <v/>
      </c>
      <c r="L150" s="57">
        <f>IF(AND(H150="完了",K150="完了"),"完了",IF(OR(H150="遅延",K150="遅延"),"遅延","進行中"))</f>
        <v/>
      </c>
    </row>
    <row r="151">
      <c r="A151" s="57" t="n">
        <v>147</v>
      </c>
      <c r="B151" s="59" t="inlineStr">
        <is>
          <t>input/ITB-O-002_ユーザー管理.xlsx</t>
        </is>
      </c>
      <c r="C151" s="59" t="inlineStr">
        <is>
          <t>ITB-003_ユーザー削除</t>
        </is>
      </c>
      <c r="D151" s="57" t="inlineStr">
        <is>
          <t>オンライン</t>
        </is>
      </c>
      <c r="E151" s="57" t="inlineStr">
        <is>
          <t>ITB-003_ユーザー削除-004</t>
        </is>
      </c>
      <c r="F151" s="109" t="n">
        <v>46050</v>
      </c>
      <c r="G151" s="109" t="n">
        <v>46048</v>
      </c>
      <c r="H151" s="57">
        <f>IF(G151&lt;&gt;"","完了",IF(F151="","－",IF(F151&lt;=$L$2,"遅延","予定")))</f>
        <v/>
      </c>
      <c r="I151" s="109" t="n">
        <v>46051</v>
      </c>
      <c r="J151" s="109" t="n">
        <v>46050</v>
      </c>
      <c r="K151" s="57">
        <f>IF(J151&lt;&gt;"","完了",IF(I151="","－",IF(I151&lt;=$L$2,"遅延","予定")))</f>
        <v/>
      </c>
      <c r="L151" s="57">
        <f>IF(AND(H151="完了",K151="完了"),"完了",IF(OR(H151="遅延",K151="遅延"),"遅延","進行中"))</f>
        <v/>
      </c>
    </row>
    <row r="152">
      <c r="A152" s="57" t="n">
        <v>148</v>
      </c>
      <c r="B152" s="59" t="inlineStr">
        <is>
          <t>input/ITB-O-002_ユーザー管理.xlsx</t>
        </is>
      </c>
      <c r="C152" s="59" t="inlineStr">
        <is>
          <t>ITB-003_ユーザー削除</t>
        </is>
      </c>
      <c r="D152" s="57" t="inlineStr">
        <is>
          <t>オンライン</t>
        </is>
      </c>
      <c r="E152" s="57" t="inlineStr">
        <is>
          <t>ITB-003_ユーザー削除-005</t>
        </is>
      </c>
      <c r="F152" s="109" t="n">
        <v>46066</v>
      </c>
      <c r="G152" s="57" t="inlineStr"/>
      <c r="H152" s="57">
        <f>IF(G152&lt;&gt;"","完了",IF(F152="","－",IF(F152&lt;=$L$2,"遅延","予定")))</f>
        <v/>
      </c>
      <c r="I152" s="109" t="n">
        <v>46067</v>
      </c>
      <c r="J152" s="57" t="inlineStr"/>
      <c r="K152" s="57">
        <f>IF(J152&lt;&gt;"","完了",IF(I152="","－",IF(I152&lt;=$L$2,"遅延","予定")))</f>
        <v/>
      </c>
      <c r="L152" s="57">
        <f>IF(AND(H152="完了",K152="完了"),"完了",IF(OR(H152="遅延",K152="遅延"),"遅延","進行中"))</f>
        <v/>
      </c>
    </row>
    <row r="153">
      <c r="A153" s="57" t="n">
        <v>149</v>
      </c>
      <c r="B153" s="59" t="inlineStr">
        <is>
          <t>input/ITB-O-002_ユーザー管理.xlsx</t>
        </is>
      </c>
      <c r="C153" s="59" t="inlineStr">
        <is>
          <t>ITB-003_ユーザー削除</t>
        </is>
      </c>
      <c r="D153" s="57" t="inlineStr">
        <is>
          <t>オンライン</t>
        </is>
      </c>
      <c r="E153" s="57" t="inlineStr">
        <is>
          <t>ITB-003_ユーザー削除-006</t>
        </is>
      </c>
      <c r="F153" s="109" t="n">
        <v>46087</v>
      </c>
      <c r="G153" s="57" t="inlineStr"/>
      <c r="H153" s="57">
        <f>IF(G153&lt;&gt;"","完了",IF(F153="","－",IF(F153&lt;=$L$2,"遅延","予定")))</f>
        <v/>
      </c>
      <c r="I153" s="109" t="n">
        <v>46090</v>
      </c>
      <c r="J153" s="57" t="inlineStr"/>
      <c r="K153" s="57">
        <f>IF(J153&lt;&gt;"","完了",IF(I153="","－",IF(I153&lt;=$L$2,"遅延","予定")))</f>
        <v/>
      </c>
      <c r="L153" s="57">
        <f>IF(AND(H153="完了",K153="完了"),"完了",IF(OR(H153="遅延",K153="遅延"),"遅延","進行中"))</f>
        <v/>
      </c>
    </row>
    <row r="154">
      <c r="A154" s="57" t="n">
        <v>150</v>
      </c>
      <c r="B154" s="59" t="inlineStr">
        <is>
          <t>input/ITB-O-002_ユーザー管理.xlsx</t>
        </is>
      </c>
      <c r="C154" s="59" t="inlineStr">
        <is>
          <t>ITB-003_ユーザー削除</t>
        </is>
      </c>
      <c r="D154" s="57" t="inlineStr">
        <is>
          <t>オンライン</t>
        </is>
      </c>
      <c r="E154" s="57" t="inlineStr">
        <is>
          <t>ITB-003_ユーザー削除-007</t>
        </is>
      </c>
      <c r="F154" s="109" t="n">
        <v>46102</v>
      </c>
      <c r="G154" s="57" t="inlineStr"/>
      <c r="H154" s="57">
        <f>IF(G154&lt;&gt;"","完了",IF(F154="","－",IF(F154&lt;=$L$2,"遅延","予定")))</f>
        <v/>
      </c>
      <c r="I154" s="109" t="n">
        <v>46106</v>
      </c>
      <c r="J154" s="57" t="inlineStr"/>
      <c r="K154" s="57">
        <f>IF(J154&lt;&gt;"","完了",IF(I154="","－",IF(I154&lt;=$L$2,"遅延","予定")))</f>
        <v/>
      </c>
      <c r="L154" s="57">
        <f>IF(AND(H154="完了",K154="完了"),"完了",IF(OR(H154="遅延",K154="遅延"),"遅延","進行中"))</f>
        <v/>
      </c>
    </row>
    <row r="155">
      <c r="A155" s="57" t="n">
        <v>151</v>
      </c>
      <c r="B155" s="59" t="inlineStr">
        <is>
          <t>input/ITB-O-002_ユーザー管理.xlsx</t>
        </is>
      </c>
      <c r="C155" s="59" t="inlineStr">
        <is>
          <t>ITB-003_ユーザー削除</t>
        </is>
      </c>
      <c r="D155" s="57" t="inlineStr">
        <is>
          <t>オンライン</t>
        </is>
      </c>
      <c r="E155" s="57" t="inlineStr">
        <is>
          <t>ITB-003_ユーザー削除-008</t>
        </is>
      </c>
      <c r="F155" s="109" t="n">
        <v>46108</v>
      </c>
      <c r="G155" s="57" t="inlineStr"/>
      <c r="H155" s="57">
        <f>IF(G155&lt;&gt;"","完了",IF(F155="","－",IF(F155&lt;=$L$2,"遅延","予定")))</f>
        <v/>
      </c>
      <c r="I155" s="109" t="n">
        <v>46109</v>
      </c>
      <c r="J155" s="57" t="inlineStr"/>
      <c r="K155" s="57">
        <f>IF(J155&lt;&gt;"","完了",IF(I155="","－",IF(I155&lt;=$L$2,"遅延","予定")))</f>
        <v/>
      </c>
      <c r="L155" s="57">
        <f>IF(AND(H155="完了",K155="完了"),"完了",IF(OR(H155="遅延",K155="遅延"),"遅延","進行中"))</f>
        <v/>
      </c>
    </row>
    <row r="156">
      <c r="A156" s="57" t="n">
        <v>152</v>
      </c>
      <c r="B156" s="59" t="inlineStr">
        <is>
          <t>input/ITB-O-002_ユーザー管理.xlsx</t>
        </is>
      </c>
      <c r="C156" s="59" t="inlineStr">
        <is>
          <t>ITB-003_ユーザー削除</t>
        </is>
      </c>
      <c r="D156" s="57" t="inlineStr">
        <is>
          <t>オンライン</t>
        </is>
      </c>
      <c r="E156" s="57" t="inlineStr">
        <is>
          <t>ITB-003_ユーザー削除-009</t>
        </is>
      </c>
      <c r="F156" s="109" t="n">
        <v>46126</v>
      </c>
      <c r="G156" s="57" t="inlineStr"/>
      <c r="H156" s="57">
        <f>IF(G156&lt;&gt;"","完了",IF(F156="","－",IF(F156&lt;=$L$2,"遅延","予定")))</f>
        <v/>
      </c>
      <c r="I156" s="109" t="n">
        <v>46128</v>
      </c>
      <c r="J156" s="57" t="inlineStr"/>
      <c r="K156" s="57">
        <f>IF(J156&lt;&gt;"","完了",IF(I156="","－",IF(I156&lt;=$L$2,"遅延","予定")))</f>
        <v/>
      </c>
      <c r="L156" s="57">
        <f>IF(AND(H156="完了",K156="完了"),"完了",IF(OR(H156="遅延",K156="遅延"),"遅延","進行中"))</f>
        <v/>
      </c>
    </row>
    <row r="157">
      <c r="A157" s="57" t="n">
        <v>153</v>
      </c>
      <c r="B157" s="59" t="inlineStr">
        <is>
          <t>input/ITB-O-002_ユーザー管理.xlsx</t>
        </is>
      </c>
      <c r="C157" s="59" t="inlineStr">
        <is>
          <t>ITB-003_ユーザー削除</t>
        </is>
      </c>
      <c r="D157" s="57" t="inlineStr">
        <is>
          <t>オンライン</t>
        </is>
      </c>
      <c r="E157" s="57" t="inlineStr">
        <is>
          <t>ITB-003_ユーザー削除-010</t>
        </is>
      </c>
      <c r="F157" s="109" t="n">
        <v>46143</v>
      </c>
      <c r="G157" s="57" t="inlineStr"/>
      <c r="H157" s="57">
        <f>IF(G157&lt;&gt;"","完了",IF(F157="","－",IF(F157&lt;=$L$2,"遅延","予定")))</f>
        <v/>
      </c>
      <c r="I157" s="109" t="n">
        <v>46146</v>
      </c>
      <c r="J157" s="57" t="inlineStr"/>
      <c r="K157" s="57">
        <f>IF(J157&lt;&gt;"","完了",IF(I157="","－",IF(I157&lt;=$L$2,"遅延","予定")))</f>
        <v/>
      </c>
      <c r="L157" s="57">
        <f>IF(AND(H157="完了",K157="完了"),"完了",IF(OR(H157="遅延",K157="遅延"),"遅延","進行中"))</f>
        <v/>
      </c>
    </row>
    <row r="158">
      <c r="A158" s="57" t="n">
        <v>154</v>
      </c>
      <c r="B158" s="59" t="inlineStr">
        <is>
          <t>input/ITB-O-002_ユーザー管理.xlsx</t>
        </is>
      </c>
      <c r="C158" s="59" t="inlineStr">
        <is>
          <t>ITB-003_ユーザー削除</t>
        </is>
      </c>
      <c r="D158" s="57" t="inlineStr">
        <is>
          <t>オンライン</t>
        </is>
      </c>
      <c r="E158" s="57" t="inlineStr">
        <is>
          <t>ITB-003_ユーザー削除-011</t>
        </is>
      </c>
      <c r="F158" s="109" t="n">
        <v>46153</v>
      </c>
      <c r="G158" s="57" t="inlineStr"/>
      <c r="H158" s="57">
        <f>IF(G158&lt;&gt;"","完了",IF(F158="","－",IF(F158&lt;=$L$2,"遅延","予定")))</f>
        <v/>
      </c>
      <c r="I158" s="109" t="n">
        <v>46156</v>
      </c>
      <c r="J158" s="57" t="inlineStr"/>
      <c r="K158" s="57">
        <f>IF(J158&lt;&gt;"","完了",IF(I158="","－",IF(I158&lt;=$L$2,"遅延","予定")))</f>
        <v/>
      </c>
      <c r="L158" s="57">
        <f>IF(AND(H158="完了",K158="完了"),"完了",IF(OR(H158="遅延",K158="遅延"),"遅延","進行中"))</f>
        <v/>
      </c>
    </row>
    <row r="159">
      <c r="A159" s="57" t="n">
        <v>155</v>
      </c>
      <c r="B159" s="59" t="inlineStr">
        <is>
          <t>input/ITB-O-002_ユーザー管理.xlsx</t>
        </is>
      </c>
      <c r="C159" s="59" t="inlineStr">
        <is>
          <t>ITB-003_ユーザー削除</t>
        </is>
      </c>
      <c r="D159" s="57" t="inlineStr">
        <is>
          <t>オンライン</t>
        </is>
      </c>
      <c r="E159" s="57" t="inlineStr">
        <is>
          <t>ITB-003_ユーザー削除-012</t>
        </is>
      </c>
      <c r="F159" s="109" t="n">
        <v>46174</v>
      </c>
      <c r="G159" s="57" t="inlineStr"/>
      <c r="H159" s="57">
        <f>IF(G159&lt;&gt;"","完了",IF(F159="","－",IF(F159&lt;=$L$2,"遅延","予定")))</f>
        <v/>
      </c>
      <c r="I159" s="109" t="n">
        <v>46178</v>
      </c>
      <c r="J159" s="57" t="inlineStr"/>
      <c r="K159" s="57">
        <f>IF(J159&lt;&gt;"","完了",IF(I159="","－",IF(I159&lt;=$L$2,"遅延","予定")))</f>
        <v/>
      </c>
      <c r="L159" s="57">
        <f>IF(AND(H159="完了",K159="完了"),"完了",IF(OR(H159="遅延",K159="遅延"),"遅延","進行中"))</f>
        <v/>
      </c>
    </row>
    <row r="160">
      <c r="A160" s="57" t="n">
        <v>156</v>
      </c>
      <c r="B160" s="59" t="inlineStr">
        <is>
          <t>input/ITB-O-003_検索機能.xlsx</t>
        </is>
      </c>
      <c r="C160" s="59" t="inlineStr">
        <is>
          <t>ITB-001_商品検索</t>
        </is>
      </c>
      <c r="D160" s="57" t="inlineStr">
        <is>
          <t>オンライン</t>
        </is>
      </c>
      <c r="E160" s="57" t="inlineStr">
        <is>
          <t>ITB-001_商品検索-001</t>
        </is>
      </c>
      <c r="F160" s="109" t="n">
        <v>46002</v>
      </c>
      <c r="G160" s="109" t="n">
        <v>46002</v>
      </c>
      <c r="H160" s="57">
        <f>IF(G160&lt;&gt;"","完了",IF(F160="","－",IF(F160&lt;=$L$2,"遅延","予定")))</f>
        <v/>
      </c>
      <c r="I160" s="109" t="n">
        <v>46003</v>
      </c>
      <c r="J160" s="109" t="n">
        <v>46004</v>
      </c>
      <c r="K160" s="57">
        <f>IF(J160&lt;&gt;"","完了",IF(I160="","－",IF(I160&lt;=$L$2,"遅延","予定")))</f>
        <v/>
      </c>
      <c r="L160" s="57">
        <f>IF(AND(H160="完了",K160="完了"),"完了",IF(OR(H160="遅延",K160="遅延"),"遅延","進行中"))</f>
        <v/>
      </c>
    </row>
    <row r="161">
      <c r="A161" s="57" t="n">
        <v>157</v>
      </c>
      <c r="B161" s="59" t="inlineStr">
        <is>
          <t>input/ITB-O-003_検索機能.xlsx</t>
        </is>
      </c>
      <c r="C161" s="59" t="inlineStr">
        <is>
          <t>ITB-001_商品検索</t>
        </is>
      </c>
      <c r="D161" s="57" t="inlineStr">
        <is>
          <t>オンライン</t>
        </is>
      </c>
      <c r="E161" s="57" t="inlineStr">
        <is>
          <t>ITB-001_商品検索-002</t>
        </is>
      </c>
      <c r="F161" s="109" t="n">
        <v>46015</v>
      </c>
      <c r="G161" s="109" t="n">
        <v>46018</v>
      </c>
      <c r="H161" s="57">
        <f>IF(G161&lt;&gt;"","完了",IF(F161="","－",IF(F161&lt;=$L$2,"遅延","予定")))</f>
        <v/>
      </c>
      <c r="I161" s="109" t="n">
        <v>46016</v>
      </c>
      <c r="J161" s="57" t="inlineStr"/>
      <c r="K161" s="57">
        <f>IF(J161&lt;&gt;"","完了",IF(I161="","－",IF(I161&lt;=$L$2,"遅延","予定")))</f>
        <v/>
      </c>
      <c r="L161" s="57">
        <f>IF(AND(H161="完了",K161="完了"),"完了",IF(OR(H161="遅延",K161="遅延"),"遅延","進行中"))</f>
        <v/>
      </c>
    </row>
    <row r="162">
      <c r="A162" s="57" t="n">
        <v>158</v>
      </c>
      <c r="B162" s="59" t="inlineStr">
        <is>
          <t>input/ITB-O-003_検索機能.xlsx</t>
        </is>
      </c>
      <c r="C162" s="59" t="inlineStr">
        <is>
          <t>ITB-001_商品検索</t>
        </is>
      </c>
      <c r="D162" s="57" t="inlineStr">
        <is>
          <t>オンライン</t>
        </is>
      </c>
      <c r="E162" s="57" t="inlineStr">
        <is>
          <t>ITB-001_商品検索-003</t>
        </is>
      </c>
      <c r="F162" s="109" t="n">
        <v>46021</v>
      </c>
      <c r="G162" s="109" t="n">
        <v>46020</v>
      </c>
      <c r="H162" s="57">
        <f>IF(G162&lt;&gt;"","完了",IF(F162="","－",IF(F162&lt;=$L$2,"遅延","予定")))</f>
        <v/>
      </c>
      <c r="I162" s="109" t="n">
        <v>46022</v>
      </c>
      <c r="J162" s="109" t="n">
        <v>46021</v>
      </c>
      <c r="K162" s="57">
        <f>IF(J162&lt;&gt;"","完了",IF(I162="","－",IF(I162&lt;=$L$2,"遅延","予定")))</f>
        <v/>
      </c>
      <c r="L162" s="57">
        <f>IF(AND(H162="完了",K162="完了"),"完了",IF(OR(H162="遅延",K162="遅延"),"遅延","進行中"))</f>
        <v/>
      </c>
    </row>
    <row r="163">
      <c r="A163" s="57" t="n">
        <v>159</v>
      </c>
      <c r="B163" s="59" t="inlineStr">
        <is>
          <t>input/ITB-O-003_検索機能.xlsx</t>
        </is>
      </c>
      <c r="C163" s="59" t="inlineStr">
        <is>
          <t>ITB-001_商品検索</t>
        </is>
      </c>
      <c r="D163" s="57" t="inlineStr">
        <is>
          <t>オンライン</t>
        </is>
      </c>
      <c r="E163" s="57" t="inlineStr">
        <is>
          <t>ITB-001_商品検索-004</t>
        </is>
      </c>
      <c r="F163" s="109" t="n">
        <v>46025</v>
      </c>
      <c r="G163" s="109" t="n">
        <v>46028</v>
      </c>
      <c r="H163" s="57">
        <f>IF(G163&lt;&gt;"","完了",IF(F163="","－",IF(F163&lt;=$L$2,"遅延","予定")))</f>
        <v/>
      </c>
      <c r="I163" s="109" t="n">
        <v>46027</v>
      </c>
      <c r="J163" s="109" t="n">
        <v>46027</v>
      </c>
      <c r="K163" s="57">
        <f>IF(J163&lt;&gt;"","完了",IF(I163="","－",IF(I163&lt;=$L$2,"遅延","予定")))</f>
        <v/>
      </c>
      <c r="L163" s="57">
        <f>IF(AND(H163="完了",K163="完了"),"完了",IF(OR(H163="遅延",K163="遅延"),"遅延","進行中"))</f>
        <v/>
      </c>
    </row>
    <row r="164">
      <c r="A164" s="57" t="n">
        <v>160</v>
      </c>
      <c r="B164" s="59" t="inlineStr">
        <is>
          <t>input/ITB-O-003_検索機能.xlsx</t>
        </is>
      </c>
      <c r="C164" s="59" t="inlineStr">
        <is>
          <t>ITB-001_商品検索</t>
        </is>
      </c>
      <c r="D164" s="57" t="inlineStr">
        <is>
          <t>オンライン</t>
        </is>
      </c>
      <c r="E164" s="57" t="inlineStr">
        <is>
          <t>ITB-001_商品検索-005</t>
        </is>
      </c>
      <c r="F164" s="109" t="n">
        <v>46035</v>
      </c>
      <c r="G164" s="109" t="n">
        <v>46037</v>
      </c>
      <c r="H164" s="57">
        <f>IF(G164&lt;&gt;"","完了",IF(F164="","－",IF(F164&lt;=$L$2,"遅延","予定")))</f>
        <v/>
      </c>
      <c r="I164" s="109" t="n">
        <v>46040</v>
      </c>
      <c r="J164" s="109" t="n">
        <v>46040</v>
      </c>
      <c r="K164" s="57">
        <f>IF(J164&lt;&gt;"","完了",IF(I164="","－",IF(I164&lt;=$L$2,"遅延","予定")))</f>
        <v/>
      </c>
      <c r="L164" s="57">
        <f>IF(AND(H164="完了",K164="完了"),"完了",IF(OR(H164="遅延",K164="遅延"),"遅延","進行中"))</f>
        <v/>
      </c>
    </row>
    <row r="165">
      <c r="A165" s="57" t="n">
        <v>161</v>
      </c>
      <c r="B165" s="59" t="inlineStr">
        <is>
          <t>input/ITB-O-003_検索機能.xlsx</t>
        </is>
      </c>
      <c r="C165" s="59" t="inlineStr">
        <is>
          <t>ITB-001_商品検索</t>
        </is>
      </c>
      <c r="D165" s="57" t="inlineStr">
        <is>
          <t>オンライン</t>
        </is>
      </c>
      <c r="E165" s="57" t="inlineStr">
        <is>
          <t>ITB-001_商品検索-006</t>
        </is>
      </c>
      <c r="F165" s="109" t="n">
        <v>46041</v>
      </c>
      <c r="G165" s="109" t="n">
        <v>46039</v>
      </c>
      <c r="H165" s="57">
        <f>IF(G165&lt;&gt;"","完了",IF(F165="","－",IF(F165&lt;=$L$2,"遅延","予定")))</f>
        <v/>
      </c>
      <c r="I165" s="109" t="n">
        <v>46043</v>
      </c>
      <c r="J165" s="109" t="n">
        <v>46044</v>
      </c>
      <c r="K165" s="57">
        <f>IF(J165&lt;&gt;"","完了",IF(I165="","－",IF(I165&lt;=$L$2,"遅延","予定")))</f>
        <v/>
      </c>
      <c r="L165" s="57">
        <f>IF(AND(H165="完了",K165="完了"),"完了",IF(OR(H165="遅延",K165="遅延"),"遅延","進行中"))</f>
        <v/>
      </c>
    </row>
    <row r="166">
      <c r="A166" s="57" t="n">
        <v>162</v>
      </c>
      <c r="B166" s="59" t="inlineStr">
        <is>
          <t>input/ITB-O-003_検索機能.xlsx</t>
        </is>
      </c>
      <c r="C166" s="59" t="inlineStr">
        <is>
          <t>ITB-001_商品検索</t>
        </is>
      </c>
      <c r="D166" s="57" t="inlineStr">
        <is>
          <t>オンライン</t>
        </is>
      </c>
      <c r="E166" s="57" t="inlineStr">
        <is>
          <t>ITB-001_商品検索-007</t>
        </is>
      </c>
      <c r="F166" s="109" t="n">
        <v>46060</v>
      </c>
      <c r="G166" s="109" t="n">
        <v>46062</v>
      </c>
      <c r="H166" s="57">
        <f>IF(G166&lt;&gt;"","完了",IF(F166="","－",IF(F166&lt;=$L$2,"遅延","予定")))</f>
        <v/>
      </c>
      <c r="I166" s="109" t="n">
        <v>46061</v>
      </c>
      <c r="J166" s="109" t="n">
        <v>46061</v>
      </c>
      <c r="K166" s="57">
        <f>IF(J166&lt;&gt;"","完了",IF(I166="","－",IF(I166&lt;=$L$2,"遅延","予定")))</f>
        <v/>
      </c>
      <c r="L166" s="57">
        <f>IF(AND(H166="完了",K166="完了"),"完了",IF(OR(H166="遅延",K166="遅延"),"遅延","進行中"))</f>
        <v/>
      </c>
    </row>
    <row r="167">
      <c r="A167" s="57" t="n">
        <v>163</v>
      </c>
      <c r="B167" s="59" t="inlineStr">
        <is>
          <t>input/ITB-O-003_検索機能.xlsx</t>
        </is>
      </c>
      <c r="C167" s="59" t="inlineStr">
        <is>
          <t>ITB-001_商品検索</t>
        </is>
      </c>
      <c r="D167" s="57" t="inlineStr">
        <is>
          <t>オンライン</t>
        </is>
      </c>
      <c r="E167" s="57" t="inlineStr">
        <is>
          <t>ITB-001_商品検索-008</t>
        </is>
      </c>
      <c r="F167" s="109" t="n">
        <v>46065</v>
      </c>
      <c r="G167" s="109" t="n">
        <v>46064</v>
      </c>
      <c r="H167" s="57">
        <f>IF(G167&lt;&gt;"","完了",IF(F167="","－",IF(F167&lt;=$L$2,"遅延","予定")))</f>
        <v/>
      </c>
      <c r="I167" s="109" t="n">
        <v>46069</v>
      </c>
      <c r="J167" s="109" t="n">
        <v>46068</v>
      </c>
      <c r="K167" s="57">
        <f>IF(J167&lt;&gt;"","完了",IF(I167="","－",IF(I167&lt;=$L$2,"遅延","予定")))</f>
        <v/>
      </c>
      <c r="L167" s="57">
        <f>IF(AND(H167="完了",K167="完了"),"完了",IF(OR(H167="遅延",K167="遅延"),"遅延","進行中"))</f>
        <v/>
      </c>
    </row>
    <row r="168">
      <c r="A168" s="57" t="n">
        <v>164</v>
      </c>
      <c r="B168" s="59" t="inlineStr">
        <is>
          <t>input/ITB-O-003_検索機能.xlsx</t>
        </is>
      </c>
      <c r="C168" s="59" t="inlineStr">
        <is>
          <t>ITB-001_商品検索</t>
        </is>
      </c>
      <c r="D168" s="57" t="inlineStr">
        <is>
          <t>オンライン</t>
        </is>
      </c>
      <c r="E168" s="57" t="inlineStr">
        <is>
          <t>ITB-001_商品検索-009</t>
        </is>
      </c>
      <c r="F168" s="109" t="n">
        <v>46077</v>
      </c>
      <c r="G168" s="109" t="n">
        <v>46079</v>
      </c>
      <c r="H168" s="57">
        <f>IF(G168&lt;&gt;"","完了",IF(F168="","－",IF(F168&lt;=$L$2,"遅延","予定")))</f>
        <v/>
      </c>
      <c r="I168" s="109" t="n">
        <v>46079</v>
      </c>
      <c r="J168" s="57" t="inlineStr"/>
      <c r="K168" s="57">
        <f>IF(J168&lt;&gt;"","完了",IF(I168="","－",IF(I168&lt;=$L$2,"遅延","予定")))</f>
        <v/>
      </c>
      <c r="L168" s="57">
        <f>IF(AND(H168="完了",K168="完了"),"完了",IF(OR(H168="遅延",K168="遅延"),"遅延","進行中"))</f>
        <v/>
      </c>
    </row>
    <row r="169">
      <c r="A169" s="57" t="n">
        <v>165</v>
      </c>
      <c r="B169" s="59" t="inlineStr">
        <is>
          <t>input/ITB-O-003_検索機能.xlsx</t>
        </is>
      </c>
      <c r="C169" s="59" t="inlineStr">
        <is>
          <t>ITB-001_商品検索</t>
        </is>
      </c>
      <c r="D169" s="57" t="inlineStr">
        <is>
          <t>オンライン</t>
        </is>
      </c>
      <c r="E169" s="57" t="inlineStr">
        <is>
          <t>ITB-001_商品検索-010</t>
        </is>
      </c>
      <c r="F169" s="109" t="n">
        <v>46084</v>
      </c>
      <c r="G169" s="109" t="n">
        <v>46083</v>
      </c>
      <c r="H169" s="57">
        <f>IF(G169&lt;&gt;"","完了",IF(F169="","－",IF(F169&lt;=$L$2,"遅延","予定")))</f>
        <v/>
      </c>
      <c r="I169" s="109" t="n">
        <v>46086</v>
      </c>
      <c r="J169" s="109" t="n">
        <v>46085</v>
      </c>
      <c r="K169" s="57">
        <f>IF(J169&lt;&gt;"","完了",IF(I169="","－",IF(I169&lt;=$L$2,"遅延","予定")))</f>
        <v/>
      </c>
      <c r="L169" s="57">
        <f>IF(AND(H169="完了",K169="完了"),"完了",IF(OR(H169="遅延",K169="遅延"),"遅延","進行中"))</f>
        <v/>
      </c>
    </row>
    <row r="170">
      <c r="A170" s="57" t="n">
        <v>166</v>
      </c>
      <c r="B170" s="59" t="inlineStr">
        <is>
          <t>input/ITB-O-003_検索機能.xlsx</t>
        </is>
      </c>
      <c r="C170" s="59" t="inlineStr">
        <is>
          <t>ITB-001_商品検索</t>
        </is>
      </c>
      <c r="D170" s="57" t="inlineStr">
        <is>
          <t>オンライン</t>
        </is>
      </c>
      <c r="E170" s="57" t="inlineStr">
        <is>
          <t>ITB-001_商品検索-011</t>
        </is>
      </c>
      <c r="F170" s="109" t="n">
        <v>46095</v>
      </c>
      <c r="G170" s="57" t="inlineStr"/>
      <c r="H170" s="57">
        <f>IF(G170&lt;&gt;"","完了",IF(F170="","－",IF(F170&lt;=$L$2,"遅延","予定")))</f>
        <v/>
      </c>
      <c r="I170" s="109" t="n">
        <v>46099</v>
      </c>
      <c r="J170" s="57" t="inlineStr"/>
      <c r="K170" s="57">
        <f>IF(J170&lt;&gt;"","完了",IF(I170="","－",IF(I170&lt;=$L$2,"遅延","予定")))</f>
        <v/>
      </c>
      <c r="L170" s="57">
        <f>IF(AND(H170="完了",K170="完了"),"完了",IF(OR(H170="遅延",K170="遅延"),"遅延","進行中"))</f>
        <v/>
      </c>
    </row>
    <row r="171">
      <c r="A171" s="57" t="n">
        <v>167</v>
      </c>
      <c r="B171" s="59" t="inlineStr">
        <is>
          <t>input/ITB-O-003_検索機能.xlsx</t>
        </is>
      </c>
      <c r="C171" s="59" t="inlineStr">
        <is>
          <t>ITB-001_商品検索</t>
        </is>
      </c>
      <c r="D171" s="57" t="inlineStr">
        <is>
          <t>オンライン</t>
        </is>
      </c>
      <c r="E171" s="57" t="inlineStr">
        <is>
          <t>ITB-001_商品検索-012</t>
        </is>
      </c>
      <c r="F171" s="109" t="n">
        <v>46097</v>
      </c>
      <c r="G171" s="57" t="inlineStr"/>
      <c r="H171" s="57">
        <f>IF(G171&lt;&gt;"","完了",IF(F171="","－",IF(F171&lt;=$L$2,"遅延","予定")))</f>
        <v/>
      </c>
      <c r="I171" s="109" t="n">
        <v>46101</v>
      </c>
      <c r="J171" s="57" t="inlineStr"/>
      <c r="K171" s="57">
        <f>IF(J171&lt;&gt;"","完了",IF(I171="","－",IF(I171&lt;=$L$2,"遅延","予定")))</f>
        <v/>
      </c>
      <c r="L171" s="57">
        <f>IF(AND(H171="完了",K171="完了"),"完了",IF(OR(H171="遅延",K171="遅延"),"遅延","進行中"))</f>
        <v/>
      </c>
    </row>
    <row r="172">
      <c r="A172" s="57" t="n">
        <v>168</v>
      </c>
      <c r="B172" s="59" t="inlineStr">
        <is>
          <t>input/ITB-O-003_検索機能.xlsx</t>
        </is>
      </c>
      <c r="C172" s="59" t="inlineStr">
        <is>
          <t>ITB-001_商品検索</t>
        </is>
      </c>
      <c r="D172" s="57" t="inlineStr">
        <is>
          <t>オンライン</t>
        </is>
      </c>
      <c r="E172" s="57" t="inlineStr">
        <is>
          <t>ITB-001_商品検索-013</t>
        </is>
      </c>
      <c r="F172" s="109" t="n">
        <v>46106</v>
      </c>
      <c r="G172" s="57" t="inlineStr"/>
      <c r="H172" s="57">
        <f>IF(G172&lt;&gt;"","完了",IF(F172="","－",IF(F172&lt;=$L$2,"遅延","予定")))</f>
        <v/>
      </c>
      <c r="I172" s="109" t="n">
        <v>46110</v>
      </c>
      <c r="J172" s="57" t="inlineStr"/>
      <c r="K172" s="57">
        <f>IF(J172&lt;&gt;"","完了",IF(I172="","－",IF(I172&lt;=$L$2,"遅延","予定")))</f>
        <v/>
      </c>
      <c r="L172" s="57">
        <f>IF(AND(H172="完了",K172="完了"),"完了",IF(OR(H172="遅延",K172="遅延"),"遅延","進行中"))</f>
        <v/>
      </c>
    </row>
    <row r="173">
      <c r="A173" s="57" t="n">
        <v>169</v>
      </c>
      <c r="B173" s="59" t="inlineStr">
        <is>
          <t>input/ITB-O-003_検索機能.xlsx</t>
        </is>
      </c>
      <c r="C173" s="59" t="inlineStr">
        <is>
          <t>ITB-001_商品検索</t>
        </is>
      </c>
      <c r="D173" s="57" t="inlineStr">
        <is>
          <t>オンライン</t>
        </is>
      </c>
      <c r="E173" s="57" t="inlineStr">
        <is>
          <t>ITB-001_商品検索-014</t>
        </is>
      </c>
      <c r="F173" s="109" t="n">
        <v>46120</v>
      </c>
      <c r="G173" s="57" t="inlineStr"/>
      <c r="H173" s="57">
        <f>IF(G173&lt;&gt;"","完了",IF(F173="","－",IF(F173&lt;=$L$2,"遅延","予定")))</f>
        <v/>
      </c>
      <c r="I173" s="109" t="n">
        <v>46125</v>
      </c>
      <c r="J173" s="57" t="inlineStr"/>
      <c r="K173" s="57">
        <f>IF(J173&lt;&gt;"","完了",IF(I173="","－",IF(I173&lt;=$L$2,"遅延","予定")))</f>
        <v/>
      </c>
      <c r="L173" s="57">
        <f>IF(AND(H173="完了",K173="完了"),"完了",IF(OR(H173="遅延",K173="遅延"),"遅延","進行中"))</f>
        <v/>
      </c>
    </row>
    <row r="174">
      <c r="A174" s="57" t="n">
        <v>170</v>
      </c>
      <c r="B174" s="59" t="inlineStr">
        <is>
          <t>input/ITB-O-003_検索機能.xlsx</t>
        </is>
      </c>
      <c r="C174" s="59" t="inlineStr">
        <is>
          <t>ITB-001_商品検索</t>
        </is>
      </c>
      <c r="D174" s="57" t="inlineStr">
        <is>
          <t>オンライン</t>
        </is>
      </c>
      <c r="E174" s="57" t="inlineStr">
        <is>
          <t>ITB-001_商品検索-015</t>
        </is>
      </c>
      <c r="F174" s="109" t="n">
        <v>46126</v>
      </c>
      <c r="G174" s="57" t="inlineStr"/>
      <c r="H174" s="57">
        <f>IF(G174&lt;&gt;"","完了",IF(F174="","－",IF(F174&lt;=$L$2,"遅延","予定")))</f>
        <v/>
      </c>
      <c r="I174" s="109" t="n">
        <v>46127</v>
      </c>
      <c r="J174" s="57" t="inlineStr"/>
      <c r="K174" s="57">
        <f>IF(J174&lt;&gt;"","完了",IF(I174="","－",IF(I174&lt;=$L$2,"遅延","予定")))</f>
        <v/>
      </c>
      <c r="L174" s="57">
        <f>IF(AND(H174="完了",K174="完了"),"完了",IF(OR(H174="遅延",K174="遅延"),"遅延","進行中"))</f>
        <v/>
      </c>
    </row>
    <row r="175">
      <c r="A175" s="57" t="n">
        <v>171</v>
      </c>
      <c r="B175" s="59" t="inlineStr">
        <is>
          <t>input/ITB-O-003_検索機能.xlsx</t>
        </is>
      </c>
      <c r="C175" s="59" t="inlineStr">
        <is>
          <t>ITB-001_商品検索</t>
        </is>
      </c>
      <c r="D175" s="57" t="inlineStr">
        <is>
          <t>オンライン</t>
        </is>
      </c>
      <c r="E175" s="57" t="inlineStr">
        <is>
          <t>ITB-001_商品検索-016</t>
        </is>
      </c>
      <c r="F175" s="109" t="n">
        <v>46134</v>
      </c>
      <c r="G175" s="57" t="inlineStr"/>
      <c r="H175" s="57">
        <f>IF(G175&lt;&gt;"","完了",IF(F175="","－",IF(F175&lt;=$L$2,"遅延","予定")))</f>
        <v/>
      </c>
      <c r="I175" s="109" t="n">
        <v>46138</v>
      </c>
      <c r="J175" s="57" t="inlineStr"/>
      <c r="K175" s="57">
        <f>IF(J175&lt;&gt;"","完了",IF(I175="","－",IF(I175&lt;=$L$2,"遅延","予定")))</f>
        <v/>
      </c>
      <c r="L175" s="57">
        <f>IF(AND(H175="完了",K175="完了"),"完了",IF(OR(H175="遅延",K175="遅延"),"遅延","進行中"))</f>
        <v/>
      </c>
    </row>
    <row r="176">
      <c r="A176" s="57" t="n">
        <v>172</v>
      </c>
      <c r="B176" s="59" t="inlineStr">
        <is>
          <t>input/ITB-O-003_検索機能.xlsx</t>
        </is>
      </c>
      <c r="C176" s="59" t="inlineStr">
        <is>
          <t>ITB-001_商品検索</t>
        </is>
      </c>
      <c r="D176" s="57" t="inlineStr">
        <is>
          <t>オンライン</t>
        </is>
      </c>
      <c r="E176" s="57" t="inlineStr">
        <is>
          <t>ITB-001_商品検索-017</t>
        </is>
      </c>
      <c r="F176" s="109" t="n">
        <v>46146</v>
      </c>
      <c r="G176" s="57" t="inlineStr"/>
      <c r="H176" s="57">
        <f>IF(G176&lt;&gt;"","完了",IF(F176="","－",IF(F176&lt;=$L$2,"遅延","予定")))</f>
        <v/>
      </c>
      <c r="I176" s="109" t="n">
        <v>46148</v>
      </c>
      <c r="J176" s="57" t="inlineStr"/>
      <c r="K176" s="57">
        <f>IF(J176&lt;&gt;"","完了",IF(I176="","－",IF(I176&lt;=$L$2,"遅延","予定")))</f>
        <v/>
      </c>
      <c r="L176" s="57">
        <f>IF(AND(H176="完了",K176="完了"),"完了",IF(OR(H176="遅延",K176="遅延"),"遅延","進行中"))</f>
        <v/>
      </c>
    </row>
    <row r="177">
      <c r="A177" s="57" t="n">
        <v>173</v>
      </c>
      <c r="B177" s="59" t="inlineStr">
        <is>
          <t>input/ITB-O-003_検索機能.xlsx</t>
        </is>
      </c>
      <c r="C177" s="59" t="inlineStr">
        <is>
          <t>ITB-001_商品検索</t>
        </is>
      </c>
      <c r="D177" s="57" t="inlineStr">
        <is>
          <t>オンライン</t>
        </is>
      </c>
      <c r="E177" s="57" t="inlineStr">
        <is>
          <t>ITB-001_商品検索-018</t>
        </is>
      </c>
      <c r="F177" s="109" t="n">
        <v>46152</v>
      </c>
      <c r="G177" s="57" t="inlineStr"/>
      <c r="H177" s="57">
        <f>IF(G177&lt;&gt;"","完了",IF(F177="","－",IF(F177&lt;=$L$2,"遅延","予定")))</f>
        <v/>
      </c>
      <c r="I177" s="109" t="n">
        <v>46154</v>
      </c>
      <c r="J177" s="57" t="inlineStr"/>
      <c r="K177" s="57">
        <f>IF(J177&lt;&gt;"","完了",IF(I177="","－",IF(I177&lt;=$L$2,"遅延","予定")))</f>
        <v/>
      </c>
      <c r="L177" s="57">
        <f>IF(AND(H177="完了",K177="完了"),"完了",IF(OR(H177="遅延",K177="遅延"),"遅延","進行中"))</f>
        <v/>
      </c>
    </row>
    <row r="178">
      <c r="A178" s="57" t="n">
        <v>174</v>
      </c>
      <c r="B178" s="59" t="inlineStr">
        <is>
          <t>input/ITB-O-003_検索機能.xlsx</t>
        </is>
      </c>
      <c r="C178" s="59" t="inlineStr">
        <is>
          <t>ITB-001_商品検索</t>
        </is>
      </c>
      <c r="D178" s="57" t="inlineStr">
        <is>
          <t>オンライン</t>
        </is>
      </c>
      <c r="E178" s="57" t="inlineStr">
        <is>
          <t>ITB-001_商品検索-019</t>
        </is>
      </c>
      <c r="F178" s="109" t="n">
        <v>46166</v>
      </c>
      <c r="G178" s="57" t="inlineStr"/>
      <c r="H178" s="57">
        <f>IF(G178&lt;&gt;"","完了",IF(F178="","－",IF(F178&lt;=$L$2,"遅延","予定")))</f>
        <v/>
      </c>
      <c r="I178" s="109" t="n">
        <v>46170</v>
      </c>
      <c r="J178" s="57" t="inlineStr"/>
      <c r="K178" s="57">
        <f>IF(J178&lt;&gt;"","完了",IF(I178="","－",IF(I178&lt;=$L$2,"遅延","予定")))</f>
        <v/>
      </c>
      <c r="L178" s="57">
        <f>IF(AND(H178="完了",K178="完了"),"完了",IF(OR(H178="遅延",K178="遅延"),"遅延","進行中"))</f>
        <v/>
      </c>
    </row>
    <row r="179">
      <c r="A179" s="57" t="n">
        <v>175</v>
      </c>
      <c r="B179" s="59" t="inlineStr">
        <is>
          <t>input/ITB-O-003_検索機能.xlsx</t>
        </is>
      </c>
      <c r="C179" s="59" t="inlineStr">
        <is>
          <t>ITB-001_商品検索</t>
        </is>
      </c>
      <c r="D179" s="57" t="inlineStr">
        <is>
          <t>オンライン</t>
        </is>
      </c>
      <c r="E179" s="57" t="inlineStr">
        <is>
          <t>ITB-001_商品検索-020</t>
        </is>
      </c>
      <c r="F179" s="109" t="n">
        <v>46172</v>
      </c>
      <c r="G179" s="57" t="inlineStr"/>
      <c r="H179" s="57">
        <f>IF(G179&lt;&gt;"","完了",IF(F179="","－",IF(F179&lt;=$L$2,"遅延","予定")))</f>
        <v/>
      </c>
      <c r="I179" s="109" t="n">
        <v>46174</v>
      </c>
      <c r="J179" s="57" t="inlineStr"/>
      <c r="K179" s="57">
        <f>IF(J179&lt;&gt;"","完了",IF(I179="","－",IF(I179&lt;=$L$2,"遅延","予定")))</f>
        <v/>
      </c>
      <c r="L179" s="57">
        <f>IF(AND(H179="完了",K179="完了"),"完了",IF(OR(H179="遅延",K179="遅延"),"遅延","進行中"))</f>
        <v/>
      </c>
    </row>
    <row r="180">
      <c r="A180" s="57" t="n">
        <v>176</v>
      </c>
      <c r="B180" s="59" t="inlineStr">
        <is>
          <t>input/ITB-O-003_検索機能.xlsx</t>
        </is>
      </c>
      <c r="C180" s="59" t="inlineStr">
        <is>
          <t>ITB-002_注文検索</t>
        </is>
      </c>
      <c r="D180" s="57" t="inlineStr">
        <is>
          <t>オンライン</t>
        </is>
      </c>
      <c r="E180" s="57" t="inlineStr">
        <is>
          <t>ITB-002_注文検索-001</t>
        </is>
      </c>
      <c r="F180" s="109" t="n">
        <v>45999</v>
      </c>
      <c r="G180" s="109" t="n">
        <v>46002</v>
      </c>
      <c r="H180" s="57">
        <f>IF(G180&lt;&gt;"","完了",IF(F180="","－",IF(F180&lt;=$L$2,"遅延","予定")))</f>
        <v/>
      </c>
      <c r="I180" s="109" t="n">
        <v>46004</v>
      </c>
      <c r="J180" s="109" t="n">
        <v>46003</v>
      </c>
      <c r="K180" s="57">
        <f>IF(J180&lt;&gt;"","完了",IF(I180="","－",IF(I180&lt;=$L$2,"遅延","予定")))</f>
        <v/>
      </c>
      <c r="L180" s="57">
        <f>IF(AND(H180="完了",K180="完了"),"完了",IF(OR(H180="遅延",K180="遅延"),"遅延","進行中"))</f>
        <v/>
      </c>
    </row>
    <row r="181">
      <c r="A181" s="57" t="n">
        <v>177</v>
      </c>
      <c r="B181" s="59" t="inlineStr">
        <is>
          <t>input/ITB-O-003_検索機能.xlsx</t>
        </is>
      </c>
      <c r="C181" s="59" t="inlineStr">
        <is>
          <t>ITB-002_注文検索</t>
        </is>
      </c>
      <c r="D181" s="57" t="inlineStr">
        <is>
          <t>オンライン</t>
        </is>
      </c>
      <c r="E181" s="57" t="inlineStr">
        <is>
          <t>ITB-002_注文検索-002</t>
        </is>
      </c>
      <c r="F181" s="109" t="n">
        <v>46012</v>
      </c>
      <c r="G181" s="109" t="n">
        <v>46015</v>
      </c>
      <c r="H181" s="57">
        <f>IF(G181&lt;&gt;"","完了",IF(F181="","－",IF(F181&lt;=$L$2,"遅延","予定")))</f>
        <v/>
      </c>
      <c r="I181" s="109" t="n">
        <v>46015</v>
      </c>
      <c r="J181" s="57" t="inlineStr"/>
      <c r="K181" s="57">
        <f>IF(J181&lt;&gt;"","完了",IF(I181="","－",IF(I181&lt;=$L$2,"遅延","予定")))</f>
        <v/>
      </c>
      <c r="L181" s="57">
        <f>IF(AND(H181="完了",K181="完了"),"完了",IF(OR(H181="遅延",K181="遅延"),"遅延","進行中"))</f>
        <v/>
      </c>
    </row>
    <row r="182">
      <c r="A182" s="57" t="n">
        <v>178</v>
      </c>
      <c r="B182" s="59" t="inlineStr">
        <is>
          <t>input/ITB-O-003_検索機能.xlsx</t>
        </is>
      </c>
      <c r="C182" s="59" t="inlineStr">
        <is>
          <t>ITB-002_注文検索</t>
        </is>
      </c>
      <c r="D182" s="57" t="inlineStr">
        <is>
          <t>オンライン</t>
        </is>
      </c>
      <c r="E182" s="57" t="inlineStr">
        <is>
          <t>ITB-002_注文検索-003</t>
        </is>
      </c>
      <c r="F182" s="109" t="n">
        <v>46021</v>
      </c>
      <c r="G182" s="57" t="inlineStr"/>
      <c r="H182" s="57">
        <f>IF(G182&lt;&gt;"","完了",IF(F182="","－",IF(F182&lt;=$L$2,"遅延","予定")))</f>
        <v/>
      </c>
      <c r="I182" s="109" t="n">
        <v>46025</v>
      </c>
      <c r="J182" s="57" t="inlineStr"/>
      <c r="K182" s="57">
        <f>IF(J182&lt;&gt;"","完了",IF(I182="","－",IF(I182&lt;=$L$2,"遅延","予定")))</f>
        <v/>
      </c>
      <c r="L182" s="57">
        <f>IF(AND(H182="完了",K182="完了"),"完了",IF(OR(H182="遅延",K182="遅延"),"遅延","進行中"))</f>
        <v/>
      </c>
    </row>
    <row r="183">
      <c r="A183" s="57" t="n">
        <v>179</v>
      </c>
      <c r="B183" s="59" t="inlineStr">
        <is>
          <t>input/ITB-O-003_検索機能.xlsx</t>
        </is>
      </c>
      <c r="C183" s="59" t="inlineStr">
        <is>
          <t>ITB-002_注文検索</t>
        </is>
      </c>
      <c r="D183" s="57" t="inlineStr">
        <is>
          <t>オンライン</t>
        </is>
      </c>
      <c r="E183" s="57" t="inlineStr">
        <is>
          <t>ITB-002_注文検索-004</t>
        </is>
      </c>
      <c r="F183" s="109" t="n">
        <v>46031</v>
      </c>
      <c r="G183" s="109" t="n">
        <v>46031</v>
      </c>
      <c r="H183" s="57">
        <f>IF(G183&lt;&gt;"","完了",IF(F183="","－",IF(F183&lt;=$L$2,"遅延","予定")))</f>
        <v/>
      </c>
      <c r="I183" s="109" t="n">
        <v>46032</v>
      </c>
      <c r="J183" s="109" t="n">
        <v>46032</v>
      </c>
      <c r="K183" s="57">
        <f>IF(J183&lt;&gt;"","完了",IF(I183="","－",IF(I183&lt;=$L$2,"遅延","予定")))</f>
        <v/>
      </c>
      <c r="L183" s="57">
        <f>IF(AND(H183="完了",K183="完了"),"完了",IF(OR(H183="遅延",K183="遅延"),"遅延","進行中"))</f>
        <v/>
      </c>
    </row>
    <row r="184">
      <c r="A184" s="57" t="n">
        <v>180</v>
      </c>
      <c r="B184" s="59" t="inlineStr">
        <is>
          <t>input/ITB-O-003_検索機能.xlsx</t>
        </is>
      </c>
      <c r="C184" s="59" t="inlineStr">
        <is>
          <t>ITB-002_注文検索</t>
        </is>
      </c>
      <c r="D184" s="57" t="inlineStr">
        <is>
          <t>オンライン</t>
        </is>
      </c>
      <c r="E184" s="57" t="inlineStr">
        <is>
          <t>ITB-002_注文検索-005</t>
        </is>
      </c>
      <c r="F184" s="109" t="n">
        <v>46041</v>
      </c>
      <c r="G184" s="109" t="n">
        <v>46043</v>
      </c>
      <c r="H184" s="57">
        <f>IF(G184&lt;&gt;"","完了",IF(F184="","－",IF(F184&lt;=$L$2,"遅延","予定")))</f>
        <v/>
      </c>
      <c r="I184" s="109" t="n">
        <v>46043</v>
      </c>
      <c r="J184" s="109" t="n">
        <v>46042</v>
      </c>
      <c r="K184" s="57">
        <f>IF(J184&lt;&gt;"","完了",IF(I184="","－",IF(I184&lt;=$L$2,"遅延","予定")))</f>
        <v/>
      </c>
      <c r="L184" s="57">
        <f>IF(AND(H184="完了",K184="完了"),"完了",IF(OR(H184="遅延",K184="遅延"),"遅延","進行中"))</f>
        <v/>
      </c>
    </row>
    <row r="185">
      <c r="A185" s="57" t="n">
        <v>181</v>
      </c>
      <c r="B185" s="59" t="inlineStr">
        <is>
          <t>input/ITB-O-003_検索機能.xlsx</t>
        </is>
      </c>
      <c r="C185" s="59" t="inlineStr">
        <is>
          <t>ITB-002_注文検索</t>
        </is>
      </c>
      <c r="D185" s="57" t="inlineStr">
        <is>
          <t>オンライン</t>
        </is>
      </c>
      <c r="E185" s="57" t="inlineStr">
        <is>
          <t>ITB-002_注文検索-006</t>
        </is>
      </c>
      <c r="F185" s="109" t="n">
        <v>46047</v>
      </c>
      <c r="G185" s="109" t="n">
        <v>46046</v>
      </c>
      <c r="H185" s="57">
        <f>IF(G185&lt;&gt;"","完了",IF(F185="","－",IF(F185&lt;=$L$2,"遅延","予定")))</f>
        <v/>
      </c>
      <c r="I185" s="109" t="n">
        <v>46048</v>
      </c>
      <c r="J185" s="109" t="n">
        <v>46047</v>
      </c>
      <c r="K185" s="57">
        <f>IF(J185&lt;&gt;"","完了",IF(I185="","－",IF(I185&lt;=$L$2,"遅延","予定")))</f>
        <v/>
      </c>
      <c r="L185" s="57">
        <f>IF(AND(H185="完了",K185="完了"),"完了",IF(OR(H185="遅延",K185="遅延"),"遅延","進行中"))</f>
        <v/>
      </c>
    </row>
    <row r="186">
      <c r="A186" s="57" t="n">
        <v>182</v>
      </c>
      <c r="B186" s="59" t="inlineStr">
        <is>
          <t>input/ITB-O-003_検索機能.xlsx</t>
        </is>
      </c>
      <c r="C186" s="59" t="inlineStr">
        <is>
          <t>ITB-002_注文検索</t>
        </is>
      </c>
      <c r="D186" s="57" t="inlineStr">
        <is>
          <t>オンライン</t>
        </is>
      </c>
      <c r="E186" s="57" t="inlineStr">
        <is>
          <t>ITB-002_注文検索-007</t>
        </is>
      </c>
      <c r="F186" s="109" t="n">
        <v>46059</v>
      </c>
      <c r="G186" s="57" t="inlineStr"/>
      <c r="H186" s="57">
        <f>IF(G186&lt;&gt;"","完了",IF(F186="","－",IF(F186&lt;=$L$2,"遅延","予定")))</f>
        <v/>
      </c>
      <c r="I186" s="109" t="n">
        <v>46064</v>
      </c>
      <c r="J186" s="57" t="inlineStr"/>
      <c r="K186" s="57">
        <f>IF(J186&lt;&gt;"","完了",IF(I186="","－",IF(I186&lt;=$L$2,"遅延","予定")))</f>
        <v/>
      </c>
      <c r="L186" s="57">
        <f>IF(AND(H186="完了",K186="完了"),"完了",IF(OR(H186="遅延",K186="遅延"),"遅延","進行中"))</f>
        <v/>
      </c>
    </row>
    <row r="187">
      <c r="A187" s="57" t="n">
        <v>183</v>
      </c>
      <c r="B187" s="59" t="inlineStr">
        <is>
          <t>input/ITB-O-003_検索機能.xlsx</t>
        </is>
      </c>
      <c r="C187" s="59" t="inlineStr">
        <is>
          <t>ITB-002_注文検索</t>
        </is>
      </c>
      <c r="D187" s="57" t="inlineStr">
        <is>
          <t>オンライン</t>
        </is>
      </c>
      <c r="E187" s="57" t="inlineStr">
        <is>
          <t>ITB-002_注文検索-008</t>
        </is>
      </c>
      <c r="F187" s="109" t="n">
        <v>46063</v>
      </c>
      <c r="G187" s="109" t="n">
        <v>46066</v>
      </c>
      <c r="H187" s="57">
        <f>IF(G187&lt;&gt;"","完了",IF(F187="","－",IF(F187&lt;=$L$2,"遅延","予定")))</f>
        <v/>
      </c>
      <c r="I187" s="109" t="n">
        <v>46065</v>
      </c>
      <c r="J187" s="109" t="n">
        <v>46067</v>
      </c>
      <c r="K187" s="57">
        <f>IF(J187&lt;&gt;"","完了",IF(I187="","－",IF(I187&lt;=$L$2,"遅延","予定")))</f>
        <v/>
      </c>
      <c r="L187" s="57">
        <f>IF(AND(H187="完了",K187="完了"),"完了",IF(OR(H187="遅延",K187="遅延"),"遅延","進行中"))</f>
        <v/>
      </c>
    </row>
    <row r="188">
      <c r="A188" s="57" t="n">
        <v>184</v>
      </c>
      <c r="B188" s="59" t="inlineStr">
        <is>
          <t>input/ITB-O-003_検索機能.xlsx</t>
        </is>
      </c>
      <c r="C188" s="59" t="inlineStr">
        <is>
          <t>ITB-002_注文検索</t>
        </is>
      </c>
      <c r="D188" s="57" t="inlineStr">
        <is>
          <t>オンライン</t>
        </is>
      </c>
      <c r="E188" s="57" t="inlineStr">
        <is>
          <t>ITB-002_注文検索-009</t>
        </is>
      </c>
      <c r="F188" s="109" t="n">
        <v>46071</v>
      </c>
      <c r="G188" s="109" t="n">
        <v>46071</v>
      </c>
      <c r="H188" s="57">
        <f>IF(G188&lt;&gt;"","完了",IF(F188="","－",IF(F188&lt;=$L$2,"遅延","予定")))</f>
        <v/>
      </c>
      <c r="I188" s="109" t="n">
        <v>46075</v>
      </c>
      <c r="J188" s="109" t="n">
        <v>46077</v>
      </c>
      <c r="K188" s="57">
        <f>IF(J188&lt;&gt;"","完了",IF(I188="","－",IF(I188&lt;=$L$2,"遅延","予定")))</f>
        <v/>
      </c>
      <c r="L188" s="57">
        <f>IF(AND(H188="完了",K188="完了"),"完了",IF(OR(H188="遅延",K188="遅延"),"遅延","進行中"))</f>
        <v/>
      </c>
    </row>
    <row r="189">
      <c r="A189" s="57" t="n">
        <v>185</v>
      </c>
      <c r="B189" s="59" t="inlineStr">
        <is>
          <t>input/ITB-O-003_検索機能.xlsx</t>
        </is>
      </c>
      <c r="C189" s="59" t="inlineStr">
        <is>
          <t>ITB-002_注文検索</t>
        </is>
      </c>
      <c r="D189" s="57" t="inlineStr">
        <is>
          <t>オンライン</t>
        </is>
      </c>
      <c r="E189" s="57" t="inlineStr">
        <is>
          <t>ITB-002_注文検索-010</t>
        </is>
      </c>
      <c r="F189" s="109" t="n">
        <v>46077</v>
      </c>
      <c r="G189" s="109" t="n">
        <v>46080</v>
      </c>
      <c r="H189" s="57">
        <f>IF(G189&lt;&gt;"","完了",IF(F189="","－",IF(F189&lt;=$L$2,"遅延","予定")))</f>
        <v/>
      </c>
      <c r="I189" s="109" t="n">
        <v>46079</v>
      </c>
      <c r="J189" s="57" t="inlineStr"/>
      <c r="K189" s="57">
        <f>IF(J189&lt;&gt;"","完了",IF(I189="","－",IF(I189&lt;=$L$2,"遅延","予定")))</f>
        <v/>
      </c>
      <c r="L189" s="57">
        <f>IF(AND(H189="完了",K189="完了"),"完了",IF(OR(H189="遅延",K189="遅延"),"遅延","進行中"))</f>
        <v/>
      </c>
    </row>
    <row r="190">
      <c r="A190" s="57" t="n">
        <v>186</v>
      </c>
      <c r="B190" s="59" t="inlineStr">
        <is>
          <t>input/ITB-O-003_検索機能.xlsx</t>
        </is>
      </c>
      <c r="C190" s="59" t="inlineStr">
        <is>
          <t>ITB-002_注文検索</t>
        </is>
      </c>
      <c r="D190" s="57" t="inlineStr">
        <is>
          <t>オンライン</t>
        </is>
      </c>
      <c r="E190" s="57" t="inlineStr">
        <is>
          <t>ITB-002_注文検索-011</t>
        </is>
      </c>
      <c r="F190" s="109" t="n">
        <v>46093</v>
      </c>
      <c r="G190" s="57" t="inlineStr"/>
      <c r="H190" s="57">
        <f>IF(G190&lt;&gt;"","完了",IF(F190="","－",IF(F190&lt;=$L$2,"遅延","予定")))</f>
        <v/>
      </c>
      <c r="I190" s="109" t="n">
        <v>46097</v>
      </c>
      <c r="J190" s="57" t="inlineStr"/>
      <c r="K190" s="57">
        <f>IF(J190&lt;&gt;"","完了",IF(I190="","－",IF(I190&lt;=$L$2,"遅延","予定")))</f>
        <v/>
      </c>
      <c r="L190" s="57">
        <f>IF(AND(H190="完了",K190="完了"),"完了",IF(OR(H190="遅延",K190="遅延"),"遅延","進行中"))</f>
        <v/>
      </c>
    </row>
    <row r="191">
      <c r="A191" s="57" t="n">
        <v>187</v>
      </c>
      <c r="B191" s="59" t="inlineStr">
        <is>
          <t>input/ITB-O-003_検索機能.xlsx</t>
        </is>
      </c>
      <c r="C191" s="59" t="inlineStr">
        <is>
          <t>ITB-002_注文検索</t>
        </is>
      </c>
      <c r="D191" s="57" t="inlineStr">
        <is>
          <t>オンライン</t>
        </is>
      </c>
      <c r="E191" s="57" t="inlineStr">
        <is>
          <t>ITB-002_注文検索-012</t>
        </is>
      </c>
      <c r="F191" s="109" t="n">
        <v>46095</v>
      </c>
      <c r="G191" s="57" t="inlineStr"/>
      <c r="H191" s="57">
        <f>IF(G191&lt;&gt;"","完了",IF(F191="","－",IF(F191&lt;=$L$2,"遅延","予定")))</f>
        <v/>
      </c>
      <c r="I191" s="109" t="n">
        <v>46098</v>
      </c>
      <c r="J191" s="57" t="inlineStr"/>
      <c r="K191" s="57">
        <f>IF(J191&lt;&gt;"","完了",IF(I191="","－",IF(I191&lt;=$L$2,"遅延","予定")))</f>
        <v/>
      </c>
      <c r="L191" s="57">
        <f>IF(AND(H191="完了",K191="完了"),"完了",IF(OR(H191="遅延",K191="遅延"),"遅延","進行中"))</f>
        <v/>
      </c>
    </row>
    <row r="192">
      <c r="A192" s="57" t="n">
        <v>188</v>
      </c>
      <c r="B192" s="59" t="inlineStr">
        <is>
          <t>input/ITB-O-003_検索機能.xlsx</t>
        </is>
      </c>
      <c r="C192" s="59" t="inlineStr">
        <is>
          <t>ITB-002_注文検索</t>
        </is>
      </c>
      <c r="D192" s="57" t="inlineStr">
        <is>
          <t>オンライン</t>
        </is>
      </c>
      <c r="E192" s="57" t="inlineStr">
        <is>
          <t>ITB-002_注文検索-013</t>
        </is>
      </c>
      <c r="F192" s="109" t="n">
        <v>46111</v>
      </c>
      <c r="G192" s="57" t="inlineStr"/>
      <c r="H192" s="57">
        <f>IF(G192&lt;&gt;"","完了",IF(F192="","－",IF(F192&lt;=$L$2,"遅延","予定")))</f>
        <v/>
      </c>
      <c r="I192" s="109" t="n">
        <v>46115</v>
      </c>
      <c r="J192" s="57" t="inlineStr"/>
      <c r="K192" s="57">
        <f>IF(J192&lt;&gt;"","完了",IF(I192="","－",IF(I192&lt;=$L$2,"遅延","予定")))</f>
        <v/>
      </c>
      <c r="L192" s="57">
        <f>IF(AND(H192="完了",K192="完了"),"完了",IF(OR(H192="遅延",K192="遅延"),"遅延","進行中"))</f>
        <v/>
      </c>
    </row>
    <row r="193">
      <c r="A193" s="57" t="n">
        <v>189</v>
      </c>
      <c r="B193" s="59" t="inlineStr">
        <is>
          <t>input/ITB-O-003_検索機能.xlsx</t>
        </is>
      </c>
      <c r="C193" s="59" t="inlineStr">
        <is>
          <t>ITB-002_注文検索</t>
        </is>
      </c>
      <c r="D193" s="57" t="inlineStr">
        <is>
          <t>オンライン</t>
        </is>
      </c>
      <c r="E193" s="57" t="inlineStr">
        <is>
          <t>ITB-002_注文検索-014</t>
        </is>
      </c>
      <c r="F193" s="109" t="n">
        <v>46123</v>
      </c>
      <c r="G193" s="57" t="inlineStr"/>
      <c r="H193" s="57">
        <f>IF(G193&lt;&gt;"","完了",IF(F193="","－",IF(F193&lt;=$L$2,"遅延","予定")))</f>
        <v/>
      </c>
      <c r="I193" s="109" t="n">
        <v>46126</v>
      </c>
      <c r="J193" s="57" t="inlineStr"/>
      <c r="K193" s="57">
        <f>IF(J193&lt;&gt;"","完了",IF(I193="","－",IF(I193&lt;=$L$2,"遅延","予定")))</f>
        <v/>
      </c>
      <c r="L193" s="57">
        <f>IF(AND(H193="完了",K193="完了"),"完了",IF(OR(H193="遅延",K193="遅延"),"遅延","進行中"))</f>
        <v/>
      </c>
    </row>
    <row r="194">
      <c r="A194" s="57" t="n">
        <v>190</v>
      </c>
      <c r="B194" s="59" t="inlineStr">
        <is>
          <t>input/ITB-O-003_検索機能.xlsx</t>
        </is>
      </c>
      <c r="C194" s="59" t="inlineStr">
        <is>
          <t>ITB-002_注文検索</t>
        </is>
      </c>
      <c r="D194" s="57" t="inlineStr">
        <is>
          <t>オンライン</t>
        </is>
      </c>
      <c r="E194" s="57" t="inlineStr">
        <is>
          <t>ITB-002_注文検索-015</t>
        </is>
      </c>
      <c r="F194" s="109" t="n">
        <v>46127</v>
      </c>
      <c r="G194" s="57" t="inlineStr"/>
      <c r="H194" s="57">
        <f>IF(G194&lt;&gt;"","完了",IF(F194="","－",IF(F194&lt;=$L$2,"遅延","予定")))</f>
        <v/>
      </c>
      <c r="I194" s="109" t="n">
        <v>46130</v>
      </c>
      <c r="J194" s="57" t="inlineStr"/>
      <c r="K194" s="57">
        <f>IF(J194&lt;&gt;"","完了",IF(I194="","－",IF(I194&lt;=$L$2,"遅延","予定")))</f>
        <v/>
      </c>
      <c r="L194" s="57">
        <f>IF(AND(H194="完了",K194="完了"),"完了",IF(OR(H194="遅延",K194="遅延"),"遅延","進行中"))</f>
        <v/>
      </c>
    </row>
    <row r="195">
      <c r="A195" s="57" t="n">
        <v>191</v>
      </c>
      <c r="B195" s="59" t="inlineStr">
        <is>
          <t>input/ITB-O-003_検索機能.xlsx</t>
        </is>
      </c>
      <c r="C195" s="59" t="inlineStr">
        <is>
          <t>ITB-002_注文検索</t>
        </is>
      </c>
      <c r="D195" s="57" t="inlineStr">
        <is>
          <t>オンライン</t>
        </is>
      </c>
      <c r="E195" s="57" t="inlineStr">
        <is>
          <t>ITB-002_注文検索-016</t>
        </is>
      </c>
      <c r="F195" s="109" t="n">
        <v>46134</v>
      </c>
      <c r="G195" s="57" t="inlineStr"/>
      <c r="H195" s="57">
        <f>IF(G195&lt;&gt;"","完了",IF(F195="","－",IF(F195&lt;=$L$2,"遅延","予定")))</f>
        <v/>
      </c>
      <c r="I195" s="109" t="n">
        <v>46137</v>
      </c>
      <c r="J195" s="57" t="inlineStr"/>
      <c r="K195" s="57">
        <f>IF(J195&lt;&gt;"","完了",IF(I195="","－",IF(I195&lt;=$L$2,"遅延","予定")))</f>
        <v/>
      </c>
      <c r="L195" s="57">
        <f>IF(AND(H195="完了",K195="完了"),"完了",IF(OR(H195="遅延",K195="遅延"),"遅延","進行中"))</f>
        <v/>
      </c>
    </row>
    <row r="196">
      <c r="A196" s="57" t="n">
        <v>192</v>
      </c>
      <c r="B196" s="59" t="inlineStr">
        <is>
          <t>input/ITB-O-003_検索機能.xlsx</t>
        </is>
      </c>
      <c r="C196" s="59" t="inlineStr">
        <is>
          <t>ITB-002_注文検索</t>
        </is>
      </c>
      <c r="D196" s="57" t="inlineStr">
        <is>
          <t>オンライン</t>
        </is>
      </c>
      <c r="E196" s="57" t="inlineStr">
        <is>
          <t>ITB-002_注文検索-017</t>
        </is>
      </c>
      <c r="F196" s="109" t="n">
        <v>46150</v>
      </c>
      <c r="G196" s="57" t="inlineStr"/>
      <c r="H196" s="57">
        <f>IF(G196&lt;&gt;"","完了",IF(F196="","－",IF(F196&lt;=$L$2,"遅延","予定")))</f>
        <v/>
      </c>
      <c r="I196" s="109" t="n">
        <v>46151</v>
      </c>
      <c r="J196" s="57" t="inlineStr"/>
      <c r="K196" s="57">
        <f>IF(J196&lt;&gt;"","完了",IF(I196="","－",IF(I196&lt;=$L$2,"遅延","予定")))</f>
        <v/>
      </c>
      <c r="L196" s="57">
        <f>IF(AND(H196="完了",K196="完了"),"完了",IF(OR(H196="遅延",K196="遅延"),"遅延","進行中"))</f>
        <v/>
      </c>
    </row>
    <row r="197">
      <c r="A197" s="57" t="n">
        <v>193</v>
      </c>
      <c r="B197" s="59" t="inlineStr">
        <is>
          <t>input/ITB-O-003_検索機能.xlsx</t>
        </is>
      </c>
      <c r="C197" s="59" t="inlineStr">
        <is>
          <t>ITB-002_注文検索</t>
        </is>
      </c>
      <c r="D197" s="57" t="inlineStr">
        <is>
          <t>オンライン</t>
        </is>
      </c>
      <c r="E197" s="57" t="inlineStr">
        <is>
          <t>ITB-002_注文検索-018</t>
        </is>
      </c>
      <c r="F197" s="109" t="n">
        <v>46154</v>
      </c>
      <c r="G197" s="57" t="inlineStr"/>
      <c r="H197" s="57">
        <f>IF(G197&lt;&gt;"","完了",IF(F197="","－",IF(F197&lt;=$L$2,"遅延","予定")))</f>
        <v/>
      </c>
      <c r="I197" s="109" t="n">
        <v>46157</v>
      </c>
      <c r="J197" s="57" t="inlineStr"/>
      <c r="K197" s="57">
        <f>IF(J197&lt;&gt;"","完了",IF(I197="","－",IF(I197&lt;=$L$2,"遅延","予定")))</f>
        <v/>
      </c>
      <c r="L197" s="57">
        <f>IF(AND(H197="完了",K197="完了"),"完了",IF(OR(H197="遅延",K197="遅延"),"遅延","進行中"))</f>
        <v/>
      </c>
    </row>
    <row r="198">
      <c r="A198" s="57" t="n">
        <v>194</v>
      </c>
      <c r="B198" s="59" t="inlineStr">
        <is>
          <t>input/ITB-O-003_検索機能.xlsx</t>
        </is>
      </c>
      <c r="C198" s="59" t="inlineStr">
        <is>
          <t>ITB-002_注文検索</t>
        </is>
      </c>
      <c r="D198" s="57" t="inlineStr">
        <is>
          <t>オンライン</t>
        </is>
      </c>
      <c r="E198" s="57" t="inlineStr">
        <is>
          <t>ITB-002_注文検索-019</t>
        </is>
      </c>
      <c r="F198" s="109" t="n">
        <v>46160</v>
      </c>
      <c r="G198" s="57" t="inlineStr"/>
      <c r="H198" s="57">
        <f>IF(G198&lt;&gt;"","完了",IF(F198="","－",IF(F198&lt;=$L$2,"遅延","予定")))</f>
        <v/>
      </c>
      <c r="I198" s="109" t="n">
        <v>46164</v>
      </c>
      <c r="J198" s="57" t="inlineStr"/>
      <c r="K198" s="57">
        <f>IF(J198&lt;&gt;"","完了",IF(I198="","－",IF(I198&lt;=$L$2,"遅延","予定")))</f>
        <v/>
      </c>
      <c r="L198" s="57">
        <f>IF(AND(H198="完了",K198="完了"),"完了",IF(OR(H198="遅延",K198="遅延"),"遅延","進行中"))</f>
        <v/>
      </c>
    </row>
    <row r="199">
      <c r="A199" s="57" t="n">
        <v>195</v>
      </c>
      <c r="B199" s="59" t="inlineStr">
        <is>
          <t>input/ITB-O-003_検索機能.xlsx</t>
        </is>
      </c>
      <c r="C199" s="59" t="inlineStr">
        <is>
          <t>ITB-002_注文検索</t>
        </is>
      </c>
      <c r="D199" s="57" t="inlineStr">
        <is>
          <t>オンライン</t>
        </is>
      </c>
      <c r="E199" s="57" t="inlineStr">
        <is>
          <t>ITB-002_注文検索-020</t>
        </is>
      </c>
      <c r="F199" s="109" t="n">
        <v>46173</v>
      </c>
      <c r="G199" s="57" t="inlineStr"/>
      <c r="H199" s="57">
        <f>IF(G199&lt;&gt;"","完了",IF(F199="","－",IF(F199&lt;=$L$2,"遅延","予定")))</f>
        <v/>
      </c>
      <c r="I199" s="109" t="n">
        <v>46174</v>
      </c>
      <c r="J199" s="57" t="inlineStr"/>
      <c r="K199" s="57">
        <f>IF(J199&lt;&gt;"","完了",IF(I199="","－",IF(I199&lt;=$L$2,"遅延","予定")))</f>
        <v/>
      </c>
      <c r="L199" s="57">
        <f>IF(AND(H199="完了",K199="完了"),"完了",IF(OR(H199="遅延",K199="遅延"),"遅延","進行中"))</f>
        <v/>
      </c>
    </row>
    <row r="200">
      <c r="A200" s="57" t="n">
        <v>196</v>
      </c>
      <c r="B200" s="59" t="inlineStr">
        <is>
          <t>input/ITB-O-004_カート機能.xlsx</t>
        </is>
      </c>
      <c r="C200" s="59" t="inlineStr">
        <is>
          <t>ITB-001_カート追加</t>
        </is>
      </c>
      <c r="D200" s="57" t="inlineStr">
        <is>
          <t>オンライン</t>
        </is>
      </c>
      <c r="E200" s="57" t="inlineStr">
        <is>
          <t>ITB-001_カート追加-001</t>
        </is>
      </c>
      <c r="F200" s="109" t="n">
        <v>46010</v>
      </c>
      <c r="G200" s="109" t="n">
        <v>46010</v>
      </c>
      <c r="H200" s="57">
        <f>IF(G200&lt;&gt;"","完了",IF(F200="","－",IF(F200&lt;=$L$2,"遅延","予定")))</f>
        <v/>
      </c>
      <c r="I200" s="109" t="n">
        <v>46012</v>
      </c>
      <c r="J200" s="109" t="n">
        <v>46011</v>
      </c>
      <c r="K200" s="57">
        <f>IF(J200&lt;&gt;"","完了",IF(I200="","－",IF(I200&lt;=$L$2,"遅延","予定")))</f>
        <v/>
      </c>
      <c r="L200" s="57">
        <f>IF(AND(H200="完了",K200="完了"),"完了",IF(OR(H200="遅延",K200="遅延"),"遅延","進行中"))</f>
        <v/>
      </c>
    </row>
    <row r="201">
      <c r="A201" s="57" t="n">
        <v>197</v>
      </c>
      <c r="B201" s="59" t="inlineStr">
        <is>
          <t>input/ITB-O-004_カート機能.xlsx</t>
        </is>
      </c>
      <c r="C201" s="59" t="inlineStr">
        <is>
          <t>ITB-001_カート追加</t>
        </is>
      </c>
      <c r="D201" s="57" t="inlineStr">
        <is>
          <t>オンライン</t>
        </is>
      </c>
      <c r="E201" s="57" t="inlineStr">
        <is>
          <t>ITB-001_カート追加-002</t>
        </is>
      </c>
      <c r="F201" s="109" t="n">
        <v>46032</v>
      </c>
      <c r="G201" s="57" t="inlineStr"/>
      <c r="H201" s="57">
        <f>IF(G201&lt;&gt;"","完了",IF(F201="","－",IF(F201&lt;=$L$2,"遅延","予定")))</f>
        <v/>
      </c>
      <c r="I201" s="109" t="n">
        <v>46033</v>
      </c>
      <c r="J201" s="57" t="inlineStr"/>
      <c r="K201" s="57">
        <f>IF(J201&lt;&gt;"","完了",IF(I201="","－",IF(I201&lt;=$L$2,"遅延","予定")))</f>
        <v/>
      </c>
      <c r="L201" s="57">
        <f>IF(AND(H201="完了",K201="完了"),"完了",IF(OR(H201="遅延",K201="遅延"),"遅延","進行中"))</f>
        <v/>
      </c>
    </row>
    <row r="202">
      <c r="A202" s="57" t="n">
        <v>198</v>
      </c>
      <c r="B202" s="59" t="inlineStr">
        <is>
          <t>input/ITB-O-004_カート機能.xlsx</t>
        </is>
      </c>
      <c r="C202" s="59" t="inlineStr">
        <is>
          <t>ITB-001_カート追加</t>
        </is>
      </c>
      <c r="D202" s="57" t="inlineStr">
        <is>
          <t>オンライン</t>
        </is>
      </c>
      <c r="E202" s="57" t="inlineStr">
        <is>
          <t>ITB-001_カート追加-003</t>
        </is>
      </c>
      <c r="F202" s="109" t="n">
        <v>46047</v>
      </c>
      <c r="G202" s="109" t="n">
        <v>46045</v>
      </c>
      <c r="H202" s="57">
        <f>IF(G202&lt;&gt;"","完了",IF(F202="","－",IF(F202&lt;=$L$2,"遅延","予定")))</f>
        <v/>
      </c>
      <c r="I202" s="109" t="n">
        <v>46048</v>
      </c>
      <c r="J202" s="109" t="n">
        <v>46048</v>
      </c>
      <c r="K202" s="57">
        <f>IF(J202&lt;&gt;"","完了",IF(I202="","－",IF(I202&lt;=$L$2,"遅延","予定")))</f>
        <v/>
      </c>
      <c r="L202" s="57">
        <f>IF(AND(H202="完了",K202="完了"),"完了",IF(OR(H202="遅延",K202="遅延"),"遅延","進行中"))</f>
        <v/>
      </c>
    </row>
    <row r="203">
      <c r="A203" s="57" t="n">
        <v>199</v>
      </c>
      <c r="B203" s="59" t="inlineStr">
        <is>
          <t>input/ITB-O-004_カート機能.xlsx</t>
        </is>
      </c>
      <c r="C203" s="59" t="inlineStr">
        <is>
          <t>ITB-001_カート追加</t>
        </is>
      </c>
      <c r="D203" s="57" t="inlineStr">
        <is>
          <t>オンライン</t>
        </is>
      </c>
      <c r="E203" s="57" t="inlineStr">
        <is>
          <t>ITB-001_カート追加-004</t>
        </is>
      </c>
      <c r="F203" s="109" t="n">
        <v>46068</v>
      </c>
      <c r="G203" s="57" t="inlineStr"/>
      <c r="H203" s="57">
        <f>IF(G203&lt;&gt;"","完了",IF(F203="","－",IF(F203&lt;=$L$2,"遅延","予定")))</f>
        <v/>
      </c>
      <c r="I203" s="109" t="n">
        <v>46073</v>
      </c>
      <c r="J203" s="57" t="inlineStr"/>
      <c r="K203" s="57">
        <f>IF(J203&lt;&gt;"","完了",IF(I203="","－",IF(I203&lt;=$L$2,"遅延","予定")))</f>
        <v/>
      </c>
      <c r="L203" s="57">
        <f>IF(AND(H203="完了",K203="完了"),"完了",IF(OR(H203="遅延",K203="遅延"),"遅延","進行中"))</f>
        <v/>
      </c>
    </row>
    <row r="204">
      <c r="A204" s="57" t="n">
        <v>200</v>
      </c>
      <c r="B204" s="59" t="inlineStr">
        <is>
          <t>input/ITB-O-004_カート機能.xlsx</t>
        </is>
      </c>
      <c r="C204" s="59" t="inlineStr">
        <is>
          <t>ITB-001_カート追加</t>
        </is>
      </c>
      <c r="D204" s="57" t="inlineStr">
        <is>
          <t>オンライン</t>
        </is>
      </c>
      <c r="E204" s="57" t="inlineStr">
        <is>
          <t>ITB-001_カート追加-005</t>
        </is>
      </c>
      <c r="F204" s="109" t="n">
        <v>46087</v>
      </c>
      <c r="G204" s="57" t="inlineStr"/>
      <c r="H204" s="57">
        <f>IF(G204&lt;&gt;"","完了",IF(F204="","－",IF(F204&lt;=$L$2,"遅延","予定")))</f>
        <v/>
      </c>
      <c r="I204" s="109" t="n">
        <v>46088</v>
      </c>
      <c r="J204" s="57" t="inlineStr"/>
      <c r="K204" s="57">
        <f>IF(J204&lt;&gt;"","完了",IF(I204="","－",IF(I204&lt;=$L$2,"遅延","予定")))</f>
        <v/>
      </c>
      <c r="L204" s="57">
        <f>IF(AND(H204="完了",K204="完了"),"完了",IF(OR(H204="遅延",K204="遅延"),"遅延","進行中"))</f>
        <v/>
      </c>
    </row>
    <row r="205">
      <c r="A205" s="57" t="n">
        <v>201</v>
      </c>
      <c r="B205" s="59" t="inlineStr">
        <is>
          <t>input/ITB-O-004_カート機能.xlsx</t>
        </is>
      </c>
      <c r="C205" s="59" t="inlineStr">
        <is>
          <t>ITB-001_カート追加</t>
        </is>
      </c>
      <c r="D205" s="57" t="inlineStr">
        <is>
          <t>オンライン</t>
        </is>
      </c>
      <c r="E205" s="57" t="inlineStr">
        <is>
          <t>ITB-001_カート追加-006</t>
        </is>
      </c>
      <c r="F205" s="109" t="n">
        <v>46100</v>
      </c>
      <c r="G205" s="57" t="inlineStr"/>
      <c r="H205" s="57">
        <f>IF(G205&lt;&gt;"","完了",IF(F205="","－",IF(F205&lt;=$L$2,"遅延","予定")))</f>
        <v/>
      </c>
      <c r="I205" s="109" t="n">
        <v>46103</v>
      </c>
      <c r="J205" s="57" t="inlineStr"/>
      <c r="K205" s="57">
        <f>IF(J205&lt;&gt;"","完了",IF(I205="","－",IF(I205&lt;=$L$2,"遅延","予定")))</f>
        <v/>
      </c>
      <c r="L205" s="57">
        <f>IF(AND(H205="完了",K205="完了"),"完了",IF(OR(H205="遅延",K205="遅延"),"遅延","進行中"))</f>
        <v/>
      </c>
    </row>
    <row r="206">
      <c r="A206" s="57" t="n">
        <v>202</v>
      </c>
      <c r="B206" s="59" t="inlineStr">
        <is>
          <t>input/ITB-O-004_カート機能.xlsx</t>
        </is>
      </c>
      <c r="C206" s="59" t="inlineStr">
        <is>
          <t>ITB-001_カート追加</t>
        </is>
      </c>
      <c r="D206" s="57" t="inlineStr">
        <is>
          <t>オンライン</t>
        </is>
      </c>
      <c r="E206" s="57" t="inlineStr">
        <is>
          <t>ITB-001_カート追加-007</t>
        </is>
      </c>
      <c r="F206" s="109" t="n">
        <v>46121</v>
      </c>
      <c r="G206" s="57" t="inlineStr"/>
      <c r="H206" s="57">
        <f>IF(G206&lt;&gt;"","完了",IF(F206="","－",IF(F206&lt;=$L$2,"遅延","予定")))</f>
        <v/>
      </c>
      <c r="I206" s="109" t="n">
        <v>46123</v>
      </c>
      <c r="J206" s="57" t="inlineStr"/>
      <c r="K206" s="57">
        <f>IF(J206&lt;&gt;"","完了",IF(I206="","－",IF(I206&lt;=$L$2,"遅延","予定")))</f>
        <v/>
      </c>
      <c r="L206" s="57">
        <f>IF(AND(H206="完了",K206="完了"),"完了",IF(OR(H206="遅延",K206="遅延"),"遅延","進行中"))</f>
        <v/>
      </c>
    </row>
    <row r="207">
      <c r="A207" s="57" t="n">
        <v>203</v>
      </c>
      <c r="B207" s="59" t="inlineStr">
        <is>
          <t>input/ITB-O-004_カート機能.xlsx</t>
        </is>
      </c>
      <c r="C207" s="59" t="inlineStr">
        <is>
          <t>ITB-001_カート追加</t>
        </is>
      </c>
      <c r="D207" s="57" t="inlineStr">
        <is>
          <t>オンライン</t>
        </is>
      </c>
      <c r="E207" s="57" t="inlineStr">
        <is>
          <t>ITB-001_カート追加-008</t>
        </is>
      </c>
      <c r="F207" s="109" t="n">
        <v>46131</v>
      </c>
      <c r="G207" s="57" t="inlineStr"/>
      <c r="H207" s="57">
        <f>IF(G207&lt;&gt;"","完了",IF(F207="","－",IF(F207&lt;=$L$2,"遅延","予定")))</f>
        <v/>
      </c>
      <c r="I207" s="109" t="n">
        <v>46132</v>
      </c>
      <c r="J207" s="57" t="inlineStr"/>
      <c r="K207" s="57">
        <f>IF(J207&lt;&gt;"","完了",IF(I207="","－",IF(I207&lt;=$L$2,"遅延","予定")))</f>
        <v/>
      </c>
      <c r="L207" s="57">
        <f>IF(AND(H207="完了",K207="完了"),"完了",IF(OR(H207="遅延",K207="遅延"),"遅延","進行中"))</f>
        <v/>
      </c>
    </row>
    <row r="208">
      <c r="A208" s="57" t="n">
        <v>204</v>
      </c>
      <c r="B208" s="59" t="inlineStr">
        <is>
          <t>input/ITB-O-004_カート機能.xlsx</t>
        </is>
      </c>
      <c r="C208" s="59" t="inlineStr">
        <is>
          <t>ITB-001_カート追加</t>
        </is>
      </c>
      <c r="D208" s="57" t="inlineStr">
        <is>
          <t>オンライン</t>
        </is>
      </c>
      <c r="E208" s="57" t="inlineStr">
        <is>
          <t>ITB-001_カート追加-009</t>
        </is>
      </c>
      <c r="F208" s="109" t="n">
        <v>46158</v>
      </c>
      <c r="G208" s="57" t="inlineStr"/>
      <c r="H208" s="57">
        <f>IF(G208&lt;&gt;"","完了",IF(F208="","－",IF(F208&lt;=$L$2,"遅延","予定")))</f>
        <v/>
      </c>
      <c r="I208" s="109" t="n">
        <v>46163</v>
      </c>
      <c r="J208" s="57" t="inlineStr"/>
      <c r="K208" s="57">
        <f>IF(J208&lt;&gt;"","完了",IF(I208="","－",IF(I208&lt;=$L$2,"遅延","予定")))</f>
        <v/>
      </c>
      <c r="L208" s="57">
        <f>IF(AND(H208="完了",K208="完了"),"完了",IF(OR(H208="遅延",K208="遅延"),"遅延","進行中"))</f>
        <v/>
      </c>
    </row>
    <row r="209">
      <c r="A209" s="57" t="n">
        <v>205</v>
      </c>
      <c r="B209" s="59" t="inlineStr">
        <is>
          <t>input/ITB-O-004_カート機能.xlsx</t>
        </is>
      </c>
      <c r="C209" s="59" t="inlineStr">
        <is>
          <t>ITB-001_カート追加</t>
        </is>
      </c>
      <c r="D209" s="57" t="inlineStr">
        <is>
          <t>オンライン</t>
        </is>
      </c>
      <c r="E209" s="57" t="inlineStr">
        <is>
          <t>ITB-001_カート追加-010</t>
        </is>
      </c>
      <c r="F209" s="109" t="n">
        <v>46176</v>
      </c>
      <c r="G209" s="57" t="inlineStr"/>
      <c r="H209" s="57">
        <f>IF(G209&lt;&gt;"","完了",IF(F209="","－",IF(F209&lt;=$L$2,"遅延","予定")))</f>
        <v/>
      </c>
      <c r="I209" s="109" t="n">
        <v>46178</v>
      </c>
      <c r="J209" s="57" t="inlineStr"/>
      <c r="K209" s="57">
        <f>IF(J209&lt;&gt;"","完了",IF(I209="","－",IF(I209&lt;=$L$2,"遅延","予定")))</f>
        <v/>
      </c>
      <c r="L209" s="57">
        <f>IF(AND(H209="完了",K209="完了"),"完了",IF(OR(H209="遅延",K209="遅延"),"遅延","進行中"))</f>
        <v/>
      </c>
    </row>
    <row r="210">
      <c r="A210" s="57" t="n">
        <v>206</v>
      </c>
      <c r="B210" s="59" t="inlineStr">
        <is>
          <t>input/ITB-O-004_カート機能.xlsx</t>
        </is>
      </c>
      <c r="C210" s="59" t="inlineStr">
        <is>
          <t>ITB-002_カート編集</t>
        </is>
      </c>
      <c r="D210" s="57" t="inlineStr">
        <is>
          <t>オンライン</t>
        </is>
      </c>
      <c r="E210" s="57" t="inlineStr">
        <is>
          <t>ITB-002_カート編集-001</t>
        </is>
      </c>
      <c r="F210" s="109" t="n">
        <v>46005</v>
      </c>
      <c r="G210" s="57" t="inlineStr"/>
      <c r="H210" s="57">
        <f>IF(G210&lt;&gt;"","完了",IF(F210="","－",IF(F210&lt;=$L$2,"遅延","予定")))</f>
        <v/>
      </c>
      <c r="I210" s="109" t="n">
        <v>46007</v>
      </c>
      <c r="J210" s="57" t="inlineStr"/>
      <c r="K210" s="57">
        <f>IF(J210&lt;&gt;"","完了",IF(I210="","－",IF(I210&lt;=$L$2,"遅延","予定")))</f>
        <v/>
      </c>
      <c r="L210" s="57">
        <f>IF(AND(H210="完了",K210="完了"),"完了",IF(OR(H210="遅延",K210="遅延"),"遅延","進行中"))</f>
        <v/>
      </c>
    </row>
    <row r="211">
      <c r="A211" s="57" t="n">
        <v>207</v>
      </c>
      <c r="B211" s="59" t="inlineStr">
        <is>
          <t>input/ITB-O-004_カート機能.xlsx</t>
        </is>
      </c>
      <c r="C211" s="59" t="inlineStr">
        <is>
          <t>ITB-002_カート編集</t>
        </is>
      </c>
      <c r="D211" s="57" t="inlineStr">
        <is>
          <t>オンライン</t>
        </is>
      </c>
      <c r="E211" s="57" t="inlineStr">
        <is>
          <t>ITB-002_カート編集-002</t>
        </is>
      </c>
      <c r="F211" s="109" t="n">
        <v>46027</v>
      </c>
      <c r="G211" s="109" t="n">
        <v>46028</v>
      </c>
      <c r="H211" s="57">
        <f>IF(G211&lt;&gt;"","完了",IF(F211="","－",IF(F211&lt;=$L$2,"遅延","予定")))</f>
        <v/>
      </c>
      <c r="I211" s="109" t="n">
        <v>46028</v>
      </c>
      <c r="J211" s="109" t="n">
        <v>46027</v>
      </c>
      <c r="K211" s="57">
        <f>IF(J211&lt;&gt;"","完了",IF(I211="","－",IF(I211&lt;=$L$2,"遅延","予定")))</f>
        <v/>
      </c>
      <c r="L211" s="57">
        <f>IF(AND(H211="完了",K211="完了"),"完了",IF(OR(H211="遅延",K211="遅延"),"遅延","進行中"))</f>
        <v/>
      </c>
    </row>
    <row r="212">
      <c r="A212" s="57" t="n">
        <v>208</v>
      </c>
      <c r="B212" s="59" t="inlineStr">
        <is>
          <t>input/ITB-O-004_カート機能.xlsx</t>
        </is>
      </c>
      <c r="C212" s="59" t="inlineStr">
        <is>
          <t>ITB-002_カート編集</t>
        </is>
      </c>
      <c r="D212" s="57" t="inlineStr">
        <is>
          <t>オンライン</t>
        </is>
      </c>
      <c r="E212" s="57" t="inlineStr">
        <is>
          <t>ITB-002_カート編集-003</t>
        </is>
      </c>
      <c r="F212" s="109" t="n">
        <v>46050</v>
      </c>
      <c r="G212" s="109" t="n">
        <v>46049</v>
      </c>
      <c r="H212" s="57">
        <f>IF(G212&lt;&gt;"","完了",IF(F212="","－",IF(F212&lt;=$L$2,"遅延","予定")))</f>
        <v/>
      </c>
      <c r="I212" s="109" t="n">
        <v>46053</v>
      </c>
      <c r="J212" s="109" t="n">
        <v>46054</v>
      </c>
      <c r="K212" s="57">
        <f>IF(J212&lt;&gt;"","完了",IF(I212="","－",IF(I212&lt;=$L$2,"遅延","予定")))</f>
        <v/>
      </c>
      <c r="L212" s="57">
        <f>IF(AND(H212="完了",K212="完了"),"完了",IF(OR(H212="遅延",K212="遅延"),"遅延","進行中"))</f>
        <v/>
      </c>
    </row>
    <row r="213">
      <c r="A213" s="57" t="n">
        <v>209</v>
      </c>
      <c r="B213" s="59" t="inlineStr">
        <is>
          <t>input/ITB-O-004_カート機能.xlsx</t>
        </is>
      </c>
      <c r="C213" s="59" t="inlineStr">
        <is>
          <t>ITB-002_カート編集</t>
        </is>
      </c>
      <c r="D213" s="57" t="inlineStr">
        <is>
          <t>オンライン</t>
        </is>
      </c>
      <c r="E213" s="57" t="inlineStr">
        <is>
          <t>ITB-002_カート編集-004</t>
        </is>
      </c>
      <c r="F213" s="109" t="n">
        <v>46062</v>
      </c>
      <c r="G213" s="109" t="n">
        <v>46065</v>
      </c>
      <c r="H213" s="57">
        <f>IF(G213&lt;&gt;"","完了",IF(F213="","－",IF(F213&lt;=$L$2,"遅延","予定")))</f>
        <v/>
      </c>
      <c r="I213" s="109" t="n">
        <v>46067</v>
      </c>
      <c r="J213" s="109" t="n">
        <v>46069</v>
      </c>
      <c r="K213" s="57">
        <f>IF(J213&lt;&gt;"","完了",IF(I213="","－",IF(I213&lt;=$L$2,"遅延","予定")))</f>
        <v/>
      </c>
      <c r="L213" s="57">
        <f>IF(AND(H213="完了",K213="完了"),"完了",IF(OR(H213="遅延",K213="遅延"),"遅延","進行中"))</f>
        <v/>
      </c>
    </row>
    <row r="214">
      <c r="A214" s="57" t="n">
        <v>210</v>
      </c>
      <c r="B214" s="59" t="inlineStr">
        <is>
          <t>input/ITB-O-004_カート機能.xlsx</t>
        </is>
      </c>
      <c r="C214" s="59" t="inlineStr">
        <is>
          <t>ITB-002_カート編集</t>
        </is>
      </c>
      <c r="D214" s="57" t="inlineStr">
        <is>
          <t>オンライン</t>
        </is>
      </c>
      <c r="E214" s="57" t="inlineStr">
        <is>
          <t>ITB-002_カート編集-005</t>
        </is>
      </c>
      <c r="F214" s="109" t="n">
        <v>46080</v>
      </c>
      <c r="G214" s="109" t="n">
        <v>46079</v>
      </c>
      <c r="H214" s="57">
        <f>IF(G214&lt;&gt;"","完了",IF(F214="","－",IF(F214&lt;=$L$2,"遅延","予定")))</f>
        <v/>
      </c>
      <c r="I214" s="109" t="n">
        <v>46082</v>
      </c>
      <c r="J214" s="109" t="n">
        <v>46082</v>
      </c>
      <c r="K214" s="57">
        <f>IF(J214&lt;&gt;"","完了",IF(I214="","－",IF(I214&lt;=$L$2,"遅延","予定")))</f>
        <v/>
      </c>
      <c r="L214" s="57">
        <f>IF(AND(H214="完了",K214="完了"),"完了",IF(OR(H214="遅延",K214="遅延"),"遅延","進行中"))</f>
        <v/>
      </c>
    </row>
    <row r="215">
      <c r="A215" s="57" t="n">
        <v>211</v>
      </c>
      <c r="B215" s="59" t="inlineStr">
        <is>
          <t>input/ITB-O-004_カート機能.xlsx</t>
        </is>
      </c>
      <c r="C215" s="59" t="inlineStr">
        <is>
          <t>ITB-002_カート編集</t>
        </is>
      </c>
      <c r="D215" s="57" t="inlineStr">
        <is>
          <t>オンライン</t>
        </is>
      </c>
      <c r="E215" s="57" t="inlineStr">
        <is>
          <t>ITB-002_カート編集-006</t>
        </is>
      </c>
      <c r="F215" s="109" t="n">
        <v>46104</v>
      </c>
      <c r="G215" s="57" t="inlineStr"/>
      <c r="H215" s="57">
        <f>IF(G215&lt;&gt;"","完了",IF(F215="","－",IF(F215&lt;=$L$2,"遅延","予定")))</f>
        <v/>
      </c>
      <c r="I215" s="109" t="n">
        <v>46107</v>
      </c>
      <c r="J215" s="57" t="inlineStr"/>
      <c r="K215" s="57">
        <f>IF(J215&lt;&gt;"","完了",IF(I215="","－",IF(I215&lt;=$L$2,"遅延","予定")))</f>
        <v/>
      </c>
      <c r="L215" s="57">
        <f>IF(AND(H215="完了",K215="完了"),"完了",IF(OR(H215="遅延",K215="遅延"),"遅延","進行中"))</f>
        <v/>
      </c>
    </row>
    <row r="216">
      <c r="A216" s="57" t="n">
        <v>212</v>
      </c>
      <c r="B216" s="59" t="inlineStr">
        <is>
          <t>input/ITB-O-004_カート機能.xlsx</t>
        </is>
      </c>
      <c r="C216" s="59" t="inlineStr">
        <is>
          <t>ITB-002_カート編集</t>
        </is>
      </c>
      <c r="D216" s="57" t="inlineStr">
        <is>
          <t>オンライン</t>
        </is>
      </c>
      <c r="E216" s="57" t="inlineStr">
        <is>
          <t>ITB-002_カート編集-007</t>
        </is>
      </c>
      <c r="F216" s="109" t="n">
        <v>46113</v>
      </c>
      <c r="G216" s="57" t="inlineStr"/>
      <c r="H216" s="57">
        <f>IF(G216&lt;&gt;"","完了",IF(F216="","－",IF(F216&lt;=$L$2,"遅延","予定")))</f>
        <v/>
      </c>
      <c r="I216" s="109" t="n">
        <v>46117</v>
      </c>
      <c r="J216" s="57" t="inlineStr"/>
      <c r="K216" s="57">
        <f>IF(J216&lt;&gt;"","完了",IF(I216="","－",IF(I216&lt;=$L$2,"遅延","予定")))</f>
        <v/>
      </c>
      <c r="L216" s="57">
        <f>IF(AND(H216="完了",K216="完了"),"完了",IF(OR(H216="遅延",K216="遅延"),"遅延","進行中"))</f>
        <v/>
      </c>
    </row>
    <row r="217">
      <c r="A217" s="57" t="n">
        <v>213</v>
      </c>
      <c r="B217" s="59" t="inlineStr">
        <is>
          <t>input/ITB-O-004_カート機能.xlsx</t>
        </is>
      </c>
      <c r="C217" s="59" t="inlineStr">
        <is>
          <t>ITB-002_カート編集</t>
        </is>
      </c>
      <c r="D217" s="57" t="inlineStr">
        <is>
          <t>オンライン</t>
        </is>
      </c>
      <c r="E217" s="57" t="inlineStr">
        <is>
          <t>ITB-002_カート編集-008</t>
        </is>
      </c>
      <c r="F217" s="109" t="n">
        <v>46141</v>
      </c>
      <c r="G217" s="57" t="inlineStr"/>
      <c r="H217" s="57">
        <f>IF(G217&lt;&gt;"","完了",IF(F217="","－",IF(F217&lt;=$L$2,"遅延","予定")))</f>
        <v/>
      </c>
      <c r="I217" s="109" t="n">
        <v>46142</v>
      </c>
      <c r="J217" s="57" t="inlineStr"/>
      <c r="K217" s="57">
        <f>IF(J217&lt;&gt;"","完了",IF(I217="","－",IF(I217&lt;=$L$2,"遅延","予定")))</f>
        <v/>
      </c>
      <c r="L217" s="57">
        <f>IF(AND(H217="完了",K217="完了"),"完了",IF(OR(H217="遅延",K217="遅延"),"遅延","進行中"))</f>
        <v/>
      </c>
    </row>
    <row r="218">
      <c r="A218" s="57" t="n">
        <v>214</v>
      </c>
      <c r="B218" s="59" t="inlineStr">
        <is>
          <t>input/ITB-O-004_カート機能.xlsx</t>
        </is>
      </c>
      <c r="C218" s="59" t="inlineStr">
        <is>
          <t>ITB-002_カート編集</t>
        </is>
      </c>
      <c r="D218" s="57" t="inlineStr">
        <is>
          <t>オンライン</t>
        </is>
      </c>
      <c r="E218" s="57" t="inlineStr">
        <is>
          <t>ITB-002_カート編集-009</t>
        </is>
      </c>
      <c r="F218" s="109" t="n">
        <v>46154</v>
      </c>
      <c r="G218" s="57" t="inlineStr"/>
      <c r="H218" s="57">
        <f>IF(G218&lt;&gt;"","完了",IF(F218="","－",IF(F218&lt;=$L$2,"遅延","予定")))</f>
        <v/>
      </c>
      <c r="I218" s="109" t="n">
        <v>46155</v>
      </c>
      <c r="J218" s="57" t="inlineStr"/>
      <c r="K218" s="57">
        <f>IF(J218&lt;&gt;"","完了",IF(I218="","－",IF(I218&lt;=$L$2,"遅延","予定")))</f>
        <v/>
      </c>
      <c r="L218" s="57">
        <f>IF(AND(H218="完了",K218="完了"),"完了",IF(OR(H218="遅延",K218="遅延"),"遅延","進行中"))</f>
        <v/>
      </c>
    </row>
    <row r="219">
      <c r="A219" s="57" t="n">
        <v>215</v>
      </c>
      <c r="B219" s="59" t="inlineStr">
        <is>
          <t>input/ITB-O-004_カート機能.xlsx</t>
        </is>
      </c>
      <c r="C219" s="59" t="inlineStr">
        <is>
          <t>ITB-002_カート編集</t>
        </is>
      </c>
      <c r="D219" s="57" t="inlineStr">
        <is>
          <t>オンライン</t>
        </is>
      </c>
      <c r="E219" s="57" t="inlineStr">
        <is>
          <t>ITB-002_カート編集-010</t>
        </is>
      </c>
      <c r="F219" s="109" t="n">
        <v>46177</v>
      </c>
      <c r="G219" s="57" t="inlineStr"/>
      <c r="H219" s="57">
        <f>IF(G219&lt;&gt;"","完了",IF(F219="","－",IF(F219&lt;=$L$2,"遅延","予定")))</f>
        <v/>
      </c>
      <c r="I219" s="109" t="n">
        <v>46181</v>
      </c>
      <c r="J219" s="57" t="inlineStr"/>
      <c r="K219" s="57">
        <f>IF(J219&lt;&gt;"","完了",IF(I219="","－",IF(I219&lt;=$L$2,"遅延","予定")))</f>
        <v/>
      </c>
      <c r="L219" s="57">
        <f>IF(AND(H219="完了",K219="完了"),"完了",IF(OR(H219="遅延",K219="遅延"),"遅延","進行中"))</f>
        <v/>
      </c>
    </row>
    <row r="220">
      <c r="A220" s="57" t="n">
        <v>216</v>
      </c>
      <c r="B220" s="59" t="inlineStr">
        <is>
          <t>input/ITB-O-004_カート機能.xlsx</t>
        </is>
      </c>
      <c r="C220" s="59" t="inlineStr">
        <is>
          <t>ITB-003_カート削除</t>
        </is>
      </c>
      <c r="D220" s="57" t="inlineStr">
        <is>
          <t>オンライン</t>
        </is>
      </c>
      <c r="E220" s="57" t="inlineStr">
        <is>
          <t>ITB-003_カート削除-001</t>
        </is>
      </c>
      <c r="F220" s="109" t="n">
        <v>46010</v>
      </c>
      <c r="G220" s="109" t="n">
        <v>46008</v>
      </c>
      <c r="H220" s="57">
        <f>IF(G220&lt;&gt;"","完了",IF(F220="","－",IF(F220&lt;=$L$2,"遅延","予定")))</f>
        <v/>
      </c>
      <c r="I220" s="109" t="n">
        <v>46014</v>
      </c>
      <c r="J220" s="109" t="n">
        <v>46016</v>
      </c>
      <c r="K220" s="57">
        <f>IF(J220&lt;&gt;"","完了",IF(I220="","－",IF(I220&lt;=$L$2,"遅延","予定")))</f>
        <v/>
      </c>
      <c r="L220" s="57">
        <f>IF(AND(H220="完了",K220="完了"),"完了",IF(OR(H220="遅延",K220="遅延"),"遅延","進行中"))</f>
        <v/>
      </c>
    </row>
    <row r="221">
      <c r="A221" s="57" t="n">
        <v>217</v>
      </c>
      <c r="B221" s="59" t="inlineStr">
        <is>
          <t>input/ITB-O-004_カート機能.xlsx</t>
        </is>
      </c>
      <c r="C221" s="59" t="inlineStr">
        <is>
          <t>ITB-003_カート削除</t>
        </is>
      </c>
      <c r="D221" s="57" t="inlineStr">
        <is>
          <t>オンライン</t>
        </is>
      </c>
      <c r="E221" s="57" t="inlineStr">
        <is>
          <t>ITB-003_カート削除-002</t>
        </is>
      </c>
      <c r="F221" s="109" t="n">
        <v>46032</v>
      </c>
      <c r="G221" s="109" t="n">
        <v>46030</v>
      </c>
      <c r="H221" s="57">
        <f>IF(G221&lt;&gt;"","完了",IF(F221="","－",IF(F221&lt;=$L$2,"遅延","予定")))</f>
        <v/>
      </c>
      <c r="I221" s="109" t="n">
        <v>46036</v>
      </c>
      <c r="J221" s="109" t="n">
        <v>46035</v>
      </c>
      <c r="K221" s="57">
        <f>IF(J221&lt;&gt;"","完了",IF(I221="","－",IF(I221&lt;=$L$2,"遅延","予定")))</f>
        <v/>
      </c>
      <c r="L221" s="57">
        <f>IF(AND(H221="完了",K221="完了"),"完了",IF(OR(H221="遅延",K221="遅延"),"遅延","進行中"))</f>
        <v/>
      </c>
    </row>
    <row r="222">
      <c r="A222" s="57" t="n">
        <v>218</v>
      </c>
      <c r="B222" s="59" t="inlineStr">
        <is>
          <t>input/ITB-O-004_カート機能.xlsx</t>
        </is>
      </c>
      <c r="C222" s="59" t="inlineStr">
        <is>
          <t>ITB-003_カート削除</t>
        </is>
      </c>
      <c r="D222" s="57" t="inlineStr">
        <is>
          <t>オンライン</t>
        </is>
      </c>
      <c r="E222" s="57" t="inlineStr">
        <is>
          <t>ITB-003_カート削除-003</t>
        </is>
      </c>
      <c r="F222" s="109" t="n">
        <v>46049</v>
      </c>
      <c r="G222" s="109" t="n">
        <v>46048</v>
      </c>
      <c r="H222" s="57">
        <f>IF(G222&lt;&gt;"","完了",IF(F222="","－",IF(F222&lt;=$L$2,"遅延","予定")))</f>
        <v/>
      </c>
      <c r="I222" s="109" t="n">
        <v>46053</v>
      </c>
      <c r="J222" s="109" t="n">
        <v>46053</v>
      </c>
      <c r="K222" s="57">
        <f>IF(J222&lt;&gt;"","完了",IF(I222="","－",IF(I222&lt;=$L$2,"遅延","予定")))</f>
        <v/>
      </c>
      <c r="L222" s="57">
        <f>IF(AND(H222="完了",K222="完了"),"完了",IF(OR(H222="遅延",K222="遅延"),"遅延","進行中"))</f>
        <v/>
      </c>
    </row>
    <row r="223">
      <c r="A223" s="57" t="n">
        <v>219</v>
      </c>
      <c r="B223" s="59" t="inlineStr">
        <is>
          <t>input/ITB-O-004_カート機能.xlsx</t>
        </is>
      </c>
      <c r="C223" s="59" t="inlineStr">
        <is>
          <t>ITB-003_カート削除</t>
        </is>
      </c>
      <c r="D223" s="57" t="inlineStr">
        <is>
          <t>オンライン</t>
        </is>
      </c>
      <c r="E223" s="57" t="inlineStr">
        <is>
          <t>ITB-003_カート削除-004</t>
        </is>
      </c>
      <c r="F223" s="109" t="n">
        <v>46059</v>
      </c>
      <c r="G223" s="109" t="n">
        <v>46057</v>
      </c>
      <c r="H223" s="57">
        <f>IF(G223&lt;&gt;"","完了",IF(F223="","－",IF(F223&lt;=$L$2,"遅延","予定")))</f>
        <v/>
      </c>
      <c r="I223" s="109" t="n">
        <v>46062</v>
      </c>
      <c r="J223" s="109" t="n">
        <v>46063</v>
      </c>
      <c r="K223" s="57">
        <f>IF(J223&lt;&gt;"","完了",IF(I223="","－",IF(I223&lt;=$L$2,"遅延","予定")))</f>
        <v/>
      </c>
      <c r="L223" s="57">
        <f>IF(AND(H223="完了",K223="完了"),"完了",IF(OR(H223="遅延",K223="遅延"),"遅延","進行中"))</f>
        <v/>
      </c>
    </row>
    <row r="224">
      <c r="A224" s="57" t="n">
        <v>220</v>
      </c>
      <c r="B224" s="59" t="inlineStr">
        <is>
          <t>input/ITB-O-004_カート機能.xlsx</t>
        </is>
      </c>
      <c r="C224" s="59" t="inlineStr">
        <is>
          <t>ITB-003_カート削除</t>
        </is>
      </c>
      <c r="D224" s="57" t="inlineStr">
        <is>
          <t>オンライン</t>
        </is>
      </c>
      <c r="E224" s="57" t="inlineStr">
        <is>
          <t>ITB-003_カート削除-005</t>
        </is>
      </c>
      <c r="F224" s="109" t="n">
        <v>46084</v>
      </c>
      <c r="G224" s="109" t="n">
        <v>46084</v>
      </c>
      <c r="H224" s="57">
        <f>IF(G224&lt;&gt;"","完了",IF(F224="","－",IF(F224&lt;=$L$2,"遅延","予定")))</f>
        <v/>
      </c>
      <c r="I224" s="109" t="n">
        <v>46089</v>
      </c>
      <c r="J224" s="57" t="inlineStr"/>
      <c r="K224" s="57">
        <f>IF(J224&lt;&gt;"","完了",IF(I224="","－",IF(I224&lt;=$L$2,"遅延","予定")))</f>
        <v/>
      </c>
      <c r="L224" s="57">
        <f>IF(AND(H224="完了",K224="完了"),"完了",IF(OR(H224="遅延",K224="遅延"),"遅延","進行中"))</f>
        <v/>
      </c>
    </row>
    <row r="225">
      <c r="A225" s="57" t="n">
        <v>221</v>
      </c>
      <c r="B225" s="59" t="inlineStr">
        <is>
          <t>input/ITB-O-004_カート機能.xlsx</t>
        </is>
      </c>
      <c r="C225" s="59" t="inlineStr">
        <is>
          <t>ITB-003_カート削除</t>
        </is>
      </c>
      <c r="D225" s="57" t="inlineStr">
        <is>
          <t>オンライン</t>
        </is>
      </c>
      <c r="E225" s="57" t="inlineStr">
        <is>
          <t>ITB-003_カート削除-006</t>
        </is>
      </c>
      <c r="F225" s="109" t="n">
        <v>46100</v>
      </c>
      <c r="G225" s="57" t="inlineStr"/>
      <c r="H225" s="57">
        <f>IF(G225&lt;&gt;"","完了",IF(F225="","－",IF(F225&lt;=$L$2,"遅延","予定")))</f>
        <v/>
      </c>
      <c r="I225" s="109" t="n">
        <v>46103</v>
      </c>
      <c r="J225" s="57" t="inlineStr"/>
      <c r="K225" s="57">
        <f>IF(J225&lt;&gt;"","完了",IF(I225="","－",IF(I225&lt;=$L$2,"遅延","予定")))</f>
        <v/>
      </c>
      <c r="L225" s="57">
        <f>IF(AND(H225="完了",K225="完了"),"完了",IF(OR(H225="遅延",K225="遅延"),"遅延","進行中"))</f>
        <v/>
      </c>
    </row>
    <row r="226">
      <c r="A226" s="57" t="n">
        <v>222</v>
      </c>
      <c r="B226" s="59" t="inlineStr">
        <is>
          <t>input/ITB-O-004_カート機能.xlsx</t>
        </is>
      </c>
      <c r="C226" s="59" t="inlineStr">
        <is>
          <t>ITB-003_カート削除</t>
        </is>
      </c>
      <c r="D226" s="57" t="inlineStr">
        <is>
          <t>オンライン</t>
        </is>
      </c>
      <c r="E226" s="57" t="inlineStr">
        <is>
          <t>ITB-003_カート削除-007</t>
        </is>
      </c>
      <c r="F226" s="109" t="n">
        <v>46114</v>
      </c>
      <c r="G226" s="57" t="inlineStr"/>
      <c r="H226" s="57">
        <f>IF(G226&lt;&gt;"","完了",IF(F226="","－",IF(F226&lt;=$L$2,"遅延","予定")))</f>
        <v/>
      </c>
      <c r="I226" s="109" t="n">
        <v>46116</v>
      </c>
      <c r="J226" s="57" t="inlineStr"/>
      <c r="K226" s="57">
        <f>IF(J226&lt;&gt;"","完了",IF(I226="","－",IF(I226&lt;=$L$2,"遅延","予定")))</f>
        <v/>
      </c>
      <c r="L226" s="57">
        <f>IF(AND(H226="完了",K226="完了"),"完了",IF(OR(H226="遅延",K226="遅延"),"遅延","進行中"))</f>
        <v/>
      </c>
    </row>
    <row r="227">
      <c r="A227" s="57" t="n">
        <v>223</v>
      </c>
      <c r="B227" s="59" t="inlineStr">
        <is>
          <t>input/ITB-O-004_カート機能.xlsx</t>
        </is>
      </c>
      <c r="C227" s="59" t="inlineStr">
        <is>
          <t>ITB-003_カート削除</t>
        </is>
      </c>
      <c r="D227" s="57" t="inlineStr">
        <is>
          <t>オンライン</t>
        </is>
      </c>
      <c r="E227" s="57" t="inlineStr">
        <is>
          <t>ITB-003_カート削除-008</t>
        </is>
      </c>
      <c r="F227" s="109" t="n">
        <v>46141</v>
      </c>
      <c r="G227" s="57" t="inlineStr"/>
      <c r="H227" s="57">
        <f>IF(G227&lt;&gt;"","完了",IF(F227="","－",IF(F227&lt;=$L$2,"遅延","予定")))</f>
        <v/>
      </c>
      <c r="I227" s="109" t="n">
        <v>46142</v>
      </c>
      <c r="J227" s="57" t="inlineStr"/>
      <c r="K227" s="57">
        <f>IF(J227&lt;&gt;"","完了",IF(I227="","－",IF(I227&lt;=$L$2,"遅延","予定")))</f>
        <v/>
      </c>
      <c r="L227" s="57">
        <f>IF(AND(H227="完了",K227="完了"),"完了",IF(OR(H227="遅延",K227="遅延"),"遅延","進行中"))</f>
        <v/>
      </c>
    </row>
    <row r="228">
      <c r="A228" s="57" t="n">
        <v>224</v>
      </c>
      <c r="B228" s="59" t="inlineStr">
        <is>
          <t>input/ITB-O-004_カート機能.xlsx</t>
        </is>
      </c>
      <c r="C228" s="59" t="inlineStr">
        <is>
          <t>ITB-003_カート削除</t>
        </is>
      </c>
      <c r="D228" s="57" t="inlineStr">
        <is>
          <t>オンライン</t>
        </is>
      </c>
      <c r="E228" s="57" t="inlineStr">
        <is>
          <t>ITB-003_カート削除-009</t>
        </is>
      </c>
      <c r="F228" s="109" t="n">
        <v>46150</v>
      </c>
      <c r="G228" s="57" t="inlineStr"/>
      <c r="H228" s="57">
        <f>IF(G228&lt;&gt;"","完了",IF(F228="","－",IF(F228&lt;=$L$2,"遅延","予定")))</f>
        <v/>
      </c>
      <c r="I228" s="109" t="n">
        <v>46155</v>
      </c>
      <c r="J228" s="57" t="inlineStr"/>
      <c r="K228" s="57">
        <f>IF(J228&lt;&gt;"","完了",IF(I228="","－",IF(I228&lt;=$L$2,"遅延","予定")))</f>
        <v/>
      </c>
      <c r="L228" s="57">
        <f>IF(AND(H228="完了",K228="完了"),"完了",IF(OR(H228="遅延",K228="遅延"),"遅延","進行中"))</f>
        <v/>
      </c>
    </row>
    <row r="229">
      <c r="A229" s="57" t="n">
        <v>225</v>
      </c>
      <c r="B229" s="59" t="inlineStr">
        <is>
          <t>input/ITB-O-004_カート機能.xlsx</t>
        </is>
      </c>
      <c r="C229" s="59" t="inlineStr">
        <is>
          <t>ITB-003_カート削除</t>
        </is>
      </c>
      <c r="D229" s="57" t="inlineStr">
        <is>
          <t>オンライン</t>
        </is>
      </c>
      <c r="E229" s="57" t="inlineStr">
        <is>
          <t>ITB-003_カート削除-010</t>
        </is>
      </c>
      <c r="F229" s="109" t="n">
        <v>46173</v>
      </c>
      <c r="G229" s="57" t="inlineStr"/>
      <c r="H229" s="57">
        <f>IF(G229&lt;&gt;"","完了",IF(F229="","－",IF(F229&lt;=$L$2,"遅延","予定")))</f>
        <v/>
      </c>
      <c r="I229" s="109" t="n">
        <v>46178</v>
      </c>
      <c r="J229" s="57" t="inlineStr"/>
      <c r="K229" s="57">
        <f>IF(J229&lt;&gt;"","完了",IF(I229="","－",IF(I229&lt;=$L$2,"遅延","予定")))</f>
        <v/>
      </c>
      <c r="L229" s="57">
        <f>IF(AND(H229="完了",K229="完了"),"完了",IF(OR(H229="遅延",K229="遅延"),"遅延","進行中"))</f>
        <v/>
      </c>
    </row>
    <row r="230">
      <c r="A230" s="57" t="n">
        <v>226</v>
      </c>
      <c r="B230" s="59" t="inlineStr">
        <is>
          <t>input/ITB-O-005_マクロ付きテスト.xlsm</t>
        </is>
      </c>
      <c r="C230" s="59" t="inlineStr">
        <is>
          <t>ITB-001_マクロテスト</t>
        </is>
      </c>
      <c r="D230" s="57" t="inlineStr">
        <is>
          <t>オンライン</t>
        </is>
      </c>
      <c r="E230" s="57" t="inlineStr">
        <is>
          <t>ITB-001_マクロテスト-001</t>
        </is>
      </c>
      <c r="F230" s="109" t="n">
        <v>46076</v>
      </c>
      <c r="G230" s="109" t="n">
        <v>46078</v>
      </c>
      <c r="H230" s="57">
        <f>IF(G230&lt;&gt;"","完了",IF(F230="","－",IF(F230&lt;=$L$2,"遅延","予定")))</f>
        <v/>
      </c>
      <c r="I230" s="109" t="n">
        <v>46081</v>
      </c>
      <c r="J230" s="109" t="n">
        <v>46083</v>
      </c>
      <c r="K230" s="57">
        <f>IF(J230&lt;&gt;"","完了",IF(I230="","－",IF(I230&lt;=$L$2,"遅延","予定")))</f>
        <v/>
      </c>
      <c r="L230" s="57">
        <f>IF(AND(H230="完了",K230="完了"),"完了",IF(OR(H230="遅延",K230="遅延"),"遅延","進行中"))</f>
        <v/>
      </c>
    </row>
    <row r="231">
      <c r="A231" s="57" t="n">
        <v>227</v>
      </c>
      <c r="B231" s="59" t="inlineStr">
        <is>
          <t>input/ITB-O-005_マクロ付きテスト.xlsm</t>
        </is>
      </c>
      <c r="C231" s="59" t="inlineStr">
        <is>
          <t>ITB-001_マクロテスト</t>
        </is>
      </c>
      <c r="D231" s="57" t="inlineStr">
        <is>
          <t>オンライン</t>
        </is>
      </c>
      <c r="E231" s="57" t="inlineStr">
        <is>
          <t>ITB-001_マクロテスト-002</t>
        </is>
      </c>
      <c r="F231" s="109" t="n">
        <v>46078</v>
      </c>
      <c r="G231" s="109" t="n">
        <v>46080</v>
      </c>
      <c r="H231" s="57">
        <f>IF(G231&lt;&gt;"","完了",IF(F231="","－",IF(F231&lt;=$L$2,"遅延","予定")))</f>
        <v/>
      </c>
      <c r="I231" s="109" t="n">
        <v>46083</v>
      </c>
      <c r="J231" s="109" t="n">
        <v>46085</v>
      </c>
      <c r="K231" s="57">
        <f>IF(J231&lt;&gt;"","完了",IF(I231="","－",IF(I231&lt;=$L$2,"遅延","予定")))</f>
        <v/>
      </c>
      <c r="L231" s="57">
        <f>IF(AND(H231="完了",K231="完了"),"完了",IF(OR(H231="遅延",K231="遅延"),"遅延","進行中"))</f>
        <v/>
      </c>
    </row>
    <row r="232">
      <c r="A232" s="57" t="n">
        <v>228</v>
      </c>
      <c r="B232" s="59" t="inlineStr">
        <is>
          <t>input/ITB-O-005_マクロ付きテスト.xlsm</t>
        </is>
      </c>
      <c r="C232" s="59" t="inlineStr">
        <is>
          <t>ITB-001_マクロテスト</t>
        </is>
      </c>
      <c r="D232" s="57" t="inlineStr">
        <is>
          <t>オンライン</t>
        </is>
      </c>
      <c r="E232" s="57" t="inlineStr">
        <is>
          <t>ITB-001_マクロテスト-003</t>
        </is>
      </c>
      <c r="F232" s="109" t="n">
        <v>46080</v>
      </c>
      <c r="G232" s="109" t="n">
        <v>46082</v>
      </c>
      <c r="H232" s="57">
        <f>IF(G232&lt;&gt;"","完了",IF(F232="","－",IF(F232&lt;=$L$2,"遅延","予定")))</f>
        <v/>
      </c>
      <c r="I232" s="109" t="n">
        <v>46085</v>
      </c>
      <c r="J232" s="57" t="inlineStr"/>
      <c r="K232" s="57">
        <f>IF(J232&lt;&gt;"","完了",IF(I232="","－",IF(I232&lt;=$L$2,"遅延","予定")))</f>
        <v/>
      </c>
      <c r="L232" s="57">
        <f>IF(AND(H232="完了",K232="完了"),"完了",IF(OR(H232="遅延",K232="遅延"),"遅延","進行中"))</f>
        <v/>
      </c>
    </row>
    <row r="233">
      <c r="A233" s="57" t="n">
        <v>229</v>
      </c>
      <c r="B233" s="59" t="inlineStr">
        <is>
          <t>input/ITB-O-005_マクロ付きテスト.xlsm</t>
        </is>
      </c>
      <c r="C233" s="59" t="inlineStr">
        <is>
          <t>ITB-001_マクロテスト</t>
        </is>
      </c>
      <c r="D233" s="57" t="inlineStr">
        <is>
          <t>オンライン</t>
        </is>
      </c>
      <c r="E233" s="57" t="inlineStr">
        <is>
          <t>ITB-001_マクロテスト-004</t>
        </is>
      </c>
      <c r="F233" s="109" t="n">
        <v>46082</v>
      </c>
      <c r="G233" s="57" t="inlineStr"/>
      <c r="H233" s="57">
        <f>IF(G233&lt;&gt;"","完了",IF(F233="","－",IF(F233&lt;=$L$2,"遅延","予定")))</f>
        <v/>
      </c>
      <c r="I233" s="109" t="n">
        <v>46087</v>
      </c>
      <c r="J233" s="57" t="inlineStr"/>
      <c r="K233" s="57">
        <f>IF(J233&lt;&gt;"","完了",IF(I233="","－",IF(I233&lt;=$L$2,"遅延","予定")))</f>
        <v/>
      </c>
      <c r="L233" s="57">
        <f>IF(AND(H233="完了",K233="完了"),"完了",IF(OR(H233="遅延",K233="遅延"),"遅延","進行中"))</f>
        <v/>
      </c>
    </row>
    <row r="234">
      <c r="A234" s="57" t="n">
        <v>230</v>
      </c>
      <c r="B234" s="59" t="inlineStr">
        <is>
          <t>input/ITB-O-005_マクロ付きテスト.xlsm</t>
        </is>
      </c>
      <c r="C234" s="59" t="inlineStr">
        <is>
          <t>ITB-001_マクロテスト</t>
        </is>
      </c>
      <c r="D234" s="57" t="inlineStr">
        <is>
          <t>オンライン</t>
        </is>
      </c>
      <c r="E234" s="57" t="inlineStr">
        <is>
          <t>ITB-001_マクロテスト-005</t>
        </is>
      </c>
      <c r="F234" s="109" t="n">
        <v>46084</v>
      </c>
      <c r="G234" s="57" t="inlineStr"/>
      <c r="H234" s="57">
        <f>IF(G234&lt;&gt;"","完了",IF(F234="","－",IF(F234&lt;=$L$2,"遅延","予定")))</f>
        <v/>
      </c>
      <c r="I234" s="109" t="n">
        <v>46089</v>
      </c>
      <c r="J234" s="57" t="inlineStr"/>
      <c r="K234" s="57">
        <f>IF(J234&lt;&gt;"","完了",IF(I234="","－",IF(I234&lt;=$L$2,"遅延","予定")))</f>
        <v/>
      </c>
      <c r="L234" s="57">
        <f>IF(AND(H234="完了",K234="完了"),"完了",IF(OR(H234="遅延",K234="遅延"),"遅延","進行中"))</f>
        <v/>
      </c>
    </row>
    <row r="235">
      <c r="A235" s="57" t="n">
        <v>231</v>
      </c>
      <c r="B235" s="59" t="inlineStr">
        <is>
          <t>input/その他/ITB_共通機能テスト.xlsx</t>
        </is>
      </c>
      <c r="C235" s="59" t="inlineStr">
        <is>
          <t>ITB-001_帳票出力</t>
        </is>
      </c>
      <c r="D235" s="57" t="inlineStr">
        <is>
          <t>その他</t>
        </is>
      </c>
      <c r="E235" s="57" t="inlineStr">
        <is>
          <t>ITB-001_帳票出力-001</t>
        </is>
      </c>
      <c r="F235" s="109" t="n">
        <v>46019</v>
      </c>
      <c r="G235" s="109" t="n">
        <v>46019</v>
      </c>
      <c r="H235" s="57">
        <f>IF(G235&lt;&gt;"","完了",IF(F235="","－",IF(F235&lt;=$L$2,"遅延","予定")))</f>
        <v/>
      </c>
      <c r="I235" s="109" t="n">
        <v>46022</v>
      </c>
      <c r="J235" s="109" t="n">
        <v>46024</v>
      </c>
      <c r="K235" s="57">
        <f>IF(J235&lt;&gt;"","完了",IF(I235="","－",IF(I235&lt;=$L$2,"遅延","予定")))</f>
        <v/>
      </c>
      <c r="L235" s="57">
        <f>IF(AND(H235="完了",K235="完了"),"完了",IF(OR(H235="遅延",K235="遅延"),"遅延","進行中"))</f>
        <v/>
      </c>
    </row>
    <row r="236">
      <c r="A236" s="57" t="n">
        <v>232</v>
      </c>
      <c r="B236" s="59" t="inlineStr">
        <is>
          <t>input/その他/ITB_共通機能テスト.xlsx</t>
        </is>
      </c>
      <c r="C236" s="59" t="inlineStr">
        <is>
          <t>ITB-001_帳票出力</t>
        </is>
      </c>
      <c r="D236" s="57" t="inlineStr">
        <is>
          <t>その他</t>
        </is>
      </c>
      <c r="E236" s="57" t="inlineStr">
        <is>
          <t>ITB-001_帳票出力-002</t>
        </is>
      </c>
      <c r="F236" s="109" t="n">
        <v>46036</v>
      </c>
      <c r="G236" s="57" t="inlineStr"/>
      <c r="H236" s="57">
        <f>IF(G236&lt;&gt;"","完了",IF(F236="","－",IF(F236&lt;=$L$2,"遅延","予定")))</f>
        <v/>
      </c>
      <c r="I236" s="109" t="n">
        <v>46040</v>
      </c>
      <c r="J236" s="57" t="inlineStr"/>
      <c r="K236" s="57">
        <f>IF(J236&lt;&gt;"","完了",IF(I236="","－",IF(I236&lt;=$L$2,"遅延","予定")))</f>
        <v/>
      </c>
      <c r="L236" s="57">
        <f>IF(AND(H236="完了",K236="完了"),"完了",IF(OR(H236="遅延",K236="遅延"),"遅延","進行中"))</f>
        <v/>
      </c>
    </row>
    <row r="237">
      <c r="A237" s="57" t="n">
        <v>233</v>
      </c>
      <c r="B237" s="59" t="inlineStr">
        <is>
          <t>input/その他/ITB_共通機能テスト.xlsx</t>
        </is>
      </c>
      <c r="C237" s="59" t="inlineStr">
        <is>
          <t>ITB-001_帳票出力</t>
        </is>
      </c>
      <c r="D237" s="57" t="inlineStr">
        <is>
          <t>その他</t>
        </is>
      </c>
      <c r="E237" s="57" t="inlineStr">
        <is>
          <t>ITB-001_帳票出力-003</t>
        </is>
      </c>
      <c r="F237" s="109" t="n">
        <v>46055</v>
      </c>
      <c r="G237" s="109" t="n">
        <v>46056</v>
      </c>
      <c r="H237" s="57">
        <f>IF(G237&lt;&gt;"","完了",IF(F237="","－",IF(F237&lt;=$L$2,"遅延","予定")))</f>
        <v/>
      </c>
      <c r="I237" s="109" t="n">
        <v>46056</v>
      </c>
      <c r="J237" s="109" t="n">
        <v>46055</v>
      </c>
      <c r="K237" s="57">
        <f>IF(J237&lt;&gt;"","完了",IF(I237="","－",IF(I237&lt;=$L$2,"遅延","予定")))</f>
        <v/>
      </c>
      <c r="L237" s="57">
        <f>IF(AND(H237="完了",K237="完了"),"完了",IF(OR(H237="遅延",K237="遅延"),"遅延","進行中"))</f>
        <v/>
      </c>
    </row>
    <row r="238">
      <c r="A238" s="57" t="n">
        <v>234</v>
      </c>
      <c r="B238" s="59" t="inlineStr">
        <is>
          <t>input/その他/ITB_共通機能テスト.xlsx</t>
        </is>
      </c>
      <c r="C238" s="59" t="inlineStr">
        <is>
          <t>ITB-001_帳票出力</t>
        </is>
      </c>
      <c r="D238" s="57" t="inlineStr">
        <is>
          <t>その他</t>
        </is>
      </c>
      <c r="E238" s="57" t="inlineStr">
        <is>
          <t>ITB-001_帳票出力-004</t>
        </is>
      </c>
      <c r="F238" s="109" t="n">
        <v>46081</v>
      </c>
      <c r="G238" s="109" t="n">
        <v>46079</v>
      </c>
      <c r="H238" s="57">
        <f>IF(G238&lt;&gt;"","完了",IF(F238="","－",IF(F238&lt;=$L$2,"遅延","予定")))</f>
        <v/>
      </c>
      <c r="I238" s="109" t="n">
        <v>46086</v>
      </c>
      <c r="J238" s="57" t="inlineStr"/>
      <c r="K238" s="57">
        <f>IF(J238&lt;&gt;"","完了",IF(I238="","－",IF(I238&lt;=$L$2,"遅延","予定")))</f>
        <v/>
      </c>
      <c r="L238" s="57">
        <f>IF(AND(H238="完了",K238="完了"),"完了",IF(OR(H238="遅延",K238="遅延"),"遅延","進行中"))</f>
        <v/>
      </c>
    </row>
    <row r="239">
      <c r="A239" s="57" t="n">
        <v>235</v>
      </c>
      <c r="B239" s="59" t="inlineStr">
        <is>
          <t>input/その他/ITB_共通機能テスト.xlsx</t>
        </is>
      </c>
      <c r="C239" s="59" t="inlineStr">
        <is>
          <t>ITB-001_帳票出力</t>
        </is>
      </c>
      <c r="D239" s="57" t="inlineStr">
        <is>
          <t>その他</t>
        </is>
      </c>
      <c r="E239" s="57" t="inlineStr">
        <is>
          <t>ITB-001_帳票出力-005</t>
        </is>
      </c>
      <c r="F239" s="109" t="n">
        <v>46108</v>
      </c>
      <c r="G239" s="57" t="inlineStr"/>
      <c r="H239" s="57">
        <f>IF(G239&lt;&gt;"","完了",IF(F239="","－",IF(F239&lt;=$L$2,"遅延","予定")))</f>
        <v/>
      </c>
      <c r="I239" s="109" t="n">
        <v>46113</v>
      </c>
      <c r="J239" s="57" t="inlineStr"/>
      <c r="K239" s="57">
        <f>IF(J239&lt;&gt;"","完了",IF(I239="","－",IF(I239&lt;=$L$2,"遅延","予定")))</f>
        <v/>
      </c>
      <c r="L239" s="57">
        <f>IF(AND(H239="完了",K239="完了"),"完了",IF(OR(H239="遅延",K239="遅延"),"遅延","進行中"))</f>
        <v/>
      </c>
    </row>
    <row r="240">
      <c r="A240" s="57" t="n">
        <v>236</v>
      </c>
      <c r="B240" s="59" t="inlineStr">
        <is>
          <t>input/その他/ITB_共通機能テスト.xlsx</t>
        </is>
      </c>
      <c r="C240" s="59" t="inlineStr">
        <is>
          <t>ITB-001_帳票出力</t>
        </is>
      </c>
      <c r="D240" s="57" t="inlineStr">
        <is>
          <t>その他</t>
        </is>
      </c>
      <c r="E240" s="57" t="inlineStr">
        <is>
          <t>ITB-001_帳票出力-006</t>
        </is>
      </c>
      <c r="F240" s="109" t="n">
        <v>46132</v>
      </c>
      <c r="G240" s="57" t="inlineStr"/>
      <c r="H240" s="57">
        <f>IF(G240&lt;&gt;"","完了",IF(F240="","－",IF(F240&lt;=$L$2,"遅延","予定")))</f>
        <v/>
      </c>
      <c r="I240" s="109" t="n">
        <v>46136</v>
      </c>
      <c r="J240" s="57" t="inlineStr"/>
      <c r="K240" s="57">
        <f>IF(J240&lt;&gt;"","完了",IF(I240="","－",IF(I240&lt;=$L$2,"遅延","予定")))</f>
        <v/>
      </c>
      <c r="L240" s="57">
        <f>IF(AND(H240="完了",K240="完了"),"完了",IF(OR(H240="遅延",K240="遅延"),"遅延","進行中"))</f>
        <v/>
      </c>
    </row>
    <row r="241">
      <c r="A241" s="57" t="n">
        <v>237</v>
      </c>
      <c r="B241" s="59" t="inlineStr">
        <is>
          <t>input/その他/ITB_共通機能テスト.xlsx</t>
        </is>
      </c>
      <c r="C241" s="59" t="inlineStr">
        <is>
          <t>ITB-001_帳票出力</t>
        </is>
      </c>
      <c r="D241" s="57" t="inlineStr">
        <is>
          <t>その他</t>
        </is>
      </c>
      <c r="E241" s="57" t="inlineStr">
        <is>
          <t>ITB-001_帳票出力-007</t>
        </is>
      </c>
      <c r="F241" s="109" t="n">
        <v>46147</v>
      </c>
      <c r="G241" s="57" t="inlineStr"/>
      <c r="H241" s="57">
        <f>IF(G241&lt;&gt;"","完了",IF(F241="","－",IF(F241&lt;=$L$2,"遅延","予定")))</f>
        <v/>
      </c>
      <c r="I241" s="109" t="n">
        <v>46149</v>
      </c>
      <c r="J241" s="57" t="inlineStr"/>
      <c r="K241" s="57">
        <f>IF(J241&lt;&gt;"","完了",IF(I241="","－",IF(I241&lt;=$L$2,"遅延","予定")))</f>
        <v/>
      </c>
      <c r="L241" s="57">
        <f>IF(AND(H241="完了",K241="完了"),"完了",IF(OR(H241="遅延",K241="遅延"),"遅延","進行中"))</f>
        <v/>
      </c>
    </row>
    <row r="242">
      <c r="A242" s="57" t="n">
        <v>238</v>
      </c>
      <c r="B242" s="59" t="inlineStr">
        <is>
          <t>input/その他/ITB_共通機能テスト.xlsx</t>
        </is>
      </c>
      <c r="C242" s="59" t="inlineStr">
        <is>
          <t>ITB-001_帳票出力</t>
        </is>
      </c>
      <c r="D242" s="57" t="inlineStr">
        <is>
          <t>その他</t>
        </is>
      </c>
      <c r="E242" s="57" t="inlineStr">
        <is>
          <t>ITB-001_帳票出力-008</t>
        </is>
      </c>
      <c r="F242" s="109" t="n">
        <v>46176</v>
      </c>
      <c r="G242" s="57" t="inlineStr"/>
      <c r="H242" s="57">
        <f>IF(G242&lt;&gt;"","完了",IF(F242="","－",IF(F242&lt;=$L$2,"遅延","予定")))</f>
        <v/>
      </c>
      <c r="I242" s="109" t="n">
        <v>46177</v>
      </c>
      <c r="J242" s="57" t="inlineStr"/>
      <c r="K242" s="57">
        <f>IF(J242&lt;&gt;"","完了",IF(I242="","－",IF(I242&lt;=$L$2,"遅延","予定")))</f>
        <v/>
      </c>
      <c r="L242" s="57">
        <f>IF(AND(H242="完了",K242="完了"),"完了",IF(OR(H242="遅延",K242="遅延"),"遅延","進行中"))</f>
        <v/>
      </c>
    </row>
    <row r="243">
      <c r="A243" s="57" t="n">
        <v>239</v>
      </c>
      <c r="B243" s="59" t="inlineStr">
        <is>
          <t>input/その他/ITB_共通機能テスト.xlsx</t>
        </is>
      </c>
      <c r="C243" s="59" t="inlineStr">
        <is>
          <t>ITB-002_メール送信</t>
        </is>
      </c>
      <c r="D243" s="57" t="inlineStr">
        <is>
          <t>その他</t>
        </is>
      </c>
      <c r="E243" s="57" t="inlineStr">
        <is>
          <t>ITB-002_メール送信-001</t>
        </is>
      </c>
      <c r="F243" s="109" t="n">
        <v>46014</v>
      </c>
      <c r="G243" s="109" t="n">
        <v>46014</v>
      </c>
      <c r="H243" s="57">
        <f>IF(G243&lt;&gt;"","完了",IF(F243="","－",IF(F243&lt;=$L$2,"遅延","予定")))</f>
        <v/>
      </c>
      <c r="I243" s="109" t="n">
        <v>46016</v>
      </c>
      <c r="J243" s="109" t="n">
        <v>46017</v>
      </c>
      <c r="K243" s="57">
        <f>IF(J243&lt;&gt;"","完了",IF(I243="","－",IF(I243&lt;=$L$2,"遅延","予定")))</f>
        <v/>
      </c>
      <c r="L243" s="57">
        <f>IF(AND(H243="完了",K243="完了"),"完了",IF(OR(H243="遅延",K243="遅延"),"遅延","進行中"))</f>
        <v/>
      </c>
    </row>
    <row r="244">
      <c r="A244" s="57" t="n">
        <v>240</v>
      </c>
      <c r="B244" s="59" t="inlineStr">
        <is>
          <t>input/その他/ITB_共通機能テスト.xlsx</t>
        </is>
      </c>
      <c r="C244" s="59" t="inlineStr">
        <is>
          <t>ITB-002_メール送信</t>
        </is>
      </c>
      <c r="D244" s="57" t="inlineStr">
        <is>
          <t>その他</t>
        </is>
      </c>
      <c r="E244" s="57" t="inlineStr">
        <is>
          <t>ITB-002_メール送信-002</t>
        </is>
      </c>
      <c r="F244" s="109" t="n">
        <v>46032</v>
      </c>
      <c r="G244" s="109" t="n">
        <v>46035</v>
      </c>
      <c r="H244" s="57">
        <f>IF(G244&lt;&gt;"","完了",IF(F244="","－",IF(F244&lt;=$L$2,"遅延","予定")))</f>
        <v/>
      </c>
      <c r="I244" s="109" t="n">
        <v>46035</v>
      </c>
      <c r="J244" s="109" t="n">
        <v>46037</v>
      </c>
      <c r="K244" s="57">
        <f>IF(J244&lt;&gt;"","完了",IF(I244="","－",IF(I244&lt;=$L$2,"遅延","予定")))</f>
        <v/>
      </c>
      <c r="L244" s="57">
        <f>IF(AND(H244="完了",K244="完了"),"完了",IF(OR(H244="遅延",K244="遅延"),"遅延","進行中"))</f>
        <v/>
      </c>
    </row>
    <row r="245">
      <c r="A245" s="57" t="n">
        <v>241</v>
      </c>
      <c r="B245" s="59" t="inlineStr">
        <is>
          <t>input/その他/ITB_共通機能テスト.xlsx</t>
        </is>
      </c>
      <c r="C245" s="59" t="inlineStr">
        <is>
          <t>ITB-002_メール送信</t>
        </is>
      </c>
      <c r="D245" s="57" t="inlineStr">
        <is>
          <t>その他</t>
        </is>
      </c>
      <c r="E245" s="57" t="inlineStr">
        <is>
          <t>ITB-002_メール送信-003</t>
        </is>
      </c>
      <c r="F245" s="109" t="n">
        <v>46060</v>
      </c>
      <c r="G245" s="109" t="n">
        <v>46062</v>
      </c>
      <c r="H245" s="57">
        <f>IF(G245&lt;&gt;"","完了",IF(F245="","－",IF(F245&lt;=$L$2,"遅延","予定")))</f>
        <v/>
      </c>
      <c r="I245" s="109" t="n">
        <v>46064</v>
      </c>
      <c r="J245" s="109" t="n">
        <v>46063</v>
      </c>
      <c r="K245" s="57">
        <f>IF(J245&lt;&gt;"","完了",IF(I245="","－",IF(I245&lt;=$L$2,"遅延","予定")))</f>
        <v/>
      </c>
      <c r="L245" s="57">
        <f>IF(AND(H245="完了",K245="完了"),"完了",IF(OR(H245="遅延",K245="遅延"),"遅延","進行中"))</f>
        <v/>
      </c>
    </row>
    <row r="246">
      <c r="A246" s="57" t="n">
        <v>242</v>
      </c>
      <c r="B246" s="59" t="inlineStr">
        <is>
          <t>input/その他/ITB_共通機能テスト.xlsx</t>
        </is>
      </c>
      <c r="C246" s="59" t="inlineStr">
        <is>
          <t>ITB-002_メール送信</t>
        </is>
      </c>
      <c r="D246" s="57" t="inlineStr">
        <is>
          <t>その他</t>
        </is>
      </c>
      <c r="E246" s="57" t="inlineStr">
        <is>
          <t>ITB-002_メール送信-004</t>
        </is>
      </c>
      <c r="F246" s="109" t="n">
        <v>46078</v>
      </c>
      <c r="G246" s="109" t="n">
        <v>46080</v>
      </c>
      <c r="H246" s="57">
        <f>IF(G246&lt;&gt;"","完了",IF(F246="","－",IF(F246&lt;=$L$2,"遅延","予定")))</f>
        <v/>
      </c>
      <c r="I246" s="109" t="n">
        <v>46082</v>
      </c>
      <c r="J246" s="109" t="n">
        <v>46084</v>
      </c>
      <c r="K246" s="57">
        <f>IF(J246&lt;&gt;"","完了",IF(I246="","－",IF(I246&lt;=$L$2,"遅延","予定")))</f>
        <v/>
      </c>
      <c r="L246" s="57">
        <f>IF(AND(H246="完了",K246="完了"),"完了",IF(OR(H246="遅延",K246="遅延"),"遅延","進行中"))</f>
        <v/>
      </c>
    </row>
    <row r="247">
      <c r="A247" s="57" t="n">
        <v>243</v>
      </c>
      <c r="B247" s="59" t="inlineStr">
        <is>
          <t>input/その他/ITB_共通機能テスト.xlsx</t>
        </is>
      </c>
      <c r="C247" s="59" t="inlineStr">
        <is>
          <t>ITB-002_メール送信</t>
        </is>
      </c>
      <c r="D247" s="57" t="inlineStr">
        <is>
          <t>その他</t>
        </is>
      </c>
      <c r="E247" s="57" t="inlineStr">
        <is>
          <t>ITB-002_メール送信-005</t>
        </is>
      </c>
      <c r="F247" s="109" t="n">
        <v>46107</v>
      </c>
      <c r="G247" s="57" t="inlineStr"/>
      <c r="H247" s="57">
        <f>IF(G247&lt;&gt;"","完了",IF(F247="","－",IF(F247&lt;=$L$2,"遅延","予定")))</f>
        <v/>
      </c>
      <c r="I247" s="109" t="n">
        <v>46109</v>
      </c>
      <c r="J247" s="57" t="inlineStr"/>
      <c r="K247" s="57">
        <f>IF(J247&lt;&gt;"","完了",IF(I247="","－",IF(I247&lt;=$L$2,"遅延","予定")))</f>
        <v/>
      </c>
      <c r="L247" s="57">
        <f>IF(AND(H247="完了",K247="完了"),"完了",IF(OR(H247="遅延",K247="遅延"),"遅延","進行中"))</f>
        <v/>
      </c>
    </row>
    <row r="248">
      <c r="A248" s="57" t="n">
        <v>244</v>
      </c>
      <c r="B248" s="59" t="inlineStr">
        <is>
          <t>input/その他/ITB_共通機能テスト.xlsx</t>
        </is>
      </c>
      <c r="C248" s="59" t="inlineStr">
        <is>
          <t>ITB-002_メール送信</t>
        </is>
      </c>
      <c r="D248" s="57" t="inlineStr">
        <is>
          <t>その他</t>
        </is>
      </c>
      <c r="E248" s="57" t="inlineStr">
        <is>
          <t>ITB-002_メール送信-006</t>
        </is>
      </c>
      <c r="F248" s="109" t="n">
        <v>46131</v>
      </c>
      <c r="G248" s="57" t="inlineStr"/>
      <c r="H248" s="57">
        <f>IF(G248&lt;&gt;"","完了",IF(F248="","－",IF(F248&lt;=$L$2,"遅延","予定")))</f>
        <v/>
      </c>
      <c r="I248" s="109" t="n">
        <v>46135</v>
      </c>
      <c r="J248" s="57" t="inlineStr"/>
      <c r="K248" s="57">
        <f>IF(J248&lt;&gt;"","完了",IF(I248="","－",IF(I248&lt;=$L$2,"遅延","予定")))</f>
        <v/>
      </c>
      <c r="L248" s="57">
        <f>IF(AND(H248="完了",K248="完了"),"完了",IF(OR(H248="遅延",K248="遅延"),"遅延","進行中"))</f>
        <v/>
      </c>
    </row>
    <row r="249">
      <c r="A249" s="57" t="n">
        <v>245</v>
      </c>
      <c r="B249" s="59" t="inlineStr">
        <is>
          <t>input/その他/ITB_共通機能テスト.xlsx</t>
        </is>
      </c>
      <c r="C249" s="59" t="inlineStr">
        <is>
          <t>ITB-002_メール送信</t>
        </is>
      </c>
      <c r="D249" s="57" t="inlineStr">
        <is>
          <t>その他</t>
        </is>
      </c>
      <c r="E249" s="57" t="inlineStr">
        <is>
          <t>ITB-002_メール送信-007</t>
        </is>
      </c>
      <c r="F249" s="109" t="n">
        <v>46145</v>
      </c>
      <c r="G249" s="57" t="inlineStr"/>
      <c r="H249" s="57">
        <f>IF(G249&lt;&gt;"","完了",IF(F249="","－",IF(F249&lt;=$L$2,"遅延","予定")))</f>
        <v/>
      </c>
      <c r="I249" s="109" t="n">
        <v>46146</v>
      </c>
      <c r="J249" s="57" t="inlineStr"/>
      <c r="K249" s="57">
        <f>IF(J249&lt;&gt;"","完了",IF(I249="","－",IF(I249&lt;=$L$2,"遅延","予定")))</f>
        <v/>
      </c>
      <c r="L249" s="57">
        <f>IF(AND(H249="完了",K249="完了"),"完了",IF(OR(H249="遅延",K249="遅延"),"遅延","進行中"))</f>
        <v/>
      </c>
    </row>
    <row r="250">
      <c r="A250" s="57" t="n">
        <v>246</v>
      </c>
      <c r="B250" s="59" t="inlineStr">
        <is>
          <t>input/その他/ITB_共通機能テスト.xlsx</t>
        </is>
      </c>
      <c r="C250" s="59" t="inlineStr">
        <is>
          <t>ITB-002_メール送信</t>
        </is>
      </c>
      <c r="D250" s="57" t="inlineStr">
        <is>
          <t>その他</t>
        </is>
      </c>
      <c r="E250" s="57" t="inlineStr">
        <is>
          <t>ITB-002_メール送信-008</t>
        </is>
      </c>
      <c r="F250" s="109" t="n">
        <v>46171</v>
      </c>
      <c r="G250" s="57" t="inlineStr"/>
      <c r="H250" s="57">
        <f>IF(G250&lt;&gt;"","完了",IF(F250="","－",IF(F250&lt;=$L$2,"遅延","予定")))</f>
        <v/>
      </c>
      <c r="I250" s="109" t="n">
        <v>46172</v>
      </c>
      <c r="J250" s="57" t="inlineStr"/>
      <c r="K250" s="57">
        <f>IF(J250&lt;&gt;"","完了",IF(I250="","－",IF(I250&lt;=$L$2,"遅延","予定")))</f>
        <v/>
      </c>
      <c r="L250" s="57">
        <f>IF(AND(H250="完了",K250="完了"),"完了",IF(OR(H250="遅延",K250="遅延"),"遅延","進行中"))</f>
        <v/>
      </c>
    </row>
    <row r="251">
      <c r="A251" s="57" t="n">
        <v>247</v>
      </c>
      <c r="B251" s="59" t="inlineStr">
        <is>
          <t>input/その他/ITB_外部連携テスト.xlsx</t>
        </is>
      </c>
      <c r="C251" s="59" t="inlineStr">
        <is>
          <t>ITB-001_API連携</t>
        </is>
      </c>
      <c r="D251" s="57" t="inlineStr">
        <is>
          <t>その他</t>
        </is>
      </c>
      <c r="E251" s="57" t="inlineStr">
        <is>
          <t>ITB-001_API連携-001</t>
        </is>
      </c>
      <c r="F251" s="109" t="n">
        <v>46030</v>
      </c>
      <c r="G251" s="109" t="n">
        <v>46028</v>
      </c>
      <c r="H251" s="57">
        <f>IF(G251&lt;&gt;"","完了",IF(F251="","－",IF(F251&lt;=$L$2,"遅延","予定")))</f>
        <v/>
      </c>
      <c r="I251" s="109" t="n">
        <v>46032</v>
      </c>
      <c r="J251" s="109" t="n">
        <v>46032</v>
      </c>
      <c r="K251" s="57">
        <f>IF(J251&lt;&gt;"","完了",IF(I251="","－",IF(I251&lt;=$L$2,"遅延","予定")))</f>
        <v/>
      </c>
      <c r="L251" s="57">
        <f>IF(AND(H251="完了",K251="完了"),"完了",IF(OR(H251="遅延",K251="遅延"),"遅延","進行中"))</f>
        <v/>
      </c>
    </row>
    <row r="252">
      <c r="A252" s="57" t="n">
        <v>248</v>
      </c>
      <c r="B252" s="59" t="inlineStr">
        <is>
          <t>input/その他/ITB_外部連携テスト.xlsx</t>
        </is>
      </c>
      <c r="C252" s="59" t="inlineStr">
        <is>
          <t>ITB-001_API連携</t>
        </is>
      </c>
      <c r="D252" s="57" t="inlineStr">
        <is>
          <t>その他</t>
        </is>
      </c>
      <c r="E252" s="57" t="inlineStr">
        <is>
          <t>ITB-001_API連携-002</t>
        </is>
      </c>
      <c r="F252" s="109" t="n">
        <v>46069</v>
      </c>
      <c r="G252" s="109" t="n">
        <v>46071</v>
      </c>
      <c r="H252" s="57">
        <f>IF(G252&lt;&gt;"","完了",IF(F252="","－",IF(F252&lt;=$L$2,"遅延","予定")))</f>
        <v/>
      </c>
      <c r="I252" s="109" t="n">
        <v>46073</v>
      </c>
      <c r="J252" s="57" t="inlineStr"/>
      <c r="K252" s="57">
        <f>IF(J252&lt;&gt;"","完了",IF(I252="","－",IF(I252&lt;=$L$2,"遅延","予定")))</f>
        <v/>
      </c>
      <c r="L252" s="57">
        <f>IF(AND(H252="完了",K252="完了"),"完了",IF(OR(H252="遅延",K252="遅延"),"遅延","進行中"))</f>
        <v/>
      </c>
    </row>
    <row r="253">
      <c r="A253" s="57" t="n">
        <v>249</v>
      </c>
      <c r="B253" s="59" t="inlineStr">
        <is>
          <t>input/その他/ITB_外部連携テスト.xlsx</t>
        </is>
      </c>
      <c r="C253" s="59" t="inlineStr">
        <is>
          <t>ITB-001_API連携</t>
        </is>
      </c>
      <c r="D253" s="57" t="inlineStr">
        <is>
          <t>その他</t>
        </is>
      </c>
      <c r="E253" s="57" t="inlineStr">
        <is>
          <t>ITB-001_API連携-003</t>
        </is>
      </c>
      <c r="F253" s="109" t="n">
        <v>46096</v>
      </c>
      <c r="G253" s="57" t="inlineStr"/>
      <c r="H253" s="57">
        <f>IF(G253&lt;&gt;"","完了",IF(F253="","－",IF(F253&lt;=$L$2,"遅延","予定")))</f>
        <v/>
      </c>
      <c r="I253" s="109" t="n">
        <v>46101</v>
      </c>
      <c r="J253" s="57" t="inlineStr"/>
      <c r="K253" s="57">
        <f>IF(J253&lt;&gt;"","完了",IF(I253="","－",IF(I253&lt;=$L$2,"遅延","予定")))</f>
        <v/>
      </c>
      <c r="L253" s="57">
        <f>IF(AND(H253="完了",K253="完了"),"完了",IF(OR(H253="遅延",K253="遅延"),"遅延","進行中"))</f>
        <v/>
      </c>
    </row>
    <row r="254">
      <c r="A254" s="57" t="n">
        <v>250</v>
      </c>
      <c r="B254" s="59" t="inlineStr">
        <is>
          <t>input/その他/ITB_外部連携テスト.xlsx</t>
        </is>
      </c>
      <c r="C254" s="59" t="inlineStr">
        <is>
          <t>ITB-001_API連携</t>
        </is>
      </c>
      <c r="D254" s="57" t="inlineStr">
        <is>
          <t>その他</t>
        </is>
      </c>
      <c r="E254" s="57" t="inlineStr">
        <is>
          <t>ITB-001_API連携-004</t>
        </is>
      </c>
      <c r="F254" s="109" t="n">
        <v>46139</v>
      </c>
      <c r="G254" s="57" t="inlineStr"/>
      <c r="H254" s="57">
        <f>IF(G254&lt;&gt;"","完了",IF(F254="","－",IF(F254&lt;=$L$2,"遅延","予定")))</f>
        <v/>
      </c>
      <c r="I254" s="109" t="n">
        <v>46140</v>
      </c>
      <c r="J254" s="57" t="inlineStr"/>
      <c r="K254" s="57">
        <f>IF(J254&lt;&gt;"","完了",IF(I254="","－",IF(I254&lt;=$L$2,"遅延","予定")))</f>
        <v/>
      </c>
      <c r="L254" s="57">
        <f>IF(AND(H254="完了",K254="完了"),"完了",IF(OR(H254="遅延",K254="遅延"),"遅延","進行中"))</f>
        <v/>
      </c>
    </row>
    <row r="255">
      <c r="A255" s="57" t="n">
        <v>251</v>
      </c>
      <c r="B255" s="59" t="inlineStr">
        <is>
          <t>input/その他/ITB_外部連携テスト.xlsx</t>
        </is>
      </c>
      <c r="C255" s="59" t="inlineStr">
        <is>
          <t>ITB-001_API連携</t>
        </is>
      </c>
      <c r="D255" s="57" t="inlineStr">
        <is>
          <t>その他</t>
        </is>
      </c>
      <c r="E255" s="57" t="inlineStr">
        <is>
          <t>ITB-001_API連携-005</t>
        </is>
      </c>
      <c r="F255" s="109" t="n">
        <v>46177</v>
      </c>
      <c r="G255" s="57" t="inlineStr"/>
      <c r="H255" s="57">
        <f>IF(G255&lt;&gt;"","完了",IF(F255="","－",IF(F255&lt;=$L$2,"遅延","予定")))</f>
        <v/>
      </c>
      <c r="I255" s="109" t="n">
        <v>46179</v>
      </c>
      <c r="J255" s="57" t="inlineStr"/>
      <c r="K255" s="57">
        <f>IF(J255&lt;&gt;"","完了",IF(I255="","－",IF(I255&lt;=$L$2,"遅延","予定")))</f>
        <v/>
      </c>
      <c r="L255" s="57">
        <f>IF(AND(H255="完了",K255="完了"),"完了",IF(OR(H255="遅延",K255="遅延"),"遅延","進行中"))</f>
        <v/>
      </c>
    </row>
    <row r="256">
      <c r="A256" s="57" t="n">
        <v>252</v>
      </c>
      <c r="B256" s="59" t="inlineStr">
        <is>
          <t>input/運用チーム/ITB-U-001_監視機能.xlsx</t>
        </is>
      </c>
      <c r="C256" s="59" t="inlineStr">
        <is>
          <t>ITB-001_死活監視</t>
        </is>
      </c>
      <c r="D256" s="57" t="inlineStr">
        <is>
          <t>運用</t>
        </is>
      </c>
      <c r="E256" s="57" t="inlineStr">
        <is>
          <t>ITB-001_死活監視-001</t>
        </is>
      </c>
      <c r="F256" s="109" t="n">
        <v>46005</v>
      </c>
      <c r="G256" s="57" t="inlineStr"/>
      <c r="H256" s="57">
        <f>IF(G256&lt;&gt;"","完了",IF(F256="","－",IF(F256&lt;=$L$2,"遅延","予定")))</f>
        <v/>
      </c>
      <c r="I256" s="109" t="n">
        <v>46007</v>
      </c>
      <c r="J256" s="57" t="inlineStr"/>
      <c r="K256" s="57">
        <f>IF(J256&lt;&gt;"","完了",IF(I256="","－",IF(I256&lt;=$L$2,"遅延","予定")))</f>
        <v/>
      </c>
      <c r="L256" s="57">
        <f>IF(AND(H256="完了",K256="完了"),"完了",IF(OR(H256="遅延",K256="遅延"),"遅延","進行中"))</f>
        <v/>
      </c>
    </row>
    <row r="257">
      <c r="A257" s="57" t="n">
        <v>253</v>
      </c>
      <c r="B257" s="59" t="inlineStr">
        <is>
          <t>input/運用チーム/ITB-U-001_監視機能.xlsx</t>
        </is>
      </c>
      <c r="C257" s="59" t="inlineStr">
        <is>
          <t>ITB-001_死活監視</t>
        </is>
      </c>
      <c r="D257" s="57" t="inlineStr">
        <is>
          <t>運用</t>
        </is>
      </c>
      <c r="E257" s="57" t="inlineStr">
        <is>
          <t>ITB-001_死活監視-002</t>
        </is>
      </c>
      <c r="F257" s="109" t="n">
        <v>46027</v>
      </c>
      <c r="G257" s="109" t="n">
        <v>46028</v>
      </c>
      <c r="H257" s="57">
        <f>IF(G257&lt;&gt;"","完了",IF(F257="","－",IF(F257&lt;=$L$2,"遅延","予定")))</f>
        <v/>
      </c>
      <c r="I257" s="109" t="n">
        <v>46028</v>
      </c>
      <c r="J257" s="109" t="n">
        <v>46027</v>
      </c>
      <c r="K257" s="57">
        <f>IF(J257&lt;&gt;"","完了",IF(I257="","－",IF(I257&lt;=$L$2,"遅延","予定")))</f>
        <v/>
      </c>
      <c r="L257" s="57">
        <f>IF(AND(H257="完了",K257="完了"),"完了",IF(OR(H257="遅延",K257="遅延"),"遅延","進行中"))</f>
        <v/>
      </c>
    </row>
    <row r="258">
      <c r="A258" s="57" t="n">
        <v>254</v>
      </c>
      <c r="B258" s="59" t="inlineStr">
        <is>
          <t>input/運用チーム/ITB-U-001_監視機能.xlsx</t>
        </is>
      </c>
      <c r="C258" s="59" t="inlineStr">
        <is>
          <t>ITB-001_死活監視</t>
        </is>
      </c>
      <c r="D258" s="57" t="inlineStr">
        <is>
          <t>運用</t>
        </is>
      </c>
      <c r="E258" s="57" t="inlineStr">
        <is>
          <t>ITB-001_死活監視-003</t>
        </is>
      </c>
      <c r="F258" s="109" t="n">
        <v>46047</v>
      </c>
      <c r="G258" s="109" t="n">
        <v>46046</v>
      </c>
      <c r="H258" s="57">
        <f>IF(G258&lt;&gt;"","完了",IF(F258="","－",IF(F258&lt;=$L$2,"遅延","予定")))</f>
        <v/>
      </c>
      <c r="I258" s="109" t="n">
        <v>46048</v>
      </c>
      <c r="J258" s="109" t="n">
        <v>46049</v>
      </c>
      <c r="K258" s="57">
        <f>IF(J258&lt;&gt;"","完了",IF(I258="","－",IF(I258&lt;=$L$2,"遅延","予定")))</f>
        <v/>
      </c>
      <c r="L258" s="57">
        <f>IF(AND(H258="完了",K258="完了"),"完了",IF(OR(H258="遅延",K258="遅延"),"遅延","進行中"))</f>
        <v/>
      </c>
    </row>
    <row r="259">
      <c r="A259" s="57" t="n">
        <v>255</v>
      </c>
      <c r="B259" s="59" t="inlineStr">
        <is>
          <t>input/運用チーム/ITB-U-001_監視機能.xlsx</t>
        </is>
      </c>
      <c r="C259" s="59" t="inlineStr">
        <is>
          <t>ITB-001_死活監視</t>
        </is>
      </c>
      <c r="D259" s="57" t="inlineStr">
        <is>
          <t>運用</t>
        </is>
      </c>
      <c r="E259" s="57" t="inlineStr">
        <is>
          <t>ITB-001_死活監視-004</t>
        </is>
      </c>
      <c r="F259" s="109" t="n">
        <v>46067</v>
      </c>
      <c r="G259" s="109" t="n">
        <v>46069</v>
      </c>
      <c r="H259" s="57">
        <f>IF(G259&lt;&gt;"","完了",IF(F259="","－",IF(F259&lt;=$L$2,"遅延","予定")))</f>
        <v/>
      </c>
      <c r="I259" s="109" t="n">
        <v>46070</v>
      </c>
      <c r="J259" s="109" t="n">
        <v>46070</v>
      </c>
      <c r="K259" s="57">
        <f>IF(J259&lt;&gt;"","完了",IF(I259="","－",IF(I259&lt;=$L$2,"遅延","予定")))</f>
        <v/>
      </c>
      <c r="L259" s="57">
        <f>IF(AND(H259="完了",K259="完了"),"完了",IF(OR(H259="遅延",K259="遅延"),"遅延","進行中"))</f>
        <v/>
      </c>
    </row>
    <row r="260">
      <c r="A260" s="57" t="n">
        <v>256</v>
      </c>
      <c r="B260" s="59" t="inlineStr">
        <is>
          <t>input/運用チーム/ITB-U-001_監視機能.xlsx</t>
        </is>
      </c>
      <c r="C260" s="59" t="inlineStr">
        <is>
          <t>ITB-001_死活監視</t>
        </is>
      </c>
      <c r="D260" s="57" t="inlineStr">
        <is>
          <t>運用</t>
        </is>
      </c>
      <c r="E260" s="57" t="inlineStr">
        <is>
          <t>ITB-001_死活監視-005</t>
        </is>
      </c>
      <c r="F260" s="109" t="n">
        <v>46084</v>
      </c>
      <c r="G260" s="57" t="inlineStr"/>
      <c r="H260" s="57">
        <f>IF(G260&lt;&gt;"","完了",IF(F260="","－",IF(F260&lt;=$L$2,"遅延","予定")))</f>
        <v/>
      </c>
      <c r="I260" s="109" t="n">
        <v>46086</v>
      </c>
      <c r="J260" s="57" t="inlineStr"/>
      <c r="K260" s="57">
        <f>IF(J260&lt;&gt;"","完了",IF(I260="","－",IF(I260&lt;=$L$2,"遅延","予定")))</f>
        <v/>
      </c>
      <c r="L260" s="57">
        <f>IF(AND(H260="完了",K260="完了"),"完了",IF(OR(H260="遅延",K260="遅延"),"遅延","進行中"))</f>
        <v/>
      </c>
    </row>
    <row r="261">
      <c r="A261" s="57" t="n">
        <v>257</v>
      </c>
      <c r="B261" s="59" t="inlineStr">
        <is>
          <t>input/運用チーム/ITB-U-001_監視機能.xlsx</t>
        </is>
      </c>
      <c r="C261" s="59" t="inlineStr">
        <is>
          <t>ITB-001_死活監視</t>
        </is>
      </c>
      <c r="D261" s="57" t="inlineStr">
        <is>
          <t>運用</t>
        </is>
      </c>
      <c r="E261" s="57" t="inlineStr">
        <is>
          <t>ITB-001_死活監視-006</t>
        </is>
      </c>
      <c r="F261" s="109" t="n">
        <v>46100</v>
      </c>
      <c r="G261" s="57" t="inlineStr"/>
      <c r="H261" s="57">
        <f>IF(G261&lt;&gt;"","完了",IF(F261="","－",IF(F261&lt;=$L$2,"遅延","予定")))</f>
        <v/>
      </c>
      <c r="I261" s="109" t="n">
        <v>46103</v>
      </c>
      <c r="J261" s="57" t="inlineStr"/>
      <c r="K261" s="57">
        <f>IF(J261&lt;&gt;"","完了",IF(I261="","－",IF(I261&lt;=$L$2,"遅延","予定")))</f>
        <v/>
      </c>
      <c r="L261" s="57">
        <f>IF(AND(H261="完了",K261="完了"),"完了",IF(OR(H261="遅延",K261="遅延"),"遅延","進行中"))</f>
        <v/>
      </c>
    </row>
    <row r="262">
      <c r="A262" s="57" t="n">
        <v>258</v>
      </c>
      <c r="B262" s="59" t="inlineStr">
        <is>
          <t>input/運用チーム/ITB-U-001_監視機能.xlsx</t>
        </is>
      </c>
      <c r="C262" s="59" t="inlineStr">
        <is>
          <t>ITB-001_死活監視</t>
        </is>
      </c>
      <c r="D262" s="57" t="inlineStr">
        <is>
          <t>運用</t>
        </is>
      </c>
      <c r="E262" s="57" t="inlineStr">
        <is>
          <t>ITB-001_死活監視-007</t>
        </is>
      </c>
      <c r="F262" s="109" t="n">
        <v>46120</v>
      </c>
      <c r="G262" s="57" t="inlineStr"/>
      <c r="H262" s="57">
        <f>IF(G262&lt;&gt;"","完了",IF(F262="","－",IF(F262&lt;=$L$2,"遅延","予定")))</f>
        <v/>
      </c>
      <c r="I262" s="109" t="n">
        <v>46124</v>
      </c>
      <c r="J262" s="57" t="inlineStr"/>
      <c r="K262" s="57">
        <f>IF(J262&lt;&gt;"","完了",IF(I262="","－",IF(I262&lt;=$L$2,"遅延","予定")))</f>
        <v/>
      </c>
      <c r="L262" s="57">
        <f>IF(AND(H262="完了",K262="完了"),"完了",IF(OR(H262="遅延",K262="遅延"),"遅延","進行中"))</f>
        <v/>
      </c>
    </row>
    <row r="263">
      <c r="A263" s="57" t="n">
        <v>259</v>
      </c>
      <c r="B263" s="59" t="inlineStr">
        <is>
          <t>input/運用チーム/ITB-U-001_監視機能.xlsx</t>
        </is>
      </c>
      <c r="C263" s="59" t="inlineStr">
        <is>
          <t>ITB-001_死活監視</t>
        </is>
      </c>
      <c r="D263" s="57" t="inlineStr">
        <is>
          <t>運用</t>
        </is>
      </c>
      <c r="E263" s="57" t="inlineStr">
        <is>
          <t>ITB-001_死活監視-008</t>
        </is>
      </c>
      <c r="F263" s="109" t="n">
        <v>46137</v>
      </c>
      <c r="G263" s="57" t="inlineStr"/>
      <c r="H263" s="57">
        <f>IF(G263&lt;&gt;"","完了",IF(F263="","－",IF(F263&lt;=$L$2,"遅延","予定")))</f>
        <v/>
      </c>
      <c r="I263" s="109" t="n">
        <v>46138</v>
      </c>
      <c r="J263" s="57" t="inlineStr"/>
      <c r="K263" s="57">
        <f>IF(J263&lt;&gt;"","完了",IF(I263="","－",IF(I263&lt;=$L$2,"遅延","予定")))</f>
        <v/>
      </c>
      <c r="L263" s="57">
        <f>IF(AND(H263="完了",K263="完了"),"完了",IF(OR(H263="遅延",K263="遅延"),"遅延","進行中"))</f>
        <v/>
      </c>
    </row>
    <row r="264">
      <c r="A264" s="57" t="n">
        <v>260</v>
      </c>
      <c r="B264" s="59" t="inlineStr">
        <is>
          <t>input/運用チーム/ITB-U-001_監視機能.xlsx</t>
        </is>
      </c>
      <c r="C264" s="59" t="inlineStr">
        <is>
          <t>ITB-001_死活監視</t>
        </is>
      </c>
      <c r="D264" s="57" t="inlineStr">
        <is>
          <t>運用</t>
        </is>
      </c>
      <c r="E264" s="57" t="inlineStr">
        <is>
          <t>ITB-001_死活監視-009</t>
        </is>
      </c>
      <c r="F264" s="109" t="n">
        <v>46157</v>
      </c>
      <c r="G264" s="57" t="inlineStr"/>
      <c r="H264" s="57">
        <f>IF(G264&lt;&gt;"","完了",IF(F264="","－",IF(F264&lt;=$L$2,"遅延","予定")))</f>
        <v/>
      </c>
      <c r="I264" s="109" t="n">
        <v>46162</v>
      </c>
      <c r="J264" s="57" t="inlineStr"/>
      <c r="K264" s="57">
        <f>IF(J264&lt;&gt;"","完了",IF(I264="","－",IF(I264&lt;=$L$2,"遅延","予定")))</f>
        <v/>
      </c>
      <c r="L264" s="57">
        <f>IF(AND(H264="完了",K264="完了"),"完了",IF(OR(H264="遅延",K264="遅延"),"遅延","進行中"))</f>
        <v/>
      </c>
    </row>
    <row r="265">
      <c r="A265" s="57" t="n">
        <v>261</v>
      </c>
      <c r="B265" s="59" t="inlineStr">
        <is>
          <t>input/運用チーム/ITB-U-001_監視機能.xlsx</t>
        </is>
      </c>
      <c r="C265" s="59" t="inlineStr">
        <is>
          <t>ITB-001_死活監視</t>
        </is>
      </c>
      <c r="D265" s="57" t="inlineStr">
        <is>
          <t>運用</t>
        </is>
      </c>
      <c r="E265" s="57" t="inlineStr">
        <is>
          <t>ITB-001_死活監視-010</t>
        </is>
      </c>
      <c r="F265" s="109" t="n">
        <v>46174</v>
      </c>
      <c r="G265" s="57" t="inlineStr"/>
      <c r="H265" s="57">
        <f>IF(G265&lt;&gt;"","完了",IF(F265="","－",IF(F265&lt;=$L$2,"遅延","予定")))</f>
        <v/>
      </c>
      <c r="I265" s="109" t="n">
        <v>46176</v>
      </c>
      <c r="J265" s="57" t="inlineStr"/>
      <c r="K265" s="57">
        <f>IF(J265&lt;&gt;"","完了",IF(I265="","－",IF(I265&lt;=$L$2,"遅延","予定")))</f>
        <v/>
      </c>
      <c r="L265" s="57">
        <f>IF(AND(H265="完了",K265="完了"),"完了",IF(OR(H265="遅延",K265="遅延"),"遅延","進行中"))</f>
        <v/>
      </c>
    </row>
    <row r="266">
      <c r="A266" s="57" t="n">
        <v>262</v>
      </c>
      <c r="B266" s="59" t="inlineStr">
        <is>
          <t>input/運用チーム/ITB-U-001_監視機能.xlsx</t>
        </is>
      </c>
      <c r="C266" s="59" t="inlineStr">
        <is>
          <t>ITB-002_性能監視</t>
        </is>
      </c>
      <c r="D266" s="57" t="inlineStr">
        <is>
          <t>運用</t>
        </is>
      </c>
      <c r="E266" s="57" t="inlineStr">
        <is>
          <t>ITB-002_性能監視-001</t>
        </is>
      </c>
      <c r="F266" s="109" t="n">
        <v>46007</v>
      </c>
      <c r="G266" s="109" t="n">
        <v>46006</v>
      </c>
      <c r="H266" s="57">
        <f>IF(G266&lt;&gt;"","完了",IF(F266="","－",IF(F266&lt;=$L$2,"遅延","予定")))</f>
        <v/>
      </c>
      <c r="I266" s="109" t="n">
        <v>46008</v>
      </c>
      <c r="J266" s="109" t="n">
        <v>46008</v>
      </c>
      <c r="K266" s="57">
        <f>IF(J266&lt;&gt;"","完了",IF(I266="","－",IF(I266&lt;=$L$2,"遅延","予定")))</f>
        <v/>
      </c>
      <c r="L266" s="57">
        <f>IF(AND(H266="完了",K266="完了"),"完了",IF(OR(H266="遅延",K266="遅延"),"遅延","進行中"))</f>
        <v/>
      </c>
    </row>
    <row r="267">
      <c r="A267" s="57" t="n">
        <v>263</v>
      </c>
      <c r="B267" s="59" t="inlineStr">
        <is>
          <t>input/運用チーム/ITB-U-001_監視機能.xlsx</t>
        </is>
      </c>
      <c r="C267" s="59" t="inlineStr">
        <is>
          <t>ITB-002_性能監視</t>
        </is>
      </c>
      <c r="D267" s="57" t="inlineStr">
        <is>
          <t>運用</t>
        </is>
      </c>
      <c r="E267" s="57" t="inlineStr">
        <is>
          <t>ITB-002_性能監視-002</t>
        </is>
      </c>
      <c r="F267" s="109" t="n">
        <v>46023</v>
      </c>
      <c r="G267" s="109" t="n">
        <v>46022</v>
      </c>
      <c r="H267" s="57">
        <f>IF(G267&lt;&gt;"","完了",IF(F267="","－",IF(F267&lt;=$L$2,"遅延","予定")))</f>
        <v/>
      </c>
      <c r="I267" s="109" t="n">
        <v>46027</v>
      </c>
      <c r="J267" s="109" t="n">
        <v>46028</v>
      </c>
      <c r="K267" s="57">
        <f>IF(J267&lt;&gt;"","完了",IF(I267="","－",IF(I267&lt;=$L$2,"遅延","予定")))</f>
        <v/>
      </c>
      <c r="L267" s="57">
        <f>IF(AND(H267="完了",K267="完了"),"完了",IF(OR(H267="遅延",K267="遅延"),"遅延","進行中"))</f>
        <v/>
      </c>
    </row>
    <row r="268">
      <c r="A268" s="57" t="n">
        <v>264</v>
      </c>
      <c r="B268" s="59" t="inlineStr">
        <is>
          <t>input/運用チーム/ITB-U-001_監視機能.xlsx</t>
        </is>
      </c>
      <c r="C268" s="59" t="inlineStr">
        <is>
          <t>ITB-002_性能監視</t>
        </is>
      </c>
      <c r="D268" s="57" t="inlineStr">
        <is>
          <t>運用</t>
        </is>
      </c>
      <c r="E268" s="57" t="inlineStr">
        <is>
          <t>ITB-002_性能監視-003</t>
        </is>
      </c>
      <c r="F268" s="109" t="n">
        <v>46043</v>
      </c>
      <c r="G268" s="109" t="n">
        <v>46041</v>
      </c>
      <c r="H268" s="57">
        <f>IF(G268&lt;&gt;"","完了",IF(F268="","－",IF(F268&lt;=$L$2,"遅延","予定")))</f>
        <v/>
      </c>
      <c r="I268" s="109" t="n">
        <v>46046</v>
      </c>
      <c r="J268" s="109" t="n">
        <v>46048</v>
      </c>
      <c r="K268" s="57">
        <f>IF(J268&lt;&gt;"","完了",IF(I268="","－",IF(I268&lt;=$L$2,"遅延","予定")))</f>
        <v/>
      </c>
      <c r="L268" s="57">
        <f>IF(AND(H268="完了",K268="完了"),"完了",IF(OR(H268="遅延",K268="遅延"),"遅延","進行中"))</f>
        <v/>
      </c>
    </row>
    <row r="269">
      <c r="A269" s="57" t="n">
        <v>265</v>
      </c>
      <c r="B269" s="59" t="inlineStr">
        <is>
          <t>input/運用チーム/ITB-U-001_監視機能.xlsx</t>
        </is>
      </c>
      <c r="C269" s="59" t="inlineStr">
        <is>
          <t>ITB-002_性能監視</t>
        </is>
      </c>
      <c r="D269" s="57" t="inlineStr">
        <is>
          <t>運用</t>
        </is>
      </c>
      <c r="E269" s="57" t="inlineStr">
        <is>
          <t>ITB-002_性能監視-004</t>
        </is>
      </c>
      <c r="F269" s="109" t="n">
        <v>46068</v>
      </c>
      <c r="G269" s="109" t="n">
        <v>46067</v>
      </c>
      <c r="H269" s="57">
        <f>IF(G269&lt;&gt;"","完了",IF(F269="","－",IF(F269&lt;=$L$2,"遅延","予定")))</f>
        <v/>
      </c>
      <c r="I269" s="109" t="n">
        <v>46071</v>
      </c>
      <c r="J269" s="109" t="n">
        <v>46071</v>
      </c>
      <c r="K269" s="57">
        <f>IF(J269&lt;&gt;"","完了",IF(I269="","－",IF(I269&lt;=$L$2,"遅延","予定")))</f>
        <v/>
      </c>
      <c r="L269" s="57">
        <f>IF(AND(H269="完了",K269="完了"),"完了",IF(OR(H269="遅延",K269="遅延"),"遅延","進行中"))</f>
        <v/>
      </c>
    </row>
    <row r="270">
      <c r="A270" s="57" t="n">
        <v>266</v>
      </c>
      <c r="B270" s="59" t="inlineStr">
        <is>
          <t>input/運用チーム/ITB-U-001_監視機能.xlsx</t>
        </is>
      </c>
      <c r="C270" s="59" t="inlineStr">
        <is>
          <t>ITB-002_性能監視</t>
        </is>
      </c>
      <c r="D270" s="57" t="inlineStr">
        <is>
          <t>運用</t>
        </is>
      </c>
      <c r="E270" s="57" t="inlineStr">
        <is>
          <t>ITB-002_性能監視-005</t>
        </is>
      </c>
      <c r="F270" s="109" t="n">
        <v>46084</v>
      </c>
      <c r="G270" s="109" t="n">
        <v>46082</v>
      </c>
      <c r="H270" s="57">
        <f>IF(G270&lt;&gt;"","完了",IF(F270="","－",IF(F270&lt;=$L$2,"遅延","予定")))</f>
        <v/>
      </c>
      <c r="I270" s="109" t="n">
        <v>46089</v>
      </c>
      <c r="J270" s="57" t="inlineStr"/>
      <c r="K270" s="57">
        <f>IF(J270&lt;&gt;"","完了",IF(I270="","－",IF(I270&lt;=$L$2,"遅延","予定")))</f>
        <v/>
      </c>
      <c r="L270" s="57">
        <f>IF(AND(H270="完了",K270="完了"),"完了",IF(OR(H270="遅延",K270="遅延"),"遅延","進行中"))</f>
        <v/>
      </c>
    </row>
    <row r="271">
      <c r="A271" s="57" t="n">
        <v>267</v>
      </c>
      <c r="B271" s="59" t="inlineStr">
        <is>
          <t>input/運用チーム/ITB-U-001_監視機能.xlsx</t>
        </is>
      </c>
      <c r="C271" s="59" t="inlineStr">
        <is>
          <t>ITB-002_性能監視</t>
        </is>
      </c>
      <c r="D271" s="57" t="inlineStr">
        <is>
          <t>運用</t>
        </is>
      </c>
      <c r="E271" s="57" t="inlineStr">
        <is>
          <t>ITB-002_性能監視-006</t>
        </is>
      </c>
      <c r="F271" s="109" t="n">
        <v>46099</v>
      </c>
      <c r="G271" s="57" t="inlineStr"/>
      <c r="H271" s="57">
        <f>IF(G271&lt;&gt;"","完了",IF(F271="","－",IF(F271&lt;=$L$2,"遅延","予定")))</f>
        <v/>
      </c>
      <c r="I271" s="109" t="n">
        <v>46103</v>
      </c>
      <c r="J271" s="57" t="inlineStr"/>
      <c r="K271" s="57">
        <f>IF(J271&lt;&gt;"","完了",IF(I271="","－",IF(I271&lt;=$L$2,"遅延","予定")))</f>
        <v/>
      </c>
      <c r="L271" s="57">
        <f>IF(AND(H271="完了",K271="完了"),"完了",IF(OR(H271="遅延",K271="遅延"),"遅延","進行中"))</f>
        <v/>
      </c>
    </row>
    <row r="272">
      <c r="A272" s="57" t="n">
        <v>268</v>
      </c>
      <c r="B272" s="59" t="inlineStr">
        <is>
          <t>input/運用チーム/ITB-U-001_監視機能.xlsx</t>
        </is>
      </c>
      <c r="C272" s="59" t="inlineStr">
        <is>
          <t>ITB-002_性能監視</t>
        </is>
      </c>
      <c r="D272" s="57" t="inlineStr">
        <is>
          <t>運用</t>
        </is>
      </c>
      <c r="E272" s="57" t="inlineStr">
        <is>
          <t>ITB-002_性能監視-007</t>
        </is>
      </c>
      <c r="F272" s="109" t="n">
        <v>46120</v>
      </c>
      <c r="G272" s="57" t="inlineStr"/>
      <c r="H272" s="57">
        <f>IF(G272&lt;&gt;"","完了",IF(F272="","－",IF(F272&lt;=$L$2,"遅延","予定")))</f>
        <v/>
      </c>
      <c r="I272" s="109" t="n">
        <v>46122</v>
      </c>
      <c r="J272" s="57" t="inlineStr"/>
      <c r="K272" s="57">
        <f>IF(J272&lt;&gt;"","完了",IF(I272="","－",IF(I272&lt;=$L$2,"遅延","予定")))</f>
        <v/>
      </c>
      <c r="L272" s="57">
        <f>IF(AND(H272="完了",K272="完了"),"完了",IF(OR(H272="遅延",K272="遅延"),"遅延","進行中"))</f>
        <v/>
      </c>
    </row>
    <row r="273">
      <c r="A273" s="57" t="n">
        <v>269</v>
      </c>
      <c r="B273" s="59" t="inlineStr">
        <is>
          <t>input/運用チーム/ITB-U-001_監視機能.xlsx</t>
        </is>
      </c>
      <c r="C273" s="59" t="inlineStr">
        <is>
          <t>ITB-002_性能監視</t>
        </is>
      </c>
      <c r="D273" s="57" t="inlineStr">
        <is>
          <t>運用</t>
        </is>
      </c>
      <c r="E273" s="57" t="inlineStr">
        <is>
          <t>ITB-002_性能監視-008</t>
        </is>
      </c>
      <c r="F273" s="109" t="n">
        <v>46137</v>
      </c>
      <c r="G273" s="57" t="inlineStr"/>
      <c r="H273" s="57">
        <f>IF(G273&lt;&gt;"","完了",IF(F273="","－",IF(F273&lt;=$L$2,"遅延","予定")))</f>
        <v/>
      </c>
      <c r="I273" s="109" t="n">
        <v>46139</v>
      </c>
      <c r="J273" s="57" t="inlineStr"/>
      <c r="K273" s="57">
        <f>IF(J273&lt;&gt;"","完了",IF(I273="","－",IF(I273&lt;=$L$2,"遅延","予定")))</f>
        <v/>
      </c>
      <c r="L273" s="57">
        <f>IF(AND(H273="完了",K273="完了"),"完了",IF(OR(H273="遅延",K273="遅延"),"遅延","進行中"))</f>
        <v/>
      </c>
    </row>
    <row r="274">
      <c r="A274" s="57" t="n">
        <v>270</v>
      </c>
      <c r="B274" s="59" t="inlineStr">
        <is>
          <t>input/運用チーム/ITB-U-001_監視機能.xlsx</t>
        </is>
      </c>
      <c r="C274" s="59" t="inlineStr">
        <is>
          <t>ITB-002_性能監視</t>
        </is>
      </c>
      <c r="D274" s="57" t="inlineStr">
        <is>
          <t>運用</t>
        </is>
      </c>
      <c r="E274" s="57" t="inlineStr">
        <is>
          <t>ITB-002_性能監視-009</t>
        </is>
      </c>
      <c r="F274" s="109" t="n">
        <v>46154</v>
      </c>
      <c r="G274" s="57" t="inlineStr"/>
      <c r="H274" s="57">
        <f>IF(G274&lt;&gt;"","完了",IF(F274="","－",IF(F274&lt;=$L$2,"遅延","予定")))</f>
        <v/>
      </c>
      <c r="I274" s="109" t="n">
        <v>46156</v>
      </c>
      <c r="J274" s="57" t="inlineStr"/>
      <c r="K274" s="57">
        <f>IF(J274&lt;&gt;"","完了",IF(I274="","－",IF(I274&lt;=$L$2,"遅延","予定")))</f>
        <v/>
      </c>
      <c r="L274" s="57">
        <f>IF(AND(H274="完了",K274="完了"),"完了",IF(OR(H274="遅延",K274="遅延"),"遅延","進行中"))</f>
        <v/>
      </c>
    </row>
    <row r="275">
      <c r="A275" s="57" t="n">
        <v>271</v>
      </c>
      <c r="B275" s="59" t="inlineStr">
        <is>
          <t>input/運用チーム/ITB-U-001_監視機能.xlsx</t>
        </is>
      </c>
      <c r="C275" s="59" t="inlineStr">
        <is>
          <t>ITB-002_性能監視</t>
        </is>
      </c>
      <c r="D275" s="57" t="inlineStr">
        <is>
          <t>運用</t>
        </is>
      </c>
      <c r="E275" s="57" t="inlineStr">
        <is>
          <t>ITB-002_性能監視-010</t>
        </is>
      </c>
      <c r="F275" s="109" t="n">
        <v>46178</v>
      </c>
      <c r="G275" s="57" t="inlineStr"/>
      <c r="H275" s="57">
        <f>IF(G275&lt;&gt;"","完了",IF(F275="","－",IF(F275&lt;=$L$2,"遅延","予定")))</f>
        <v/>
      </c>
      <c r="I275" s="109" t="n">
        <v>46183</v>
      </c>
      <c r="J275" s="57" t="inlineStr"/>
      <c r="K275" s="57">
        <f>IF(J275&lt;&gt;"","完了",IF(I275="","－",IF(I275&lt;=$L$2,"遅延","予定")))</f>
        <v/>
      </c>
      <c r="L275" s="57">
        <f>IF(AND(H275="完了",K275="完了"),"完了",IF(OR(H275="遅延",K275="遅延"),"遅延","進行中"))</f>
        <v/>
      </c>
    </row>
    <row r="276">
      <c r="A276" s="57" t="n">
        <v>272</v>
      </c>
      <c r="B276" s="59" t="inlineStr">
        <is>
          <t>input/運用チーム/ITB-U-001_監視機能.xlsx</t>
        </is>
      </c>
      <c r="C276" s="59" t="inlineStr">
        <is>
          <t>ITB-003_アラート通知</t>
        </is>
      </c>
      <c r="D276" s="57" t="inlineStr">
        <is>
          <t>運用</t>
        </is>
      </c>
      <c r="E276" s="57" t="inlineStr">
        <is>
          <t>ITB-003_アラート通知-001</t>
        </is>
      </c>
      <c r="F276" s="109" t="n">
        <v>46008</v>
      </c>
      <c r="G276" s="109" t="n">
        <v>46010</v>
      </c>
      <c r="H276" s="57">
        <f>IF(G276&lt;&gt;"","完了",IF(F276="","－",IF(F276&lt;=$L$2,"遅延","予定")))</f>
        <v/>
      </c>
      <c r="I276" s="109" t="n">
        <v>46013</v>
      </c>
      <c r="J276" s="109" t="n">
        <v>46015</v>
      </c>
      <c r="K276" s="57">
        <f>IF(J276&lt;&gt;"","完了",IF(I276="","－",IF(I276&lt;=$L$2,"遅延","予定")))</f>
        <v/>
      </c>
      <c r="L276" s="57">
        <f>IF(AND(H276="完了",K276="完了"),"完了",IF(OR(H276="遅延",K276="遅延"),"遅延","進行中"))</f>
        <v/>
      </c>
    </row>
    <row r="277">
      <c r="A277" s="57" t="n">
        <v>273</v>
      </c>
      <c r="B277" s="59" t="inlineStr">
        <is>
          <t>input/運用チーム/ITB-U-001_監視機能.xlsx</t>
        </is>
      </c>
      <c r="C277" s="59" t="inlineStr">
        <is>
          <t>ITB-003_アラート通知</t>
        </is>
      </c>
      <c r="D277" s="57" t="inlineStr">
        <is>
          <t>運用</t>
        </is>
      </c>
      <c r="E277" s="57" t="inlineStr">
        <is>
          <t>ITB-003_アラート通知-002</t>
        </is>
      </c>
      <c r="F277" s="109" t="n">
        <v>46031</v>
      </c>
      <c r="G277" s="109" t="n">
        <v>46031</v>
      </c>
      <c r="H277" s="57">
        <f>IF(G277&lt;&gt;"","完了",IF(F277="","－",IF(F277&lt;=$L$2,"遅延","予定")))</f>
        <v/>
      </c>
      <c r="I277" s="109" t="n">
        <v>46033</v>
      </c>
      <c r="J277" s="109" t="n">
        <v>46033</v>
      </c>
      <c r="K277" s="57">
        <f>IF(J277&lt;&gt;"","完了",IF(I277="","－",IF(I277&lt;=$L$2,"遅延","予定")))</f>
        <v/>
      </c>
      <c r="L277" s="57">
        <f>IF(AND(H277="完了",K277="完了"),"完了",IF(OR(H277="遅延",K277="遅延"),"遅延","進行中"))</f>
        <v/>
      </c>
    </row>
    <row r="278">
      <c r="A278" s="57" t="n">
        <v>274</v>
      </c>
      <c r="B278" s="59" t="inlineStr">
        <is>
          <t>input/運用チーム/ITB-U-001_監視機能.xlsx</t>
        </is>
      </c>
      <c r="C278" s="59" t="inlineStr">
        <is>
          <t>ITB-003_アラート通知</t>
        </is>
      </c>
      <c r="D278" s="57" t="inlineStr">
        <is>
          <t>運用</t>
        </is>
      </c>
      <c r="E278" s="57" t="inlineStr">
        <is>
          <t>ITB-003_アラート通知-003</t>
        </is>
      </c>
      <c r="F278" s="109" t="n">
        <v>46041</v>
      </c>
      <c r="G278" s="57" t="inlineStr"/>
      <c r="H278" s="57">
        <f>IF(G278&lt;&gt;"","完了",IF(F278="","－",IF(F278&lt;=$L$2,"遅延","予定")))</f>
        <v/>
      </c>
      <c r="I278" s="109" t="n">
        <v>46043</v>
      </c>
      <c r="J278" s="57" t="inlineStr"/>
      <c r="K278" s="57">
        <f>IF(J278&lt;&gt;"","完了",IF(I278="","－",IF(I278&lt;=$L$2,"遅延","予定")))</f>
        <v/>
      </c>
      <c r="L278" s="57">
        <f>IF(AND(H278="完了",K278="完了"),"完了",IF(OR(H278="遅延",K278="遅延"),"遅延","進行中"))</f>
        <v/>
      </c>
    </row>
    <row r="279">
      <c r="A279" s="57" t="n">
        <v>275</v>
      </c>
      <c r="B279" s="59" t="inlineStr">
        <is>
          <t>input/運用チーム/ITB-U-001_監視機能.xlsx</t>
        </is>
      </c>
      <c r="C279" s="59" t="inlineStr">
        <is>
          <t>ITB-003_アラート通知</t>
        </is>
      </c>
      <c r="D279" s="57" t="inlineStr">
        <is>
          <t>運用</t>
        </is>
      </c>
      <c r="E279" s="57" t="inlineStr">
        <is>
          <t>ITB-003_アラート通知-004</t>
        </is>
      </c>
      <c r="F279" s="109" t="n">
        <v>46064</v>
      </c>
      <c r="G279" s="57" t="inlineStr"/>
      <c r="H279" s="57">
        <f>IF(G279&lt;&gt;"","完了",IF(F279="","－",IF(F279&lt;=$L$2,"遅延","予定")))</f>
        <v/>
      </c>
      <c r="I279" s="109" t="n">
        <v>46067</v>
      </c>
      <c r="J279" s="57" t="inlineStr"/>
      <c r="K279" s="57">
        <f>IF(J279&lt;&gt;"","完了",IF(I279="","－",IF(I279&lt;=$L$2,"遅延","予定")))</f>
        <v/>
      </c>
      <c r="L279" s="57">
        <f>IF(AND(H279="完了",K279="完了"),"完了",IF(OR(H279="遅延",K279="遅延"),"遅延","進行中"))</f>
        <v/>
      </c>
    </row>
    <row r="280">
      <c r="A280" s="57" t="n">
        <v>276</v>
      </c>
      <c r="B280" s="59" t="inlineStr">
        <is>
          <t>input/運用チーム/ITB-U-001_監視機能.xlsx</t>
        </is>
      </c>
      <c r="C280" s="59" t="inlineStr">
        <is>
          <t>ITB-003_アラート通知</t>
        </is>
      </c>
      <c r="D280" s="57" t="inlineStr">
        <is>
          <t>運用</t>
        </is>
      </c>
      <c r="E280" s="57" t="inlineStr">
        <is>
          <t>ITB-003_アラート通知-005</t>
        </is>
      </c>
      <c r="F280" s="109" t="n">
        <v>46080</v>
      </c>
      <c r="G280" s="109" t="n">
        <v>46079</v>
      </c>
      <c r="H280" s="57">
        <f>IF(G280&lt;&gt;"","完了",IF(F280="","－",IF(F280&lt;=$L$2,"遅延","予定")))</f>
        <v/>
      </c>
      <c r="I280" s="109" t="n">
        <v>46084</v>
      </c>
      <c r="J280" s="109" t="n">
        <v>46086</v>
      </c>
      <c r="K280" s="57">
        <f>IF(J280&lt;&gt;"","完了",IF(I280="","－",IF(I280&lt;=$L$2,"遅延","予定")))</f>
        <v/>
      </c>
      <c r="L280" s="57">
        <f>IF(AND(H280="完了",K280="完了"),"完了",IF(OR(H280="遅延",K280="遅延"),"遅延","進行中"))</f>
        <v/>
      </c>
    </row>
    <row r="281">
      <c r="A281" s="57" t="n">
        <v>277</v>
      </c>
      <c r="B281" s="59" t="inlineStr">
        <is>
          <t>input/運用チーム/ITB-U-001_監視機能.xlsx</t>
        </is>
      </c>
      <c r="C281" s="59" t="inlineStr">
        <is>
          <t>ITB-003_アラート通知</t>
        </is>
      </c>
      <c r="D281" s="57" t="inlineStr">
        <is>
          <t>運用</t>
        </is>
      </c>
      <c r="E281" s="57" t="inlineStr">
        <is>
          <t>ITB-003_アラート通知-006</t>
        </is>
      </c>
      <c r="F281" s="109" t="n">
        <v>46104</v>
      </c>
      <c r="G281" s="57" t="inlineStr"/>
      <c r="H281" s="57">
        <f>IF(G281&lt;&gt;"","完了",IF(F281="","－",IF(F281&lt;=$L$2,"遅延","予定")))</f>
        <v/>
      </c>
      <c r="I281" s="109" t="n">
        <v>46105</v>
      </c>
      <c r="J281" s="57" t="inlineStr"/>
      <c r="K281" s="57">
        <f>IF(J281&lt;&gt;"","完了",IF(I281="","－",IF(I281&lt;=$L$2,"遅延","予定")))</f>
        <v/>
      </c>
      <c r="L281" s="57">
        <f>IF(AND(H281="完了",K281="完了"),"完了",IF(OR(H281="遅延",K281="遅延"),"遅延","進行中"))</f>
        <v/>
      </c>
    </row>
    <row r="282">
      <c r="A282" s="57" t="n">
        <v>278</v>
      </c>
      <c r="B282" s="59" t="inlineStr">
        <is>
          <t>input/運用チーム/ITB-U-001_監視機能.xlsx</t>
        </is>
      </c>
      <c r="C282" s="59" t="inlineStr">
        <is>
          <t>ITB-003_アラート通知</t>
        </is>
      </c>
      <c r="D282" s="57" t="inlineStr">
        <is>
          <t>運用</t>
        </is>
      </c>
      <c r="E282" s="57" t="inlineStr">
        <is>
          <t>ITB-003_アラート通知-007</t>
        </is>
      </c>
      <c r="F282" s="109" t="n">
        <v>46117</v>
      </c>
      <c r="G282" s="57" t="inlineStr"/>
      <c r="H282" s="57">
        <f>IF(G282&lt;&gt;"","完了",IF(F282="","－",IF(F282&lt;=$L$2,"遅延","予定")))</f>
        <v/>
      </c>
      <c r="I282" s="109" t="n">
        <v>46119</v>
      </c>
      <c r="J282" s="57" t="inlineStr"/>
      <c r="K282" s="57">
        <f>IF(J282&lt;&gt;"","完了",IF(I282="","－",IF(I282&lt;=$L$2,"遅延","予定")))</f>
        <v/>
      </c>
      <c r="L282" s="57">
        <f>IF(AND(H282="完了",K282="完了"),"完了",IF(OR(H282="遅延",K282="遅延"),"遅延","進行中"))</f>
        <v/>
      </c>
    </row>
    <row r="283">
      <c r="A283" s="57" t="n">
        <v>279</v>
      </c>
      <c r="B283" s="59" t="inlineStr">
        <is>
          <t>input/運用チーム/ITB-U-001_監視機能.xlsx</t>
        </is>
      </c>
      <c r="C283" s="59" t="inlineStr">
        <is>
          <t>ITB-003_アラート通知</t>
        </is>
      </c>
      <c r="D283" s="57" t="inlineStr">
        <is>
          <t>運用</t>
        </is>
      </c>
      <c r="E283" s="57" t="inlineStr">
        <is>
          <t>ITB-003_アラート通知-008</t>
        </is>
      </c>
      <c r="F283" s="109" t="n">
        <v>46131</v>
      </c>
      <c r="G283" s="57" t="inlineStr"/>
      <c r="H283" s="57">
        <f>IF(G283&lt;&gt;"","完了",IF(F283="","－",IF(F283&lt;=$L$2,"遅延","予定")))</f>
        <v/>
      </c>
      <c r="I283" s="109" t="n">
        <v>46134</v>
      </c>
      <c r="J283" s="57" t="inlineStr"/>
      <c r="K283" s="57">
        <f>IF(J283&lt;&gt;"","完了",IF(I283="","－",IF(I283&lt;=$L$2,"遅延","予定")))</f>
        <v/>
      </c>
      <c r="L283" s="57">
        <f>IF(AND(H283="完了",K283="完了"),"完了",IF(OR(H283="遅延",K283="遅延"),"遅延","進行中"))</f>
        <v/>
      </c>
    </row>
    <row r="284">
      <c r="A284" s="57" t="n">
        <v>280</v>
      </c>
      <c r="B284" s="59" t="inlineStr">
        <is>
          <t>input/運用チーム/ITB-U-001_監視機能.xlsx</t>
        </is>
      </c>
      <c r="C284" s="59" t="inlineStr">
        <is>
          <t>ITB-003_アラート通知</t>
        </is>
      </c>
      <c r="D284" s="57" t="inlineStr">
        <is>
          <t>運用</t>
        </is>
      </c>
      <c r="E284" s="57" t="inlineStr">
        <is>
          <t>ITB-003_アラート通知-009</t>
        </is>
      </c>
      <c r="F284" s="109" t="n">
        <v>46154</v>
      </c>
      <c r="G284" s="57" t="inlineStr"/>
      <c r="H284" s="57">
        <f>IF(G284&lt;&gt;"","完了",IF(F284="","－",IF(F284&lt;=$L$2,"遅延","予定")))</f>
        <v/>
      </c>
      <c r="I284" s="109" t="n">
        <v>46158</v>
      </c>
      <c r="J284" s="57" t="inlineStr"/>
      <c r="K284" s="57">
        <f>IF(J284&lt;&gt;"","完了",IF(I284="","－",IF(I284&lt;=$L$2,"遅延","予定")))</f>
        <v/>
      </c>
      <c r="L284" s="57">
        <f>IF(AND(H284="完了",K284="完了"),"完了",IF(OR(H284="遅延",K284="遅延"),"遅延","進行中"))</f>
        <v/>
      </c>
    </row>
    <row r="285">
      <c r="A285" s="57" t="n">
        <v>281</v>
      </c>
      <c r="B285" s="59" t="inlineStr">
        <is>
          <t>input/運用チーム/ITB-U-001_監視機能.xlsx</t>
        </is>
      </c>
      <c r="C285" s="59" t="inlineStr">
        <is>
          <t>ITB-003_アラート通知</t>
        </is>
      </c>
      <c r="D285" s="57" t="inlineStr">
        <is>
          <t>運用</t>
        </is>
      </c>
      <c r="E285" s="57" t="inlineStr">
        <is>
          <t>ITB-003_アラート通知-010</t>
        </is>
      </c>
      <c r="F285" s="109" t="n">
        <v>46172</v>
      </c>
      <c r="G285" s="57" t="inlineStr"/>
      <c r="H285" s="57">
        <f>IF(G285&lt;&gt;"","完了",IF(F285="","－",IF(F285&lt;=$L$2,"遅延","予定")))</f>
        <v/>
      </c>
      <c r="I285" s="109" t="n">
        <v>46175</v>
      </c>
      <c r="J285" s="57" t="inlineStr"/>
      <c r="K285" s="57">
        <f>IF(J285&lt;&gt;"","完了",IF(I285="","－",IF(I285&lt;=$L$2,"遅延","予定")))</f>
        <v/>
      </c>
      <c r="L285" s="57">
        <f>IF(AND(H285="完了",K285="完了"),"完了",IF(OR(H285="遅延",K285="遅延"),"遅延","進行中"))</f>
        <v/>
      </c>
    </row>
    <row r="286">
      <c r="A286" s="57" t="n">
        <v>282</v>
      </c>
      <c r="B286" s="59" t="inlineStr">
        <is>
          <t>input/運用チーム/ITB-U-002_運用ツール.xlsx</t>
        </is>
      </c>
      <c r="C286" s="59" t="inlineStr">
        <is>
          <t>ITB-001_バックアップ</t>
        </is>
      </c>
      <c r="D286" s="57" t="inlineStr">
        <is>
          <t>運用</t>
        </is>
      </c>
      <c r="E286" s="57" t="inlineStr">
        <is>
          <t>ITB-001_バックアップ-001</t>
        </is>
      </c>
      <c r="F286" s="109" t="n">
        <v>46021</v>
      </c>
      <c r="G286" s="109" t="n">
        <v>46021</v>
      </c>
      <c r="H286" s="57">
        <f>IF(G286&lt;&gt;"","完了",IF(F286="","－",IF(F286&lt;=$L$2,"遅延","予定")))</f>
        <v/>
      </c>
      <c r="I286" s="109" t="n">
        <v>46026</v>
      </c>
      <c r="J286" s="109" t="n">
        <v>46027</v>
      </c>
      <c r="K286" s="57">
        <f>IF(J286&lt;&gt;"","完了",IF(I286="","－",IF(I286&lt;=$L$2,"遅延","予定")))</f>
        <v/>
      </c>
      <c r="L286" s="57">
        <f>IF(AND(H286="完了",K286="完了"),"完了",IF(OR(H286="遅延",K286="遅延"),"遅延","進行中"))</f>
        <v/>
      </c>
    </row>
    <row r="287">
      <c r="A287" s="57" t="n">
        <v>283</v>
      </c>
      <c r="B287" s="59" t="inlineStr">
        <is>
          <t>input/運用チーム/ITB-U-002_運用ツール.xlsx</t>
        </is>
      </c>
      <c r="C287" s="59" t="inlineStr">
        <is>
          <t>ITB-001_バックアップ</t>
        </is>
      </c>
      <c r="D287" s="57" t="inlineStr">
        <is>
          <t>運用</t>
        </is>
      </c>
      <c r="E287" s="57" t="inlineStr">
        <is>
          <t>ITB-001_バックアップ-002</t>
        </is>
      </c>
      <c r="F287" s="109" t="n">
        <v>46055</v>
      </c>
      <c r="G287" s="109" t="n">
        <v>46057</v>
      </c>
      <c r="H287" s="57">
        <f>IF(G287&lt;&gt;"","完了",IF(F287="","－",IF(F287&lt;=$L$2,"遅延","予定")))</f>
        <v/>
      </c>
      <c r="I287" s="109" t="n">
        <v>46057</v>
      </c>
      <c r="J287" s="109" t="n">
        <v>46058</v>
      </c>
      <c r="K287" s="57">
        <f>IF(J287&lt;&gt;"","完了",IF(I287="","－",IF(I287&lt;=$L$2,"遅延","予定")))</f>
        <v/>
      </c>
      <c r="L287" s="57">
        <f>IF(AND(H287="完了",K287="完了"),"完了",IF(OR(H287="遅延",K287="遅延"),"遅延","進行中"))</f>
        <v/>
      </c>
    </row>
    <row r="288">
      <c r="A288" s="57" t="n">
        <v>284</v>
      </c>
      <c r="B288" s="59" t="inlineStr">
        <is>
          <t>input/運用チーム/ITB-U-002_運用ツール.xlsx</t>
        </is>
      </c>
      <c r="C288" s="59" t="inlineStr">
        <is>
          <t>ITB-001_バックアップ</t>
        </is>
      </c>
      <c r="D288" s="57" t="inlineStr">
        <is>
          <t>運用</t>
        </is>
      </c>
      <c r="E288" s="57" t="inlineStr">
        <is>
          <t>ITB-001_バックアップ-003</t>
        </is>
      </c>
      <c r="F288" s="109" t="n">
        <v>46083</v>
      </c>
      <c r="G288" s="109" t="n">
        <v>46081</v>
      </c>
      <c r="H288" s="57">
        <f>IF(G288&lt;&gt;"","完了",IF(F288="","－",IF(F288&lt;=$L$2,"遅延","予定")))</f>
        <v/>
      </c>
      <c r="I288" s="109" t="n">
        <v>46085</v>
      </c>
      <c r="J288" s="109" t="n">
        <v>46085</v>
      </c>
      <c r="K288" s="57">
        <f>IF(J288&lt;&gt;"","完了",IF(I288="","－",IF(I288&lt;=$L$2,"遅延","予定")))</f>
        <v/>
      </c>
      <c r="L288" s="57">
        <f>IF(AND(H288="完了",K288="完了"),"完了",IF(OR(H288="遅延",K288="遅延"),"遅延","進行中"))</f>
        <v/>
      </c>
    </row>
    <row r="289">
      <c r="A289" s="57" t="n">
        <v>285</v>
      </c>
      <c r="B289" s="59" t="inlineStr">
        <is>
          <t>input/運用チーム/ITB-U-002_運用ツール.xlsx</t>
        </is>
      </c>
      <c r="C289" s="59" t="inlineStr">
        <is>
          <t>ITB-001_バックアップ</t>
        </is>
      </c>
      <c r="D289" s="57" t="inlineStr">
        <is>
          <t>運用</t>
        </is>
      </c>
      <c r="E289" s="57" t="inlineStr">
        <is>
          <t>ITB-001_バックアップ-004</t>
        </is>
      </c>
      <c r="F289" s="109" t="n">
        <v>46112</v>
      </c>
      <c r="G289" s="57" t="inlineStr"/>
      <c r="H289" s="57">
        <f>IF(G289&lt;&gt;"","完了",IF(F289="","－",IF(F289&lt;=$L$2,"遅延","予定")))</f>
        <v/>
      </c>
      <c r="I289" s="109" t="n">
        <v>46116</v>
      </c>
      <c r="J289" s="57" t="inlineStr"/>
      <c r="K289" s="57">
        <f>IF(J289&lt;&gt;"","完了",IF(I289="","－",IF(I289&lt;=$L$2,"遅延","予定")))</f>
        <v/>
      </c>
      <c r="L289" s="57">
        <f>IF(AND(H289="完了",K289="完了"),"完了",IF(OR(H289="遅延",K289="遅延"),"遅延","進行中"))</f>
        <v/>
      </c>
    </row>
    <row r="290">
      <c r="A290" s="57" t="n">
        <v>286</v>
      </c>
      <c r="B290" s="59" t="inlineStr">
        <is>
          <t>input/運用チーム/ITB-U-002_運用ツール.xlsx</t>
        </is>
      </c>
      <c r="C290" s="59" t="inlineStr">
        <is>
          <t>ITB-001_バックアップ</t>
        </is>
      </c>
      <c r="D290" s="57" t="inlineStr">
        <is>
          <t>運用</t>
        </is>
      </c>
      <c r="E290" s="57" t="inlineStr">
        <is>
          <t>ITB-001_バックアップ-005</t>
        </is>
      </c>
      <c r="F290" s="109" t="n">
        <v>46143</v>
      </c>
      <c r="G290" s="57" t="inlineStr"/>
      <c r="H290" s="57">
        <f>IF(G290&lt;&gt;"","完了",IF(F290="","－",IF(F290&lt;=$L$2,"遅延","予定")))</f>
        <v/>
      </c>
      <c r="I290" s="109" t="n">
        <v>46145</v>
      </c>
      <c r="J290" s="57" t="inlineStr"/>
      <c r="K290" s="57">
        <f>IF(J290&lt;&gt;"","完了",IF(I290="","－",IF(I290&lt;=$L$2,"遅延","予定")))</f>
        <v/>
      </c>
      <c r="L290" s="57">
        <f>IF(AND(H290="完了",K290="完了"),"完了",IF(OR(H290="遅延",K290="遅延"),"遅延","進行中"))</f>
        <v/>
      </c>
    </row>
    <row r="291">
      <c r="A291" s="57" t="n">
        <v>287</v>
      </c>
      <c r="B291" s="59" t="inlineStr">
        <is>
          <t>input/運用チーム/ITB-U-002_運用ツール.xlsx</t>
        </is>
      </c>
      <c r="C291" s="59" t="inlineStr">
        <is>
          <t>ITB-001_バックアップ</t>
        </is>
      </c>
      <c r="D291" s="57" t="inlineStr">
        <is>
          <t>運用</t>
        </is>
      </c>
      <c r="E291" s="57" t="inlineStr">
        <is>
          <t>ITB-001_バックアップ-006</t>
        </is>
      </c>
      <c r="F291" s="109" t="n">
        <v>46172</v>
      </c>
      <c r="G291" s="57" t="inlineStr"/>
      <c r="H291" s="57">
        <f>IF(G291&lt;&gt;"","完了",IF(F291="","－",IF(F291&lt;=$L$2,"遅延","予定")))</f>
        <v/>
      </c>
      <c r="I291" s="109" t="n">
        <v>46177</v>
      </c>
      <c r="J291" s="57" t="inlineStr"/>
      <c r="K291" s="57">
        <f>IF(J291&lt;&gt;"","完了",IF(I291="","－",IF(I291&lt;=$L$2,"遅延","予定")))</f>
        <v/>
      </c>
      <c r="L291" s="57">
        <f>IF(AND(H291="完了",K291="完了"),"完了",IF(OR(H291="遅延",K291="遅延"),"遅延","進行中"))</f>
        <v/>
      </c>
    </row>
    <row r="292">
      <c r="A292" s="57" t="n">
        <v>288</v>
      </c>
      <c r="B292" s="59" t="inlineStr">
        <is>
          <t>input/運用チーム/ITB-U-002_運用ツール.xlsx</t>
        </is>
      </c>
      <c r="C292" s="59" t="inlineStr">
        <is>
          <t>ITB-002_リストア</t>
        </is>
      </c>
      <c r="D292" s="57" t="inlineStr">
        <is>
          <t>運用</t>
        </is>
      </c>
      <c r="E292" s="57" t="inlineStr">
        <is>
          <t>ITB-002_リストア-001</t>
        </is>
      </c>
      <c r="F292" s="109" t="n">
        <v>46026</v>
      </c>
      <c r="G292" s="109" t="n">
        <v>46024</v>
      </c>
      <c r="H292" s="57">
        <f>IF(G292&lt;&gt;"","完了",IF(F292="","－",IF(F292&lt;=$L$2,"遅延","予定")))</f>
        <v/>
      </c>
      <c r="I292" s="109" t="n">
        <v>46031</v>
      </c>
      <c r="J292" s="109" t="n">
        <v>46031</v>
      </c>
      <c r="K292" s="57">
        <f>IF(J292&lt;&gt;"","完了",IF(I292="","－",IF(I292&lt;=$L$2,"遅延","予定")))</f>
        <v/>
      </c>
      <c r="L292" s="57">
        <f>IF(AND(H292="完了",K292="完了"),"完了",IF(OR(H292="遅延",K292="遅延"),"遅延","進行中"))</f>
        <v/>
      </c>
    </row>
    <row r="293">
      <c r="A293" s="57" t="n">
        <v>289</v>
      </c>
      <c r="B293" s="59" t="inlineStr">
        <is>
          <t>input/運用チーム/ITB-U-002_運用ツール.xlsx</t>
        </is>
      </c>
      <c r="C293" s="59" t="inlineStr">
        <is>
          <t>ITB-002_リストア</t>
        </is>
      </c>
      <c r="D293" s="57" t="inlineStr">
        <is>
          <t>運用</t>
        </is>
      </c>
      <c r="E293" s="57" t="inlineStr">
        <is>
          <t>ITB-002_リストア-002</t>
        </is>
      </c>
      <c r="F293" s="109" t="n">
        <v>46053</v>
      </c>
      <c r="G293" s="109" t="n">
        <v>46056</v>
      </c>
      <c r="H293" s="57">
        <f>IF(G293&lt;&gt;"","完了",IF(F293="","－",IF(F293&lt;=$L$2,"遅延","予定")))</f>
        <v/>
      </c>
      <c r="I293" s="109" t="n">
        <v>46056</v>
      </c>
      <c r="J293" s="109" t="n">
        <v>46055</v>
      </c>
      <c r="K293" s="57">
        <f>IF(J293&lt;&gt;"","完了",IF(I293="","－",IF(I293&lt;=$L$2,"遅延","予定")))</f>
        <v/>
      </c>
      <c r="L293" s="57">
        <f>IF(AND(H293="完了",K293="完了"),"完了",IF(OR(H293="遅延",K293="遅延"),"遅延","進行中"))</f>
        <v/>
      </c>
    </row>
    <row r="294">
      <c r="A294" s="57" t="n">
        <v>290</v>
      </c>
      <c r="B294" s="59" t="inlineStr">
        <is>
          <t>input/運用チーム/ITB-U-002_運用ツール.xlsx</t>
        </is>
      </c>
      <c r="C294" s="59" t="inlineStr">
        <is>
          <t>ITB-002_リストア</t>
        </is>
      </c>
      <c r="D294" s="57" t="inlineStr">
        <is>
          <t>運用</t>
        </is>
      </c>
      <c r="E294" s="57" t="inlineStr">
        <is>
          <t>ITB-002_リストア-003</t>
        </is>
      </c>
      <c r="F294" s="109" t="n">
        <v>46079</v>
      </c>
      <c r="G294" s="109" t="n">
        <v>46082</v>
      </c>
      <c r="H294" s="57">
        <f>IF(G294&lt;&gt;"","完了",IF(F294="","－",IF(F294&lt;=$L$2,"遅延","予定")))</f>
        <v/>
      </c>
      <c r="I294" s="109" t="n">
        <v>46081</v>
      </c>
      <c r="J294" s="109" t="n">
        <v>46081</v>
      </c>
      <c r="K294" s="57">
        <f>IF(J294&lt;&gt;"","完了",IF(I294="","－",IF(I294&lt;=$L$2,"遅延","予定")))</f>
        <v/>
      </c>
      <c r="L294" s="57">
        <f>IF(AND(H294="完了",K294="完了"),"完了",IF(OR(H294="遅延",K294="遅延"),"遅延","進行中"))</f>
        <v/>
      </c>
    </row>
    <row r="295">
      <c r="A295" s="57" t="n">
        <v>291</v>
      </c>
      <c r="B295" s="59" t="inlineStr">
        <is>
          <t>input/運用チーム/ITB-U-002_運用ツール.xlsx</t>
        </is>
      </c>
      <c r="C295" s="59" t="inlineStr">
        <is>
          <t>ITB-002_リストア</t>
        </is>
      </c>
      <c r="D295" s="57" t="inlineStr">
        <is>
          <t>運用</t>
        </is>
      </c>
      <c r="E295" s="57" t="inlineStr">
        <is>
          <t>ITB-002_リストア-004</t>
        </is>
      </c>
      <c r="F295" s="109" t="n">
        <v>46108</v>
      </c>
      <c r="G295" s="57" t="inlineStr"/>
      <c r="H295" s="57">
        <f>IF(G295&lt;&gt;"","完了",IF(F295="","－",IF(F295&lt;=$L$2,"遅延","予定")))</f>
        <v/>
      </c>
      <c r="I295" s="109" t="n">
        <v>46109</v>
      </c>
      <c r="J295" s="57" t="inlineStr"/>
      <c r="K295" s="57">
        <f>IF(J295&lt;&gt;"","完了",IF(I295="","－",IF(I295&lt;=$L$2,"遅延","予定")))</f>
        <v/>
      </c>
      <c r="L295" s="57">
        <f>IF(AND(H295="完了",K295="完了"),"完了",IF(OR(H295="遅延",K295="遅延"),"遅延","進行中"))</f>
        <v/>
      </c>
    </row>
    <row r="296">
      <c r="A296" s="57" t="n">
        <v>292</v>
      </c>
      <c r="B296" s="59" t="inlineStr">
        <is>
          <t>input/運用チーム/ITB-U-002_運用ツール.xlsx</t>
        </is>
      </c>
      <c r="C296" s="59" t="inlineStr">
        <is>
          <t>ITB-002_リストア</t>
        </is>
      </c>
      <c r="D296" s="57" t="inlineStr">
        <is>
          <t>運用</t>
        </is>
      </c>
      <c r="E296" s="57" t="inlineStr">
        <is>
          <t>ITB-002_リストア-005</t>
        </is>
      </c>
      <c r="F296" s="109" t="n">
        <v>46141</v>
      </c>
      <c r="G296" s="57" t="inlineStr"/>
      <c r="H296" s="57">
        <f>IF(G296&lt;&gt;"","完了",IF(F296="","－",IF(F296&lt;=$L$2,"遅延","予定")))</f>
        <v/>
      </c>
      <c r="I296" s="109" t="n">
        <v>46145</v>
      </c>
      <c r="J296" s="57" t="inlineStr"/>
      <c r="K296" s="57">
        <f>IF(J296&lt;&gt;"","完了",IF(I296="","－",IF(I296&lt;=$L$2,"遅延","予定")))</f>
        <v/>
      </c>
      <c r="L296" s="57">
        <f>IF(AND(H296="完了",K296="完了"),"完了",IF(OR(H296="遅延",K296="遅延"),"遅延","進行中"))</f>
        <v/>
      </c>
    </row>
    <row r="297">
      <c r="A297" s="57" t="n">
        <v>293</v>
      </c>
      <c r="B297" s="59" t="inlineStr">
        <is>
          <t>input/運用チーム/ITB-U-002_運用ツール.xlsx</t>
        </is>
      </c>
      <c r="C297" s="59" t="inlineStr">
        <is>
          <t>ITB-002_リストア</t>
        </is>
      </c>
      <c r="D297" s="57" t="inlineStr">
        <is>
          <t>運用</t>
        </is>
      </c>
      <c r="E297" s="57" t="inlineStr">
        <is>
          <t>ITB-002_リストア-006</t>
        </is>
      </c>
      <c r="F297" s="109" t="n">
        <v>46169</v>
      </c>
      <c r="G297" s="57" t="inlineStr"/>
      <c r="H297" s="57">
        <f>IF(G297&lt;&gt;"","完了",IF(F297="","－",IF(F297&lt;=$L$2,"遅延","予定")))</f>
        <v/>
      </c>
      <c r="I297" s="109" t="n">
        <v>46171</v>
      </c>
      <c r="J297" s="57" t="inlineStr"/>
      <c r="K297" s="57">
        <f>IF(J297&lt;&gt;"","完了",IF(I297="","－",IF(I297&lt;=$L$2,"遅延","予定")))</f>
        <v/>
      </c>
      <c r="L297" s="57">
        <f>IF(AND(H297="完了",K297="完了"),"完了",IF(OR(H297="遅延",K297="遅延"),"遅延","進行中"))</f>
        <v/>
      </c>
    </row>
    <row r="298">
      <c r="A298" s="57" t="n">
        <v>294</v>
      </c>
      <c r="B298" s="59" t="inlineStr">
        <is>
          <t>input/運用チーム/ITB-U-002_運用ツール.xlsx</t>
        </is>
      </c>
      <c r="C298" s="59" t="inlineStr">
        <is>
          <t>ITB-003_メンテナンス</t>
        </is>
      </c>
      <c r="D298" s="57" t="inlineStr">
        <is>
          <t>運用</t>
        </is>
      </c>
      <c r="E298" s="57" t="inlineStr">
        <is>
          <t>ITB-003_メンテナンス-001</t>
        </is>
      </c>
      <c r="F298" s="109" t="n">
        <v>46026</v>
      </c>
      <c r="G298" s="109" t="n">
        <v>46024</v>
      </c>
      <c r="H298" s="57">
        <f>IF(G298&lt;&gt;"","完了",IF(F298="","－",IF(F298&lt;=$L$2,"遅延","予定")))</f>
        <v/>
      </c>
      <c r="I298" s="109" t="n">
        <v>46029</v>
      </c>
      <c r="J298" s="57" t="inlineStr"/>
      <c r="K298" s="57">
        <f>IF(J298&lt;&gt;"","完了",IF(I298="","－",IF(I298&lt;=$L$2,"遅延","予定")))</f>
        <v/>
      </c>
      <c r="L298" s="57">
        <f>IF(AND(H298="完了",K298="完了"),"完了",IF(OR(H298="遅延",K298="遅延"),"遅延","進行中"))</f>
        <v/>
      </c>
    </row>
    <row r="299">
      <c r="A299" s="57" t="n">
        <v>295</v>
      </c>
      <c r="B299" s="59" t="inlineStr">
        <is>
          <t>input/運用チーム/ITB-U-002_運用ツール.xlsx</t>
        </is>
      </c>
      <c r="C299" s="59" t="inlineStr">
        <is>
          <t>ITB-003_メンテナンス</t>
        </is>
      </c>
      <c r="D299" s="57" t="inlineStr">
        <is>
          <t>運用</t>
        </is>
      </c>
      <c r="E299" s="57" t="inlineStr">
        <is>
          <t>ITB-003_メンテナンス-002</t>
        </is>
      </c>
      <c r="F299" s="109" t="n">
        <v>46054</v>
      </c>
      <c r="G299" s="109" t="n">
        <v>46057</v>
      </c>
      <c r="H299" s="57">
        <f>IF(G299&lt;&gt;"","完了",IF(F299="","－",IF(F299&lt;=$L$2,"遅延","予定")))</f>
        <v/>
      </c>
      <c r="I299" s="109" t="n">
        <v>46058</v>
      </c>
      <c r="J299" s="109" t="n">
        <v>46057</v>
      </c>
      <c r="K299" s="57">
        <f>IF(J299&lt;&gt;"","完了",IF(I299="","－",IF(I299&lt;=$L$2,"遅延","予定")))</f>
        <v/>
      </c>
      <c r="L299" s="57">
        <f>IF(AND(H299="完了",K299="完了"),"完了",IF(OR(H299="遅延",K299="遅延"),"遅延","進行中"))</f>
        <v/>
      </c>
    </row>
    <row r="300">
      <c r="A300" s="57" t="n">
        <v>296</v>
      </c>
      <c r="B300" s="59" t="inlineStr">
        <is>
          <t>input/運用チーム/ITB-U-002_運用ツール.xlsx</t>
        </is>
      </c>
      <c r="C300" s="59" t="inlineStr">
        <is>
          <t>ITB-003_メンテナンス</t>
        </is>
      </c>
      <c r="D300" s="57" t="inlineStr">
        <is>
          <t>運用</t>
        </is>
      </c>
      <c r="E300" s="57" t="inlineStr">
        <is>
          <t>ITB-003_メンテナンス-003</t>
        </is>
      </c>
      <c r="F300" s="109" t="n">
        <v>46084</v>
      </c>
      <c r="G300" s="109" t="n">
        <v>46084</v>
      </c>
      <c r="H300" s="57">
        <f>IF(G300&lt;&gt;"","完了",IF(F300="","－",IF(F300&lt;=$L$2,"遅延","予定")))</f>
        <v/>
      </c>
      <c r="I300" s="109" t="n">
        <v>46087</v>
      </c>
      <c r="J300" s="57" t="inlineStr"/>
      <c r="K300" s="57">
        <f>IF(J300&lt;&gt;"","完了",IF(I300="","－",IF(I300&lt;=$L$2,"遅延","予定")))</f>
        <v/>
      </c>
      <c r="L300" s="57">
        <f>IF(AND(H300="完了",K300="完了"),"完了",IF(OR(H300="遅延",K300="遅延"),"遅延","進行中"))</f>
        <v/>
      </c>
    </row>
    <row r="301">
      <c r="A301" s="57" t="n">
        <v>297</v>
      </c>
      <c r="B301" s="59" t="inlineStr">
        <is>
          <t>input/運用チーム/ITB-U-002_運用ツール.xlsx</t>
        </is>
      </c>
      <c r="C301" s="59" t="inlineStr">
        <is>
          <t>ITB-003_メンテナンス</t>
        </is>
      </c>
      <c r="D301" s="57" t="inlineStr">
        <is>
          <t>運用</t>
        </is>
      </c>
      <c r="E301" s="57" t="inlineStr">
        <is>
          <t>ITB-003_メンテナンス-004</t>
        </is>
      </c>
      <c r="F301" s="109" t="n">
        <v>46107</v>
      </c>
      <c r="G301" s="57" t="inlineStr"/>
      <c r="H301" s="57">
        <f>IF(G301&lt;&gt;"","完了",IF(F301="","－",IF(F301&lt;=$L$2,"遅延","予定")))</f>
        <v/>
      </c>
      <c r="I301" s="109" t="n">
        <v>46108</v>
      </c>
      <c r="J301" s="57" t="inlineStr"/>
      <c r="K301" s="57">
        <f>IF(J301&lt;&gt;"","完了",IF(I301="","－",IF(I301&lt;=$L$2,"遅延","予定")))</f>
        <v/>
      </c>
      <c r="L301" s="57">
        <f>IF(AND(H301="完了",K301="完了"),"完了",IF(OR(H301="遅延",K301="遅延"),"遅延","進行中"))</f>
        <v/>
      </c>
    </row>
    <row r="302">
      <c r="A302" s="57" t="n">
        <v>298</v>
      </c>
      <c r="B302" s="59" t="inlineStr">
        <is>
          <t>input/運用チーム/ITB-U-002_運用ツール.xlsx</t>
        </is>
      </c>
      <c r="C302" s="59" t="inlineStr">
        <is>
          <t>ITB-003_メンテナンス</t>
        </is>
      </c>
      <c r="D302" s="57" t="inlineStr">
        <is>
          <t>運用</t>
        </is>
      </c>
      <c r="E302" s="57" t="inlineStr">
        <is>
          <t>ITB-003_メンテナンス-005</t>
        </is>
      </c>
      <c r="F302" s="109" t="n">
        <v>46145</v>
      </c>
      <c r="G302" s="57" t="inlineStr"/>
      <c r="H302" s="57">
        <f>IF(G302&lt;&gt;"","完了",IF(F302="","－",IF(F302&lt;=$L$2,"遅延","予定")))</f>
        <v/>
      </c>
      <c r="I302" s="109" t="n">
        <v>46150</v>
      </c>
      <c r="J302" s="57" t="inlineStr"/>
      <c r="K302" s="57">
        <f>IF(J302&lt;&gt;"","完了",IF(I302="","－",IF(I302&lt;=$L$2,"遅延","予定")))</f>
        <v/>
      </c>
      <c r="L302" s="57">
        <f>IF(AND(H302="完了",K302="完了"),"完了",IF(OR(H302="遅延",K302="遅延"),"遅延","進行中"))</f>
        <v/>
      </c>
    </row>
    <row r="303">
      <c r="A303" s="57" t="n">
        <v>299</v>
      </c>
      <c r="B303" s="59" t="inlineStr">
        <is>
          <t>input/運用チーム/ITB-U-002_運用ツール.xlsx</t>
        </is>
      </c>
      <c r="C303" s="59" t="inlineStr">
        <is>
          <t>ITB-003_メンテナンス</t>
        </is>
      </c>
      <c r="D303" s="57" t="inlineStr">
        <is>
          <t>運用</t>
        </is>
      </c>
      <c r="E303" s="57" t="inlineStr">
        <is>
          <t>ITB-003_メンテナンス-006</t>
        </is>
      </c>
      <c r="F303" s="109" t="n">
        <v>46173</v>
      </c>
      <c r="G303" s="57" t="inlineStr"/>
      <c r="H303" s="57">
        <f>IF(G303&lt;&gt;"","完了",IF(F303="","－",IF(F303&lt;=$L$2,"遅延","予定")))</f>
        <v/>
      </c>
      <c r="I303" s="109" t="n">
        <v>46176</v>
      </c>
      <c r="J303" s="57" t="inlineStr"/>
      <c r="K303" s="57">
        <f>IF(J303&lt;&gt;"","完了",IF(I303="","－",IF(I303&lt;=$L$2,"遅延","予定")))</f>
        <v/>
      </c>
      <c r="L303" s="57">
        <f>IF(AND(H303="完了",K303="完了"),"完了",IF(OR(H303="遅延",K303="遅延"),"遅延","進行中"))</f>
        <v/>
      </c>
    </row>
    <row r="304">
      <c r="A304" s="57" t="n">
        <v>300</v>
      </c>
      <c r="B304" s="59" t="inlineStr">
        <is>
          <t>input/基盤チーム/ITB-I-001_認証基盤.xlsx</t>
        </is>
      </c>
      <c r="C304" s="59" t="inlineStr">
        <is>
          <t>ITB-001_SSO</t>
        </is>
      </c>
      <c r="D304" s="57" t="inlineStr">
        <is>
          <t>基盤</t>
        </is>
      </c>
      <c r="E304" s="57" t="inlineStr">
        <is>
          <t>ITB-001_SSO-001</t>
        </is>
      </c>
      <c r="F304" s="109" t="n">
        <v>46009</v>
      </c>
      <c r="G304" s="109" t="n">
        <v>46007</v>
      </c>
      <c r="H304" s="57">
        <f>IF(G304&lt;&gt;"","完了",IF(F304="","－",IF(F304&lt;=$L$2,"遅延","予定")))</f>
        <v/>
      </c>
      <c r="I304" s="109" t="n">
        <v>46014</v>
      </c>
      <c r="J304" s="109" t="n">
        <v>46015</v>
      </c>
      <c r="K304" s="57">
        <f>IF(J304&lt;&gt;"","完了",IF(I304="","－",IF(I304&lt;=$L$2,"遅延","予定")))</f>
        <v/>
      </c>
      <c r="L304" s="57">
        <f>IF(AND(H304="完了",K304="完了"),"完了",IF(OR(H304="遅延",K304="遅延"),"遅延","進行中"))</f>
        <v/>
      </c>
    </row>
    <row r="305">
      <c r="A305" s="57" t="n">
        <v>301</v>
      </c>
      <c r="B305" s="59" t="inlineStr">
        <is>
          <t>input/基盤チーム/ITB-I-001_認証基盤.xlsx</t>
        </is>
      </c>
      <c r="C305" s="59" t="inlineStr">
        <is>
          <t>ITB-001_SSO</t>
        </is>
      </c>
      <c r="D305" s="57" t="inlineStr">
        <is>
          <t>基盤</t>
        </is>
      </c>
      <c r="E305" s="57" t="inlineStr">
        <is>
          <t>ITB-001_SSO-002</t>
        </is>
      </c>
      <c r="F305" s="109" t="n">
        <v>46024</v>
      </c>
      <c r="G305" s="109" t="n">
        <v>46027</v>
      </c>
      <c r="H305" s="57">
        <f>IF(G305&lt;&gt;"","完了",IF(F305="","－",IF(F305&lt;=$L$2,"遅延","予定")))</f>
        <v/>
      </c>
      <c r="I305" s="109" t="n">
        <v>46026</v>
      </c>
      <c r="J305" s="109" t="n">
        <v>46025</v>
      </c>
      <c r="K305" s="57">
        <f>IF(J305&lt;&gt;"","完了",IF(I305="","－",IF(I305&lt;=$L$2,"遅延","予定")))</f>
        <v/>
      </c>
      <c r="L305" s="57">
        <f>IF(AND(H305="完了",K305="完了"),"完了",IF(OR(H305="遅延",K305="遅延"),"遅延","進行中"))</f>
        <v/>
      </c>
    </row>
    <row r="306">
      <c r="A306" s="57" t="n">
        <v>302</v>
      </c>
      <c r="B306" s="59" t="inlineStr">
        <is>
          <t>input/基盤チーム/ITB-I-001_認証基盤.xlsx</t>
        </is>
      </c>
      <c r="C306" s="59" t="inlineStr">
        <is>
          <t>ITB-001_SSO</t>
        </is>
      </c>
      <c r="D306" s="57" t="inlineStr">
        <is>
          <t>基盤</t>
        </is>
      </c>
      <c r="E306" s="57" t="inlineStr">
        <is>
          <t>ITB-001_SSO-003</t>
        </is>
      </c>
      <c r="F306" s="109" t="n">
        <v>46033</v>
      </c>
      <c r="G306" s="109" t="n">
        <v>46034</v>
      </c>
      <c r="H306" s="57">
        <f>IF(G306&lt;&gt;"","完了",IF(F306="","－",IF(F306&lt;=$L$2,"遅延","予定")))</f>
        <v/>
      </c>
      <c r="I306" s="109" t="n">
        <v>46037</v>
      </c>
      <c r="J306" s="57" t="inlineStr"/>
      <c r="K306" s="57">
        <f>IF(J306&lt;&gt;"","完了",IF(I306="","－",IF(I306&lt;=$L$2,"遅延","予定")))</f>
        <v/>
      </c>
      <c r="L306" s="57">
        <f>IF(AND(H306="完了",K306="完了"),"完了",IF(OR(H306="遅延",K306="遅延"),"遅延","進行中"))</f>
        <v/>
      </c>
    </row>
    <row r="307">
      <c r="A307" s="57" t="n">
        <v>303</v>
      </c>
      <c r="B307" s="59" t="inlineStr">
        <is>
          <t>input/基盤チーム/ITB-I-001_認証基盤.xlsx</t>
        </is>
      </c>
      <c r="C307" s="59" t="inlineStr">
        <is>
          <t>ITB-001_SSO</t>
        </is>
      </c>
      <c r="D307" s="57" t="inlineStr">
        <is>
          <t>基盤</t>
        </is>
      </c>
      <c r="E307" s="57" t="inlineStr">
        <is>
          <t>ITB-001_SSO-004</t>
        </is>
      </c>
      <c r="F307" s="109" t="n">
        <v>46052</v>
      </c>
      <c r="G307" s="109" t="n">
        <v>46051</v>
      </c>
      <c r="H307" s="57">
        <f>IF(G307&lt;&gt;"","完了",IF(F307="","－",IF(F307&lt;=$L$2,"遅延","予定")))</f>
        <v/>
      </c>
      <c r="I307" s="109" t="n">
        <v>46053</v>
      </c>
      <c r="J307" s="109" t="n">
        <v>46054</v>
      </c>
      <c r="K307" s="57">
        <f>IF(J307&lt;&gt;"","完了",IF(I307="","－",IF(I307&lt;=$L$2,"遅延","予定")))</f>
        <v/>
      </c>
      <c r="L307" s="57">
        <f>IF(AND(H307="完了",K307="完了"),"完了",IF(OR(H307="遅延",K307="遅延"),"遅延","進行中"))</f>
        <v/>
      </c>
    </row>
    <row r="308">
      <c r="A308" s="57" t="n">
        <v>304</v>
      </c>
      <c r="B308" s="59" t="inlineStr">
        <is>
          <t>input/基盤チーム/ITB-I-001_認証基盤.xlsx</t>
        </is>
      </c>
      <c r="C308" s="59" t="inlineStr">
        <is>
          <t>ITB-001_SSO</t>
        </is>
      </c>
      <c r="D308" s="57" t="inlineStr">
        <is>
          <t>基盤</t>
        </is>
      </c>
      <c r="E308" s="57" t="inlineStr">
        <is>
          <t>ITB-001_SSO-005</t>
        </is>
      </c>
      <c r="F308" s="109" t="n">
        <v>46070</v>
      </c>
      <c r="G308" s="109" t="n">
        <v>46069</v>
      </c>
      <c r="H308" s="57">
        <f>IF(G308&lt;&gt;"","完了",IF(F308="","－",IF(F308&lt;=$L$2,"遅延","予定")))</f>
        <v/>
      </c>
      <c r="I308" s="109" t="n">
        <v>46071</v>
      </c>
      <c r="J308" s="57" t="inlineStr"/>
      <c r="K308" s="57">
        <f>IF(J308&lt;&gt;"","完了",IF(I308="","－",IF(I308&lt;=$L$2,"遅延","予定")))</f>
        <v/>
      </c>
      <c r="L308" s="57">
        <f>IF(AND(H308="完了",K308="完了"),"完了",IF(OR(H308="遅延",K308="遅延"),"遅延","進行中"))</f>
        <v/>
      </c>
    </row>
    <row r="309">
      <c r="A309" s="57" t="n">
        <v>305</v>
      </c>
      <c r="B309" s="59" t="inlineStr">
        <is>
          <t>input/基盤チーム/ITB-I-001_認証基盤.xlsx</t>
        </is>
      </c>
      <c r="C309" s="59" t="inlineStr">
        <is>
          <t>ITB-001_SSO</t>
        </is>
      </c>
      <c r="D309" s="57" t="inlineStr">
        <is>
          <t>基盤</t>
        </is>
      </c>
      <c r="E309" s="57" t="inlineStr">
        <is>
          <t>ITB-001_SSO-006</t>
        </is>
      </c>
      <c r="F309" s="109" t="n">
        <v>46081</v>
      </c>
      <c r="G309" s="109" t="n">
        <v>46080</v>
      </c>
      <c r="H309" s="57">
        <f>IF(G309&lt;&gt;"","完了",IF(F309="","－",IF(F309&lt;=$L$2,"遅延","予定")))</f>
        <v/>
      </c>
      <c r="I309" s="109" t="n">
        <v>46083</v>
      </c>
      <c r="J309" s="109" t="n">
        <v>46085</v>
      </c>
      <c r="K309" s="57">
        <f>IF(J309&lt;&gt;"","完了",IF(I309="","－",IF(I309&lt;=$L$2,"遅延","予定")))</f>
        <v/>
      </c>
      <c r="L309" s="57">
        <f>IF(AND(H309="完了",K309="完了"),"完了",IF(OR(H309="遅延",K309="遅延"),"遅延","進行中"))</f>
        <v/>
      </c>
    </row>
    <row r="310">
      <c r="A310" s="57" t="n">
        <v>306</v>
      </c>
      <c r="B310" s="59" t="inlineStr">
        <is>
          <t>input/基盤チーム/ITB-I-001_認証基盤.xlsx</t>
        </is>
      </c>
      <c r="C310" s="59" t="inlineStr">
        <is>
          <t>ITB-001_SSO</t>
        </is>
      </c>
      <c r="D310" s="57" t="inlineStr">
        <is>
          <t>基盤</t>
        </is>
      </c>
      <c r="E310" s="57" t="inlineStr">
        <is>
          <t>ITB-001_SSO-007</t>
        </is>
      </c>
      <c r="F310" s="109" t="n">
        <v>46093</v>
      </c>
      <c r="G310" s="57" t="inlineStr"/>
      <c r="H310" s="57">
        <f>IF(G310&lt;&gt;"","完了",IF(F310="","－",IF(F310&lt;=$L$2,"遅延","予定")))</f>
        <v/>
      </c>
      <c r="I310" s="109" t="n">
        <v>46095</v>
      </c>
      <c r="J310" s="57" t="inlineStr"/>
      <c r="K310" s="57">
        <f>IF(J310&lt;&gt;"","完了",IF(I310="","－",IF(I310&lt;=$L$2,"遅延","予定")))</f>
        <v/>
      </c>
      <c r="L310" s="57">
        <f>IF(AND(H310="完了",K310="完了"),"完了",IF(OR(H310="遅延",K310="遅延"),"遅延","進行中"))</f>
        <v/>
      </c>
    </row>
    <row r="311">
      <c r="A311" s="57" t="n">
        <v>307</v>
      </c>
      <c r="B311" s="59" t="inlineStr">
        <is>
          <t>input/基盤チーム/ITB-I-001_認証基盤.xlsx</t>
        </is>
      </c>
      <c r="C311" s="59" t="inlineStr">
        <is>
          <t>ITB-001_SSO</t>
        </is>
      </c>
      <c r="D311" s="57" t="inlineStr">
        <is>
          <t>基盤</t>
        </is>
      </c>
      <c r="E311" s="57" t="inlineStr">
        <is>
          <t>ITB-001_SSO-008</t>
        </is>
      </c>
      <c r="F311" s="109" t="n">
        <v>46110</v>
      </c>
      <c r="G311" s="57" t="inlineStr"/>
      <c r="H311" s="57">
        <f>IF(G311&lt;&gt;"","完了",IF(F311="","－",IF(F311&lt;=$L$2,"遅延","予定")))</f>
        <v/>
      </c>
      <c r="I311" s="109" t="n">
        <v>46114</v>
      </c>
      <c r="J311" s="57" t="inlineStr"/>
      <c r="K311" s="57">
        <f>IF(J311&lt;&gt;"","完了",IF(I311="","－",IF(I311&lt;=$L$2,"遅延","予定")))</f>
        <v/>
      </c>
      <c r="L311" s="57">
        <f>IF(AND(H311="完了",K311="完了"),"完了",IF(OR(H311="遅延",K311="遅延"),"遅延","進行中"))</f>
        <v/>
      </c>
    </row>
    <row r="312">
      <c r="A312" s="57" t="n">
        <v>308</v>
      </c>
      <c r="B312" s="59" t="inlineStr">
        <is>
          <t>input/基盤チーム/ITB-I-001_認証基盤.xlsx</t>
        </is>
      </c>
      <c r="C312" s="59" t="inlineStr">
        <is>
          <t>ITB-001_SSO</t>
        </is>
      </c>
      <c r="D312" s="57" t="inlineStr">
        <is>
          <t>基盤</t>
        </is>
      </c>
      <c r="E312" s="57" t="inlineStr">
        <is>
          <t>ITB-001_SSO-009</t>
        </is>
      </c>
      <c r="F312" s="109" t="n">
        <v>46132</v>
      </c>
      <c r="G312" s="57" t="inlineStr"/>
      <c r="H312" s="57">
        <f>IF(G312&lt;&gt;"","完了",IF(F312="","－",IF(F312&lt;=$L$2,"遅延","予定")))</f>
        <v/>
      </c>
      <c r="I312" s="109" t="n">
        <v>46135</v>
      </c>
      <c r="J312" s="57" t="inlineStr"/>
      <c r="K312" s="57">
        <f>IF(J312&lt;&gt;"","完了",IF(I312="","－",IF(I312&lt;=$L$2,"遅延","予定")))</f>
        <v/>
      </c>
      <c r="L312" s="57">
        <f>IF(AND(H312="完了",K312="完了"),"完了",IF(OR(H312="遅延",K312="遅延"),"遅延","進行中"))</f>
        <v/>
      </c>
    </row>
    <row r="313">
      <c r="A313" s="57" t="n">
        <v>309</v>
      </c>
      <c r="B313" s="59" t="inlineStr">
        <is>
          <t>input/基盤チーム/ITB-I-001_認証基盤.xlsx</t>
        </is>
      </c>
      <c r="C313" s="59" t="inlineStr">
        <is>
          <t>ITB-001_SSO</t>
        </is>
      </c>
      <c r="D313" s="57" t="inlineStr">
        <is>
          <t>基盤</t>
        </is>
      </c>
      <c r="E313" s="57" t="inlineStr">
        <is>
          <t>ITB-001_SSO-010</t>
        </is>
      </c>
      <c r="F313" s="109" t="n">
        <v>46138</v>
      </c>
      <c r="G313" s="57" t="inlineStr"/>
      <c r="H313" s="57">
        <f>IF(G313&lt;&gt;"","完了",IF(F313="","－",IF(F313&lt;=$L$2,"遅延","予定")))</f>
        <v/>
      </c>
      <c r="I313" s="109" t="n">
        <v>46143</v>
      </c>
      <c r="J313" s="57" t="inlineStr"/>
      <c r="K313" s="57">
        <f>IF(J313&lt;&gt;"","完了",IF(I313="","－",IF(I313&lt;=$L$2,"遅延","予定")))</f>
        <v/>
      </c>
      <c r="L313" s="57">
        <f>IF(AND(H313="完了",K313="完了"),"完了",IF(OR(H313="遅延",K313="遅延"),"遅延","進行中"))</f>
        <v/>
      </c>
    </row>
    <row r="314">
      <c r="A314" s="57" t="n">
        <v>310</v>
      </c>
      <c r="B314" s="59" t="inlineStr">
        <is>
          <t>input/基盤チーム/ITB-I-001_認証基盤.xlsx</t>
        </is>
      </c>
      <c r="C314" s="59" t="inlineStr">
        <is>
          <t>ITB-001_SSO</t>
        </is>
      </c>
      <c r="D314" s="57" t="inlineStr">
        <is>
          <t>基盤</t>
        </is>
      </c>
      <c r="E314" s="57" t="inlineStr">
        <is>
          <t>ITB-001_SSO-011</t>
        </is>
      </c>
      <c r="F314" s="109" t="n">
        <v>46162</v>
      </c>
      <c r="G314" s="57" t="inlineStr"/>
      <c r="H314" s="57">
        <f>IF(G314&lt;&gt;"","完了",IF(F314="","－",IF(F314&lt;=$L$2,"遅延","予定")))</f>
        <v/>
      </c>
      <c r="I314" s="109" t="n">
        <v>46166</v>
      </c>
      <c r="J314" s="57" t="inlineStr"/>
      <c r="K314" s="57">
        <f>IF(J314&lt;&gt;"","完了",IF(I314="","－",IF(I314&lt;=$L$2,"遅延","予定")))</f>
        <v/>
      </c>
      <c r="L314" s="57">
        <f>IF(AND(H314="完了",K314="完了"),"完了",IF(OR(H314="遅延",K314="遅延"),"遅延","進行中"))</f>
        <v/>
      </c>
    </row>
    <row r="315">
      <c r="A315" s="57" t="n">
        <v>311</v>
      </c>
      <c r="B315" s="59" t="inlineStr">
        <is>
          <t>input/基盤チーム/ITB-I-001_認証基盤.xlsx</t>
        </is>
      </c>
      <c r="C315" s="59" t="inlineStr">
        <is>
          <t>ITB-001_SSO</t>
        </is>
      </c>
      <c r="D315" s="57" t="inlineStr">
        <is>
          <t>基盤</t>
        </is>
      </c>
      <c r="E315" s="57" t="inlineStr">
        <is>
          <t>ITB-001_SSO-012</t>
        </is>
      </c>
      <c r="F315" s="109" t="n">
        <v>46176</v>
      </c>
      <c r="G315" s="57" t="inlineStr"/>
      <c r="H315" s="57">
        <f>IF(G315&lt;&gt;"","完了",IF(F315="","－",IF(F315&lt;=$L$2,"遅延","予定")))</f>
        <v/>
      </c>
      <c r="I315" s="109" t="n">
        <v>46180</v>
      </c>
      <c r="J315" s="57" t="inlineStr"/>
      <c r="K315" s="57">
        <f>IF(J315&lt;&gt;"","完了",IF(I315="","－",IF(I315&lt;=$L$2,"遅延","予定")))</f>
        <v/>
      </c>
      <c r="L315" s="57">
        <f>IF(AND(H315="完了",K315="完了"),"完了",IF(OR(H315="遅延",K315="遅延"),"遅延","進行中"))</f>
        <v/>
      </c>
    </row>
    <row r="316">
      <c r="A316" s="57" t="n">
        <v>312</v>
      </c>
      <c r="B316" s="59" t="inlineStr">
        <is>
          <t>input/基盤チーム/ITB-I-001_認証基盤.xlsx</t>
        </is>
      </c>
      <c r="C316" s="59" t="inlineStr">
        <is>
          <t>ITB-002_トークン管理</t>
        </is>
      </c>
      <c r="D316" s="57" t="inlineStr">
        <is>
          <t>基盤</t>
        </is>
      </c>
      <c r="E316" s="57" t="inlineStr">
        <is>
          <t>ITB-002_トークン管理-001</t>
        </is>
      </c>
      <c r="F316" s="109" t="n">
        <v>46005</v>
      </c>
      <c r="G316" s="109" t="n">
        <v>46003</v>
      </c>
      <c r="H316" s="57">
        <f>IF(G316&lt;&gt;"","完了",IF(F316="","－",IF(F316&lt;=$L$2,"遅延","予定")))</f>
        <v/>
      </c>
      <c r="I316" s="109" t="n">
        <v>46006</v>
      </c>
      <c r="J316" s="109" t="n">
        <v>46008</v>
      </c>
      <c r="K316" s="57">
        <f>IF(J316&lt;&gt;"","完了",IF(I316="","－",IF(I316&lt;=$L$2,"遅延","予定")))</f>
        <v/>
      </c>
      <c r="L316" s="57">
        <f>IF(AND(H316="完了",K316="完了"),"完了",IF(OR(H316="遅延",K316="遅延"),"遅延","進行中"))</f>
        <v/>
      </c>
    </row>
    <row r="317">
      <c r="A317" s="57" t="n">
        <v>313</v>
      </c>
      <c r="B317" s="59" t="inlineStr">
        <is>
          <t>input/基盤チーム/ITB-I-001_認証基盤.xlsx</t>
        </is>
      </c>
      <c r="C317" s="59" t="inlineStr">
        <is>
          <t>ITB-002_トークン管理</t>
        </is>
      </c>
      <c r="D317" s="57" t="inlineStr">
        <is>
          <t>基盤</t>
        </is>
      </c>
      <c r="E317" s="57" t="inlineStr">
        <is>
          <t>ITB-002_トークン管理-002</t>
        </is>
      </c>
      <c r="F317" s="109" t="n">
        <v>46025</v>
      </c>
      <c r="G317" s="109" t="n">
        <v>46025</v>
      </c>
      <c r="H317" s="57">
        <f>IF(G317&lt;&gt;"","完了",IF(F317="","－",IF(F317&lt;=$L$2,"遅延","予定")))</f>
        <v/>
      </c>
      <c r="I317" s="109" t="n">
        <v>46026</v>
      </c>
      <c r="J317" s="109" t="n">
        <v>46028</v>
      </c>
      <c r="K317" s="57">
        <f>IF(J317&lt;&gt;"","完了",IF(I317="","－",IF(I317&lt;=$L$2,"遅延","予定")))</f>
        <v/>
      </c>
      <c r="L317" s="57">
        <f>IF(AND(H317="完了",K317="完了"),"完了",IF(OR(H317="遅延",K317="遅延"),"遅延","進行中"))</f>
        <v/>
      </c>
    </row>
    <row r="318">
      <c r="A318" s="57" t="n">
        <v>314</v>
      </c>
      <c r="B318" s="59" t="inlineStr">
        <is>
          <t>input/基盤チーム/ITB-I-001_認証基盤.xlsx</t>
        </is>
      </c>
      <c r="C318" s="59" t="inlineStr">
        <is>
          <t>ITB-002_トークン管理</t>
        </is>
      </c>
      <c r="D318" s="57" t="inlineStr">
        <is>
          <t>基盤</t>
        </is>
      </c>
      <c r="E318" s="57" t="inlineStr">
        <is>
          <t>ITB-002_トークン管理-003</t>
        </is>
      </c>
      <c r="F318" s="109" t="n">
        <v>46034</v>
      </c>
      <c r="G318" s="109" t="n">
        <v>46036</v>
      </c>
      <c r="H318" s="57">
        <f>IF(G318&lt;&gt;"","完了",IF(F318="","－",IF(F318&lt;=$L$2,"遅延","予定")))</f>
        <v/>
      </c>
      <c r="I318" s="109" t="n">
        <v>46038</v>
      </c>
      <c r="J318" s="109" t="n">
        <v>46037</v>
      </c>
      <c r="K318" s="57">
        <f>IF(J318&lt;&gt;"","完了",IF(I318="","－",IF(I318&lt;=$L$2,"遅延","予定")))</f>
        <v/>
      </c>
      <c r="L318" s="57">
        <f>IF(AND(H318="完了",K318="完了"),"完了",IF(OR(H318="遅延",K318="遅延"),"遅延","進行中"))</f>
        <v/>
      </c>
    </row>
    <row r="319">
      <c r="A319" s="57" t="n">
        <v>315</v>
      </c>
      <c r="B319" s="59" t="inlineStr">
        <is>
          <t>input/基盤チーム/ITB-I-001_認証基盤.xlsx</t>
        </is>
      </c>
      <c r="C319" s="59" t="inlineStr">
        <is>
          <t>ITB-002_トークン管理</t>
        </is>
      </c>
      <c r="D319" s="57" t="inlineStr">
        <is>
          <t>基盤</t>
        </is>
      </c>
      <c r="E319" s="57" t="inlineStr">
        <is>
          <t>ITB-002_トークン管理-004</t>
        </is>
      </c>
      <c r="F319" s="109" t="n">
        <v>46054</v>
      </c>
      <c r="G319" s="109" t="n">
        <v>46056</v>
      </c>
      <c r="H319" s="57">
        <f>IF(G319&lt;&gt;"","完了",IF(F319="","－",IF(F319&lt;=$L$2,"遅延","予定")))</f>
        <v/>
      </c>
      <c r="I319" s="109" t="n">
        <v>46057</v>
      </c>
      <c r="J319" s="109" t="n">
        <v>46057</v>
      </c>
      <c r="K319" s="57">
        <f>IF(J319&lt;&gt;"","完了",IF(I319="","－",IF(I319&lt;=$L$2,"遅延","予定")))</f>
        <v/>
      </c>
      <c r="L319" s="57">
        <f>IF(AND(H319="完了",K319="完了"),"完了",IF(OR(H319="遅延",K319="遅延"),"遅延","進行中"))</f>
        <v/>
      </c>
    </row>
    <row r="320">
      <c r="A320" s="57" t="n">
        <v>316</v>
      </c>
      <c r="B320" s="59" t="inlineStr">
        <is>
          <t>input/基盤チーム/ITB-I-001_認証基盤.xlsx</t>
        </is>
      </c>
      <c r="C320" s="59" t="inlineStr">
        <is>
          <t>ITB-002_トークン管理</t>
        </is>
      </c>
      <c r="D320" s="57" t="inlineStr">
        <is>
          <t>基盤</t>
        </is>
      </c>
      <c r="E320" s="57" t="inlineStr">
        <is>
          <t>ITB-002_トークン管理-005</t>
        </is>
      </c>
      <c r="F320" s="109" t="n">
        <v>46071</v>
      </c>
      <c r="G320" s="109" t="n">
        <v>46072</v>
      </c>
      <c r="H320" s="57">
        <f>IF(G320&lt;&gt;"","完了",IF(F320="","－",IF(F320&lt;=$L$2,"遅延","予定")))</f>
        <v/>
      </c>
      <c r="I320" s="109" t="n">
        <v>46074</v>
      </c>
      <c r="J320" s="109" t="n">
        <v>46073</v>
      </c>
      <c r="K320" s="57">
        <f>IF(J320&lt;&gt;"","完了",IF(I320="","－",IF(I320&lt;=$L$2,"遅延","予定")))</f>
        <v/>
      </c>
      <c r="L320" s="57">
        <f>IF(AND(H320="完了",K320="完了"),"完了",IF(OR(H320="遅延",K320="遅延"),"遅延","進行中"))</f>
        <v/>
      </c>
    </row>
    <row r="321">
      <c r="A321" s="57" t="n">
        <v>317</v>
      </c>
      <c r="B321" s="59" t="inlineStr">
        <is>
          <t>input/基盤チーム/ITB-I-001_認証基盤.xlsx</t>
        </is>
      </c>
      <c r="C321" s="59" t="inlineStr">
        <is>
          <t>ITB-002_トークン管理</t>
        </is>
      </c>
      <c r="D321" s="57" t="inlineStr">
        <is>
          <t>基盤</t>
        </is>
      </c>
      <c r="E321" s="57" t="inlineStr">
        <is>
          <t>ITB-002_トークン管理-006</t>
        </is>
      </c>
      <c r="F321" s="109" t="n">
        <v>46079</v>
      </c>
      <c r="G321" s="109" t="n">
        <v>46080</v>
      </c>
      <c r="H321" s="57">
        <f>IF(G321&lt;&gt;"","完了",IF(F321="","－",IF(F321&lt;=$L$2,"遅延","予定")))</f>
        <v/>
      </c>
      <c r="I321" s="109" t="n">
        <v>46083</v>
      </c>
      <c r="J321" s="109" t="n">
        <v>46084</v>
      </c>
      <c r="K321" s="57">
        <f>IF(J321&lt;&gt;"","完了",IF(I321="","－",IF(I321&lt;=$L$2,"遅延","予定")))</f>
        <v/>
      </c>
      <c r="L321" s="57">
        <f>IF(AND(H321="完了",K321="完了"),"完了",IF(OR(H321="遅延",K321="遅延"),"遅延","進行中"))</f>
        <v/>
      </c>
    </row>
    <row r="322">
      <c r="A322" s="57" t="n">
        <v>318</v>
      </c>
      <c r="B322" s="59" t="inlineStr">
        <is>
          <t>input/基盤チーム/ITB-I-001_認証基盤.xlsx</t>
        </is>
      </c>
      <c r="C322" s="59" t="inlineStr">
        <is>
          <t>ITB-002_トークン管理</t>
        </is>
      </c>
      <c r="D322" s="57" t="inlineStr">
        <is>
          <t>基盤</t>
        </is>
      </c>
      <c r="E322" s="57" t="inlineStr">
        <is>
          <t>ITB-002_トークン管理-007</t>
        </is>
      </c>
      <c r="F322" s="109" t="n">
        <v>46093</v>
      </c>
      <c r="G322" s="57" t="inlineStr"/>
      <c r="H322" s="57">
        <f>IF(G322&lt;&gt;"","完了",IF(F322="","－",IF(F322&lt;=$L$2,"遅延","予定")))</f>
        <v/>
      </c>
      <c r="I322" s="109" t="n">
        <v>46096</v>
      </c>
      <c r="J322" s="57" t="inlineStr"/>
      <c r="K322" s="57">
        <f>IF(J322&lt;&gt;"","完了",IF(I322="","－",IF(I322&lt;=$L$2,"遅延","予定")))</f>
        <v/>
      </c>
      <c r="L322" s="57">
        <f>IF(AND(H322="完了",K322="完了"),"完了",IF(OR(H322="遅延",K322="遅延"),"遅延","進行中"))</f>
        <v/>
      </c>
    </row>
    <row r="323">
      <c r="A323" s="57" t="n">
        <v>319</v>
      </c>
      <c r="B323" s="59" t="inlineStr">
        <is>
          <t>input/基盤チーム/ITB-I-001_認証基盤.xlsx</t>
        </is>
      </c>
      <c r="C323" s="59" t="inlineStr">
        <is>
          <t>ITB-002_トークン管理</t>
        </is>
      </c>
      <c r="D323" s="57" t="inlineStr">
        <is>
          <t>基盤</t>
        </is>
      </c>
      <c r="E323" s="57" t="inlineStr">
        <is>
          <t>ITB-002_トークン管理-008</t>
        </is>
      </c>
      <c r="F323" s="109" t="n">
        <v>46107</v>
      </c>
      <c r="G323" s="57" t="inlineStr"/>
      <c r="H323" s="57">
        <f>IF(G323&lt;&gt;"","完了",IF(F323="","－",IF(F323&lt;=$L$2,"遅延","予定")))</f>
        <v/>
      </c>
      <c r="I323" s="109" t="n">
        <v>46111</v>
      </c>
      <c r="J323" s="57" t="inlineStr"/>
      <c r="K323" s="57">
        <f>IF(J323&lt;&gt;"","完了",IF(I323="","－",IF(I323&lt;=$L$2,"遅延","予定")))</f>
        <v/>
      </c>
      <c r="L323" s="57">
        <f>IF(AND(H323="完了",K323="完了"),"完了",IF(OR(H323="遅延",K323="遅延"),"遅延","進行中"))</f>
        <v/>
      </c>
    </row>
    <row r="324">
      <c r="A324" s="57" t="n">
        <v>320</v>
      </c>
      <c r="B324" s="59" t="inlineStr">
        <is>
          <t>input/基盤チーム/ITB-I-001_認証基盤.xlsx</t>
        </is>
      </c>
      <c r="C324" s="59" t="inlineStr">
        <is>
          <t>ITB-002_トークン管理</t>
        </is>
      </c>
      <c r="D324" s="57" t="inlineStr">
        <is>
          <t>基盤</t>
        </is>
      </c>
      <c r="E324" s="57" t="inlineStr">
        <is>
          <t>ITB-002_トークン管理-009</t>
        </is>
      </c>
      <c r="F324" s="109" t="n">
        <v>46124</v>
      </c>
      <c r="G324" s="57" t="inlineStr"/>
      <c r="H324" s="57">
        <f>IF(G324&lt;&gt;"","完了",IF(F324="","－",IF(F324&lt;=$L$2,"遅延","予定")))</f>
        <v/>
      </c>
      <c r="I324" s="109" t="n">
        <v>46129</v>
      </c>
      <c r="J324" s="57" t="inlineStr"/>
      <c r="K324" s="57">
        <f>IF(J324&lt;&gt;"","完了",IF(I324="","－",IF(I324&lt;=$L$2,"遅延","予定")))</f>
        <v/>
      </c>
      <c r="L324" s="57">
        <f>IF(AND(H324="完了",K324="完了"),"完了",IF(OR(H324="遅延",K324="遅延"),"遅延","進行中"))</f>
        <v/>
      </c>
    </row>
    <row r="325">
      <c r="A325" s="57" t="n">
        <v>321</v>
      </c>
      <c r="B325" s="59" t="inlineStr">
        <is>
          <t>input/基盤チーム/ITB-I-001_認証基盤.xlsx</t>
        </is>
      </c>
      <c r="C325" s="59" t="inlineStr">
        <is>
          <t>ITB-002_トークン管理</t>
        </is>
      </c>
      <c r="D325" s="57" t="inlineStr">
        <is>
          <t>基盤</t>
        </is>
      </c>
      <c r="E325" s="57" t="inlineStr">
        <is>
          <t>ITB-002_トークン管理-010</t>
        </is>
      </c>
      <c r="F325" s="109" t="n">
        <v>46144</v>
      </c>
      <c r="G325" s="57" t="inlineStr"/>
      <c r="H325" s="57">
        <f>IF(G325&lt;&gt;"","完了",IF(F325="","－",IF(F325&lt;=$L$2,"遅延","予定")))</f>
        <v/>
      </c>
      <c r="I325" s="109" t="n">
        <v>46146</v>
      </c>
      <c r="J325" s="57" t="inlineStr"/>
      <c r="K325" s="57">
        <f>IF(J325&lt;&gt;"","完了",IF(I325="","－",IF(I325&lt;=$L$2,"遅延","予定")))</f>
        <v/>
      </c>
      <c r="L325" s="57">
        <f>IF(AND(H325="完了",K325="完了"),"完了",IF(OR(H325="遅延",K325="遅延"),"遅延","進行中"))</f>
        <v/>
      </c>
    </row>
    <row r="326">
      <c r="A326" s="57" t="n">
        <v>322</v>
      </c>
      <c r="B326" s="59" t="inlineStr">
        <is>
          <t>input/基盤チーム/ITB-I-001_認証基盤.xlsx</t>
        </is>
      </c>
      <c r="C326" s="59" t="inlineStr">
        <is>
          <t>ITB-002_トークン管理</t>
        </is>
      </c>
      <c r="D326" s="57" t="inlineStr">
        <is>
          <t>基盤</t>
        </is>
      </c>
      <c r="E326" s="57" t="inlineStr">
        <is>
          <t>ITB-002_トークン管理-011</t>
        </is>
      </c>
      <c r="F326" s="109" t="n">
        <v>46154</v>
      </c>
      <c r="G326" s="57" t="inlineStr"/>
      <c r="H326" s="57">
        <f>IF(G326&lt;&gt;"","完了",IF(F326="","－",IF(F326&lt;=$L$2,"遅延","予定")))</f>
        <v/>
      </c>
      <c r="I326" s="109" t="n">
        <v>46155</v>
      </c>
      <c r="J326" s="57" t="inlineStr"/>
      <c r="K326" s="57">
        <f>IF(J326&lt;&gt;"","完了",IF(I326="","－",IF(I326&lt;=$L$2,"遅延","予定")))</f>
        <v/>
      </c>
      <c r="L326" s="57">
        <f>IF(AND(H326="完了",K326="完了"),"完了",IF(OR(H326="遅延",K326="遅延"),"遅延","進行中"))</f>
        <v/>
      </c>
    </row>
    <row r="327">
      <c r="A327" s="57" t="n">
        <v>323</v>
      </c>
      <c r="B327" s="59" t="inlineStr">
        <is>
          <t>input/基盤チーム/ITB-I-001_認証基盤.xlsx</t>
        </is>
      </c>
      <c r="C327" s="59" t="inlineStr">
        <is>
          <t>ITB-002_トークン管理</t>
        </is>
      </c>
      <c r="D327" s="57" t="inlineStr">
        <is>
          <t>基盤</t>
        </is>
      </c>
      <c r="E327" s="57" t="inlineStr">
        <is>
          <t>ITB-002_トークン管理-012</t>
        </is>
      </c>
      <c r="F327" s="109" t="n">
        <v>46173</v>
      </c>
      <c r="G327" s="57" t="inlineStr"/>
      <c r="H327" s="57">
        <f>IF(G327&lt;&gt;"","完了",IF(F327="","－",IF(F327&lt;=$L$2,"遅延","予定")))</f>
        <v/>
      </c>
      <c r="I327" s="109" t="n">
        <v>46176</v>
      </c>
      <c r="J327" s="57" t="inlineStr"/>
      <c r="K327" s="57">
        <f>IF(J327&lt;&gt;"","完了",IF(I327="","－",IF(I327&lt;=$L$2,"遅延","予定")))</f>
        <v/>
      </c>
      <c r="L327" s="57">
        <f>IF(AND(H327="完了",K327="完了"),"完了",IF(OR(H327="遅延",K327="遅延"),"遅延","進行中"))</f>
        <v/>
      </c>
    </row>
    <row r="328">
      <c r="A328" s="57" t="n">
        <v>324</v>
      </c>
      <c r="B328" s="59" t="inlineStr">
        <is>
          <t>input/基盤チーム/ITB-I-001_認証基盤.xlsx</t>
        </is>
      </c>
      <c r="C328" s="59" t="inlineStr">
        <is>
          <t>ITB-003_権限制御</t>
        </is>
      </c>
      <c r="D328" s="57" t="inlineStr">
        <is>
          <t>基盤</t>
        </is>
      </c>
      <c r="E328" s="57" t="inlineStr">
        <is>
          <t>ITB-003_権限制御-001</t>
        </is>
      </c>
      <c r="F328" s="109" t="n">
        <v>46003</v>
      </c>
      <c r="G328" s="57" t="inlineStr"/>
      <c r="H328" s="57">
        <f>IF(G328&lt;&gt;"","完了",IF(F328="","－",IF(F328&lt;=$L$2,"遅延","予定")))</f>
        <v/>
      </c>
      <c r="I328" s="109" t="n">
        <v>46005</v>
      </c>
      <c r="J328" s="57" t="inlineStr"/>
      <c r="K328" s="57">
        <f>IF(J328&lt;&gt;"","完了",IF(I328="","－",IF(I328&lt;=$L$2,"遅延","予定")))</f>
        <v/>
      </c>
      <c r="L328" s="57">
        <f>IF(AND(H328="完了",K328="完了"),"完了",IF(OR(H328="遅延",K328="遅延"),"遅延","進行中"))</f>
        <v/>
      </c>
    </row>
    <row r="329">
      <c r="A329" s="57" t="n">
        <v>325</v>
      </c>
      <c r="B329" s="59" t="inlineStr">
        <is>
          <t>input/基盤チーム/ITB-I-001_認証基盤.xlsx</t>
        </is>
      </c>
      <c r="C329" s="59" t="inlineStr">
        <is>
          <t>ITB-003_権限制御</t>
        </is>
      </c>
      <c r="D329" s="57" t="inlineStr">
        <is>
          <t>基盤</t>
        </is>
      </c>
      <c r="E329" s="57" t="inlineStr">
        <is>
          <t>ITB-003_権限制御-002</t>
        </is>
      </c>
      <c r="F329" s="109" t="n">
        <v>46019</v>
      </c>
      <c r="G329" s="109" t="n">
        <v>46021</v>
      </c>
      <c r="H329" s="57">
        <f>IF(G329&lt;&gt;"","完了",IF(F329="","－",IF(F329&lt;=$L$2,"遅延","予定")))</f>
        <v/>
      </c>
      <c r="I329" s="109" t="n">
        <v>46023</v>
      </c>
      <c r="J329" s="57" t="inlineStr"/>
      <c r="K329" s="57">
        <f>IF(J329&lt;&gt;"","完了",IF(I329="","－",IF(I329&lt;=$L$2,"遅延","予定")))</f>
        <v/>
      </c>
      <c r="L329" s="57">
        <f>IF(AND(H329="完了",K329="完了"),"完了",IF(OR(H329="遅延",K329="遅延"),"遅延","進行中"))</f>
        <v/>
      </c>
    </row>
    <row r="330">
      <c r="A330" s="57" t="n">
        <v>326</v>
      </c>
      <c r="B330" s="59" t="inlineStr">
        <is>
          <t>input/基盤チーム/ITB-I-001_認証基盤.xlsx</t>
        </is>
      </c>
      <c r="C330" s="59" t="inlineStr">
        <is>
          <t>ITB-003_権限制御</t>
        </is>
      </c>
      <c r="D330" s="57" t="inlineStr">
        <is>
          <t>基盤</t>
        </is>
      </c>
      <c r="E330" s="57" t="inlineStr">
        <is>
          <t>ITB-003_権限制御-003</t>
        </is>
      </c>
      <c r="F330" s="109" t="n">
        <v>46042</v>
      </c>
      <c r="G330" s="109" t="n">
        <v>46044</v>
      </c>
      <c r="H330" s="57">
        <f>IF(G330&lt;&gt;"","完了",IF(F330="","－",IF(F330&lt;=$L$2,"遅延","予定")))</f>
        <v/>
      </c>
      <c r="I330" s="109" t="n">
        <v>46046</v>
      </c>
      <c r="J330" s="109" t="n">
        <v>46048</v>
      </c>
      <c r="K330" s="57">
        <f>IF(J330&lt;&gt;"","完了",IF(I330="","－",IF(I330&lt;=$L$2,"遅延","予定")))</f>
        <v/>
      </c>
      <c r="L330" s="57">
        <f>IF(AND(H330="完了",K330="完了"),"完了",IF(OR(H330="遅延",K330="遅延"),"遅延","進行中"))</f>
        <v/>
      </c>
    </row>
    <row r="331">
      <c r="A331" s="57" t="n">
        <v>327</v>
      </c>
      <c r="B331" s="59" t="inlineStr">
        <is>
          <t>input/基盤チーム/ITB-I-001_認証基盤.xlsx</t>
        </is>
      </c>
      <c r="C331" s="59" t="inlineStr">
        <is>
          <t>ITB-003_権限制御</t>
        </is>
      </c>
      <c r="D331" s="57" t="inlineStr">
        <is>
          <t>基盤</t>
        </is>
      </c>
      <c r="E331" s="57" t="inlineStr">
        <is>
          <t>ITB-003_権限制御-004</t>
        </is>
      </c>
      <c r="F331" s="109" t="n">
        <v>46053</v>
      </c>
      <c r="G331" s="109" t="n">
        <v>46055</v>
      </c>
      <c r="H331" s="57">
        <f>IF(G331&lt;&gt;"","完了",IF(F331="","－",IF(F331&lt;=$L$2,"遅延","予定")))</f>
        <v/>
      </c>
      <c r="I331" s="109" t="n">
        <v>46058</v>
      </c>
      <c r="J331" s="109" t="n">
        <v>46058</v>
      </c>
      <c r="K331" s="57">
        <f>IF(J331&lt;&gt;"","完了",IF(I331="","－",IF(I331&lt;=$L$2,"遅延","予定")))</f>
        <v/>
      </c>
      <c r="L331" s="57">
        <f>IF(AND(H331="完了",K331="完了"),"完了",IF(OR(H331="遅延",K331="遅延"),"遅延","進行中"))</f>
        <v/>
      </c>
    </row>
    <row r="332">
      <c r="A332" s="57" t="n">
        <v>328</v>
      </c>
      <c r="B332" s="59" t="inlineStr">
        <is>
          <t>input/基盤チーム/ITB-I-001_認証基盤.xlsx</t>
        </is>
      </c>
      <c r="C332" s="59" t="inlineStr">
        <is>
          <t>ITB-003_権限制御</t>
        </is>
      </c>
      <c r="D332" s="57" t="inlineStr">
        <is>
          <t>基盤</t>
        </is>
      </c>
      <c r="E332" s="57" t="inlineStr">
        <is>
          <t>ITB-003_権限制御-005</t>
        </is>
      </c>
      <c r="F332" s="109" t="n">
        <v>46064</v>
      </c>
      <c r="G332" s="109" t="n">
        <v>46062</v>
      </c>
      <c r="H332" s="57">
        <f>IF(G332&lt;&gt;"","完了",IF(F332="","－",IF(F332&lt;=$L$2,"遅延","予定")))</f>
        <v/>
      </c>
      <c r="I332" s="109" t="n">
        <v>46068</v>
      </c>
      <c r="J332" s="57" t="inlineStr"/>
      <c r="K332" s="57">
        <f>IF(J332&lt;&gt;"","完了",IF(I332="","－",IF(I332&lt;=$L$2,"遅延","予定")))</f>
        <v/>
      </c>
      <c r="L332" s="57">
        <f>IF(AND(H332="完了",K332="完了"),"完了",IF(OR(H332="遅延",K332="遅延"),"遅延","進行中"))</f>
        <v/>
      </c>
    </row>
    <row r="333">
      <c r="A333" s="57" t="n">
        <v>329</v>
      </c>
      <c r="B333" s="59" t="inlineStr">
        <is>
          <t>input/基盤チーム/ITB-I-001_認証基盤.xlsx</t>
        </is>
      </c>
      <c r="C333" s="59" t="inlineStr">
        <is>
          <t>ITB-003_権限制御</t>
        </is>
      </c>
      <c r="D333" s="57" t="inlineStr">
        <is>
          <t>基盤</t>
        </is>
      </c>
      <c r="E333" s="57" t="inlineStr">
        <is>
          <t>ITB-003_権限制御-006</t>
        </is>
      </c>
      <c r="F333" s="109" t="n">
        <v>46087</v>
      </c>
      <c r="G333" s="57" t="inlineStr"/>
      <c r="H333" s="57">
        <f>IF(G333&lt;&gt;"","完了",IF(F333="","－",IF(F333&lt;=$L$2,"遅延","予定")))</f>
        <v/>
      </c>
      <c r="I333" s="109" t="n">
        <v>46089</v>
      </c>
      <c r="J333" s="57" t="inlineStr"/>
      <c r="K333" s="57">
        <f>IF(J333&lt;&gt;"","完了",IF(I333="","－",IF(I333&lt;=$L$2,"遅延","予定")))</f>
        <v/>
      </c>
      <c r="L333" s="57">
        <f>IF(AND(H333="完了",K333="完了"),"完了",IF(OR(H333="遅延",K333="遅延"),"遅延","進行中"))</f>
        <v/>
      </c>
    </row>
    <row r="334">
      <c r="A334" s="57" t="n">
        <v>330</v>
      </c>
      <c r="B334" s="59" t="inlineStr">
        <is>
          <t>input/基盤チーム/ITB-I-001_認証基盤.xlsx</t>
        </is>
      </c>
      <c r="C334" s="59" t="inlineStr">
        <is>
          <t>ITB-003_権限制御</t>
        </is>
      </c>
      <c r="D334" s="57" t="inlineStr">
        <is>
          <t>基盤</t>
        </is>
      </c>
      <c r="E334" s="57" t="inlineStr">
        <is>
          <t>ITB-003_権限制御-007</t>
        </is>
      </c>
      <c r="F334" s="109" t="n">
        <v>46093</v>
      </c>
      <c r="G334" s="57" t="inlineStr"/>
      <c r="H334" s="57">
        <f>IF(G334&lt;&gt;"","完了",IF(F334="","－",IF(F334&lt;=$L$2,"遅延","予定")))</f>
        <v/>
      </c>
      <c r="I334" s="109" t="n">
        <v>46097</v>
      </c>
      <c r="J334" s="57" t="inlineStr"/>
      <c r="K334" s="57">
        <f>IF(J334&lt;&gt;"","完了",IF(I334="","－",IF(I334&lt;=$L$2,"遅延","予定")))</f>
        <v/>
      </c>
      <c r="L334" s="57">
        <f>IF(AND(H334="完了",K334="完了"),"完了",IF(OR(H334="遅延",K334="遅延"),"遅延","進行中"))</f>
        <v/>
      </c>
    </row>
    <row r="335">
      <c r="A335" s="57" t="n">
        <v>331</v>
      </c>
      <c r="B335" s="59" t="inlineStr">
        <is>
          <t>input/基盤チーム/ITB-I-001_認証基盤.xlsx</t>
        </is>
      </c>
      <c r="C335" s="59" t="inlineStr">
        <is>
          <t>ITB-003_権限制御</t>
        </is>
      </c>
      <c r="D335" s="57" t="inlineStr">
        <is>
          <t>基盤</t>
        </is>
      </c>
      <c r="E335" s="57" t="inlineStr">
        <is>
          <t>ITB-003_権限制御-008</t>
        </is>
      </c>
      <c r="F335" s="109" t="n">
        <v>46115</v>
      </c>
      <c r="G335" s="57" t="inlineStr"/>
      <c r="H335" s="57">
        <f>IF(G335&lt;&gt;"","完了",IF(F335="","－",IF(F335&lt;=$L$2,"遅延","予定")))</f>
        <v/>
      </c>
      <c r="I335" s="109" t="n">
        <v>46118</v>
      </c>
      <c r="J335" s="57" t="inlineStr"/>
      <c r="K335" s="57">
        <f>IF(J335&lt;&gt;"","完了",IF(I335="","－",IF(I335&lt;=$L$2,"遅延","予定")))</f>
        <v/>
      </c>
      <c r="L335" s="57">
        <f>IF(AND(H335="完了",K335="完了"),"完了",IF(OR(H335="遅延",K335="遅延"),"遅延","進行中"))</f>
        <v/>
      </c>
    </row>
    <row r="336">
      <c r="A336" s="57" t="n">
        <v>332</v>
      </c>
      <c r="B336" s="59" t="inlineStr">
        <is>
          <t>input/基盤チーム/ITB-I-001_認証基盤.xlsx</t>
        </is>
      </c>
      <c r="C336" s="59" t="inlineStr">
        <is>
          <t>ITB-003_権限制御</t>
        </is>
      </c>
      <c r="D336" s="57" t="inlineStr">
        <is>
          <t>基盤</t>
        </is>
      </c>
      <c r="E336" s="57" t="inlineStr">
        <is>
          <t>ITB-003_権限制御-009</t>
        </is>
      </c>
      <c r="F336" s="109" t="n">
        <v>46127</v>
      </c>
      <c r="G336" s="57" t="inlineStr"/>
      <c r="H336" s="57">
        <f>IF(G336&lt;&gt;"","完了",IF(F336="","－",IF(F336&lt;=$L$2,"遅延","予定")))</f>
        <v/>
      </c>
      <c r="I336" s="109" t="n">
        <v>46132</v>
      </c>
      <c r="J336" s="57" t="inlineStr"/>
      <c r="K336" s="57">
        <f>IF(J336&lt;&gt;"","完了",IF(I336="","－",IF(I336&lt;=$L$2,"遅延","予定")))</f>
        <v/>
      </c>
      <c r="L336" s="57">
        <f>IF(AND(H336="完了",K336="完了"),"完了",IF(OR(H336="遅延",K336="遅延"),"遅延","進行中"))</f>
        <v/>
      </c>
    </row>
    <row r="337">
      <c r="A337" s="57" t="n">
        <v>333</v>
      </c>
      <c r="B337" s="59" t="inlineStr">
        <is>
          <t>input/基盤チーム/ITB-I-001_認証基盤.xlsx</t>
        </is>
      </c>
      <c r="C337" s="59" t="inlineStr">
        <is>
          <t>ITB-003_権限制御</t>
        </is>
      </c>
      <c r="D337" s="57" t="inlineStr">
        <is>
          <t>基盤</t>
        </is>
      </c>
      <c r="E337" s="57" t="inlineStr">
        <is>
          <t>ITB-003_権限制御-010</t>
        </is>
      </c>
      <c r="F337" s="109" t="n">
        <v>46137</v>
      </c>
      <c r="G337" s="57" t="inlineStr"/>
      <c r="H337" s="57">
        <f>IF(G337&lt;&gt;"","完了",IF(F337="","－",IF(F337&lt;=$L$2,"遅延","予定")))</f>
        <v/>
      </c>
      <c r="I337" s="109" t="n">
        <v>46141</v>
      </c>
      <c r="J337" s="57" t="inlineStr"/>
      <c r="K337" s="57">
        <f>IF(J337&lt;&gt;"","完了",IF(I337="","－",IF(I337&lt;=$L$2,"遅延","予定")))</f>
        <v/>
      </c>
      <c r="L337" s="57">
        <f>IF(AND(H337="完了",K337="完了"),"完了",IF(OR(H337="遅延",K337="遅延"),"遅延","進行中"))</f>
        <v/>
      </c>
    </row>
    <row r="338">
      <c r="A338" s="57" t="n">
        <v>334</v>
      </c>
      <c r="B338" s="59" t="inlineStr">
        <is>
          <t>input/基盤チーム/ITB-I-001_認証基盤.xlsx</t>
        </is>
      </c>
      <c r="C338" s="59" t="inlineStr">
        <is>
          <t>ITB-003_権限制御</t>
        </is>
      </c>
      <c r="D338" s="57" t="inlineStr">
        <is>
          <t>基盤</t>
        </is>
      </c>
      <c r="E338" s="57" t="inlineStr">
        <is>
          <t>ITB-003_権限制御-011</t>
        </is>
      </c>
      <c r="F338" s="109" t="n">
        <v>46152</v>
      </c>
      <c r="G338" s="57" t="inlineStr"/>
      <c r="H338" s="57">
        <f>IF(G338&lt;&gt;"","完了",IF(F338="","－",IF(F338&lt;=$L$2,"遅延","予定")))</f>
        <v/>
      </c>
      <c r="I338" s="109" t="n">
        <v>46157</v>
      </c>
      <c r="J338" s="57" t="inlineStr"/>
      <c r="K338" s="57">
        <f>IF(J338&lt;&gt;"","完了",IF(I338="","－",IF(I338&lt;=$L$2,"遅延","予定")))</f>
        <v/>
      </c>
      <c r="L338" s="57">
        <f>IF(AND(H338="完了",K338="完了"),"完了",IF(OR(H338="遅延",K338="遅延"),"遅延","進行中"))</f>
        <v/>
      </c>
    </row>
    <row r="339">
      <c r="A339" s="57" t="n">
        <v>335</v>
      </c>
      <c r="B339" s="59" t="inlineStr">
        <is>
          <t>input/基盤チーム/ITB-I-001_認証基盤.xlsx</t>
        </is>
      </c>
      <c r="C339" s="59" t="inlineStr">
        <is>
          <t>ITB-003_権限制御</t>
        </is>
      </c>
      <c r="D339" s="57" t="inlineStr">
        <is>
          <t>基盤</t>
        </is>
      </c>
      <c r="E339" s="57" t="inlineStr">
        <is>
          <t>ITB-003_権限制御-012</t>
        </is>
      </c>
      <c r="F339" s="109" t="n">
        <v>46177</v>
      </c>
      <c r="G339" s="57" t="inlineStr"/>
      <c r="H339" s="57">
        <f>IF(G339&lt;&gt;"","完了",IF(F339="","－",IF(F339&lt;=$L$2,"遅延","予定")))</f>
        <v/>
      </c>
      <c r="I339" s="109" t="n">
        <v>46178</v>
      </c>
      <c r="J339" s="57" t="inlineStr"/>
      <c r="K339" s="57">
        <f>IF(J339&lt;&gt;"","完了",IF(I339="","－",IF(I339&lt;=$L$2,"遅延","予定")))</f>
        <v/>
      </c>
      <c r="L339" s="57">
        <f>IF(AND(H339="完了",K339="完了"),"完了",IF(OR(H339="遅延",K339="遅延"),"遅延","進行中"))</f>
        <v/>
      </c>
    </row>
    <row r="340">
      <c r="A340" s="57" t="n">
        <v>336</v>
      </c>
      <c r="B340" s="59" t="inlineStr">
        <is>
          <t>input/基盤チーム/ITB-I-002_ログ基盤.xlsx</t>
        </is>
      </c>
      <c r="C340" s="59" t="inlineStr">
        <is>
          <t>ITB-001_アクセスログ</t>
        </is>
      </c>
      <c r="D340" s="57" t="inlineStr">
        <is>
          <t>基盤</t>
        </is>
      </c>
      <c r="E340" s="57" t="inlineStr">
        <is>
          <t>ITB-001_アクセスログ-001</t>
        </is>
      </c>
      <c r="F340" s="109" t="n">
        <v>46012</v>
      </c>
      <c r="G340" s="109" t="n">
        <v>46011</v>
      </c>
      <c r="H340" s="57">
        <f>IF(G340&lt;&gt;"","完了",IF(F340="","－",IF(F340&lt;=$L$2,"遅延","予定")))</f>
        <v/>
      </c>
      <c r="I340" s="109" t="n">
        <v>46017</v>
      </c>
      <c r="J340" s="109" t="n">
        <v>46017</v>
      </c>
      <c r="K340" s="57">
        <f>IF(J340&lt;&gt;"","完了",IF(I340="","－",IF(I340&lt;=$L$2,"遅延","予定")))</f>
        <v/>
      </c>
      <c r="L340" s="57">
        <f>IF(AND(H340="完了",K340="完了"),"完了",IF(OR(H340="遅延",K340="遅延"),"遅延","進行中"))</f>
        <v/>
      </c>
    </row>
    <row r="341">
      <c r="A341" s="57" t="n">
        <v>337</v>
      </c>
      <c r="B341" s="59" t="inlineStr">
        <is>
          <t>input/基盤チーム/ITB-I-002_ログ基盤.xlsx</t>
        </is>
      </c>
      <c r="C341" s="59" t="inlineStr">
        <is>
          <t>ITB-001_アクセスログ</t>
        </is>
      </c>
      <c r="D341" s="57" t="inlineStr">
        <is>
          <t>基盤</t>
        </is>
      </c>
      <c r="E341" s="57" t="inlineStr">
        <is>
          <t>ITB-001_アクセスログ-002</t>
        </is>
      </c>
      <c r="F341" s="109" t="n">
        <v>46034</v>
      </c>
      <c r="G341" s="109" t="n">
        <v>46035</v>
      </c>
      <c r="H341" s="57">
        <f>IF(G341&lt;&gt;"","完了",IF(F341="","－",IF(F341&lt;=$L$2,"遅延","予定")))</f>
        <v/>
      </c>
      <c r="I341" s="109" t="n">
        <v>46038</v>
      </c>
      <c r="J341" s="109" t="n">
        <v>46037</v>
      </c>
      <c r="K341" s="57">
        <f>IF(J341&lt;&gt;"","完了",IF(I341="","－",IF(I341&lt;=$L$2,"遅延","予定")))</f>
        <v/>
      </c>
      <c r="L341" s="57">
        <f>IF(AND(H341="完了",K341="完了"),"完了",IF(OR(H341="遅延",K341="遅延"),"遅延","進行中"))</f>
        <v/>
      </c>
    </row>
    <row r="342">
      <c r="A342" s="57" t="n">
        <v>338</v>
      </c>
      <c r="B342" s="59" t="inlineStr">
        <is>
          <t>input/基盤チーム/ITB-I-002_ログ基盤.xlsx</t>
        </is>
      </c>
      <c r="C342" s="59" t="inlineStr">
        <is>
          <t>ITB-001_アクセスログ</t>
        </is>
      </c>
      <c r="D342" s="57" t="inlineStr">
        <is>
          <t>基盤</t>
        </is>
      </c>
      <c r="E342" s="57" t="inlineStr">
        <is>
          <t>ITB-001_アクセスログ-003</t>
        </is>
      </c>
      <c r="F342" s="109" t="n">
        <v>46063</v>
      </c>
      <c r="G342" s="109" t="n">
        <v>46065</v>
      </c>
      <c r="H342" s="57">
        <f>IF(G342&lt;&gt;"","完了",IF(F342="","－",IF(F342&lt;=$L$2,"遅延","予定")))</f>
        <v/>
      </c>
      <c r="I342" s="109" t="n">
        <v>46064</v>
      </c>
      <c r="J342" s="109" t="n">
        <v>46065</v>
      </c>
      <c r="K342" s="57">
        <f>IF(J342&lt;&gt;"","完了",IF(I342="","－",IF(I342&lt;=$L$2,"遅延","予定")))</f>
        <v/>
      </c>
      <c r="L342" s="57">
        <f>IF(AND(H342="完了",K342="完了"),"完了",IF(OR(H342="遅延",K342="遅延"),"遅延","進行中"))</f>
        <v/>
      </c>
    </row>
    <row r="343">
      <c r="A343" s="57" t="n">
        <v>339</v>
      </c>
      <c r="B343" s="59" t="inlineStr">
        <is>
          <t>input/基盤チーム/ITB-I-002_ログ基盤.xlsx</t>
        </is>
      </c>
      <c r="C343" s="59" t="inlineStr">
        <is>
          <t>ITB-001_アクセスログ</t>
        </is>
      </c>
      <c r="D343" s="57" t="inlineStr">
        <is>
          <t>基盤</t>
        </is>
      </c>
      <c r="E343" s="57" t="inlineStr">
        <is>
          <t>ITB-001_アクセスログ-004</t>
        </is>
      </c>
      <c r="F343" s="109" t="n">
        <v>46087</v>
      </c>
      <c r="G343" s="57" t="inlineStr"/>
      <c r="H343" s="57">
        <f>IF(G343&lt;&gt;"","完了",IF(F343="","－",IF(F343&lt;=$L$2,"遅延","予定")))</f>
        <v/>
      </c>
      <c r="I343" s="109" t="n">
        <v>46092</v>
      </c>
      <c r="J343" s="57" t="inlineStr"/>
      <c r="K343" s="57">
        <f>IF(J343&lt;&gt;"","完了",IF(I343="","－",IF(I343&lt;=$L$2,"遅延","予定")))</f>
        <v/>
      </c>
      <c r="L343" s="57">
        <f>IF(AND(H343="完了",K343="完了"),"完了",IF(OR(H343="遅延",K343="遅延"),"遅延","進行中"))</f>
        <v/>
      </c>
    </row>
    <row r="344">
      <c r="A344" s="57" t="n">
        <v>340</v>
      </c>
      <c r="B344" s="59" t="inlineStr">
        <is>
          <t>input/基盤チーム/ITB-I-002_ログ基盤.xlsx</t>
        </is>
      </c>
      <c r="C344" s="59" t="inlineStr">
        <is>
          <t>ITB-001_アクセスログ</t>
        </is>
      </c>
      <c r="D344" s="57" t="inlineStr">
        <is>
          <t>基盤</t>
        </is>
      </c>
      <c r="E344" s="57" t="inlineStr">
        <is>
          <t>ITB-001_アクセスログ-005</t>
        </is>
      </c>
      <c r="F344" s="109" t="n">
        <v>46100</v>
      </c>
      <c r="G344" s="57" t="inlineStr"/>
      <c r="H344" s="57">
        <f>IF(G344&lt;&gt;"","完了",IF(F344="","－",IF(F344&lt;=$L$2,"遅延","予定")))</f>
        <v/>
      </c>
      <c r="I344" s="109" t="n">
        <v>46102</v>
      </c>
      <c r="J344" s="57" t="inlineStr"/>
      <c r="K344" s="57">
        <f>IF(J344&lt;&gt;"","完了",IF(I344="","－",IF(I344&lt;=$L$2,"遅延","予定")))</f>
        <v/>
      </c>
      <c r="L344" s="57">
        <f>IF(AND(H344="完了",K344="完了"),"完了",IF(OR(H344="遅延",K344="遅延"),"遅延","進行中"))</f>
        <v/>
      </c>
    </row>
    <row r="345">
      <c r="A345" s="57" t="n">
        <v>341</v>
      </c>
      <c r="B345" s="59" t="inlineStr">
        <is>
          <t>input/基盤チーム/ITB-I-002_ログ基盤.xlsx</t>
        </is>
      </c>
      <c r="C345" s="59" t="inlineStr">
        <is>
          <t>ITB-001_アクセスログ</t>
        </is>
      </c>
      <c r="D345" s="57" t="inlineStr">
        <is>
          <t>基盤</t>
        </is>
      </c>
      <c r="E345" s="57" t="inlineStr">
        <is>
          <t>ITB-001_アクセスログ-006</t>
        </is>
      </c>
      <c r="F345" s="109" t="n">
        <v>46124</v>
      </c>
      <c r="G345" s="57" t="inlineStr"/>
      <c r="H345" s="57">
        <f>IF(G345&lt;&gt;"","完了",IF(F345="","－",IF(F345&lt;=$L$2,"遅延","予定")))</f>
        <v/>
      </c>
      <c r="I345" s="109" t="n">
        <v>46126</v>
      </c>
      <c r="J345" s="57" t="inlineStr"/>
      <c r="K345" s="57">
        <f>IF(J345&lt;&gt;"","完了",IF(I345="","－",IF(I345&lt;=$L$2,"遅延","予定")))</f>
        <v/>
      </c>
      <c r="L345" s="57">
        <f>IF(AND(H345="完了",K345="完了"),"完了",IF(OR(H345="遅延",K345="遅延"),"遅延","進行中"))</f>
        <v/>
      </c>
    </row>
    <row r="346">
      <c r="A346" s="57" t="n">
        <v>342</v>
      </c>
      <c r="B346" s="59" t="inlineStr">
        <is>
          <t>input/基盤チーム/ITB-I-002_ログ基盤.xlsx</t>
        </is>
      </c>
      <c r="C346" s="59" t="inlineStr">
        <is>
          <t>ITB-001_アクセスログ</t>
        </is>
      </c>
      <c r="D346" s="57" t="inlineStr">
        <is>
          <t>基盤</t>
        </is>
      </c>
      <c r="E346" s="57" t="inlineStr">
        <is>
          <t>ITB-001_アクセスログ-007</t>
        </is>
      </c>
      <c r="F346" s="109" t="n">
        <v>46145</v>
      </c>
      <c r="G346" s="57" t="inlineStr"/>
      <c r="H346" s="57">
        <f>IF(G346&lt;&gt;"","完了",IF(F346="","－",IF(F346&lt;=$L$2,"遅延","予定")))</f>
        <v/>
      </c>
      <c r="I346" s="109" t="n">
        <v>46146</v>
      </c>
      <c r="J346" s="57" t="inlineStr"/>
      <c r="K346" s="57">
        <f>IF(J346&lt;&gt;"","完了",IF(I346="","－",IF(I346&lt;=$L$2,"遅延","予定")))</f>
        <v/>
      </c>
      <c r="L346" s="57">
        <f>IF(AND(H346="完了",K346="完了"),"完了",IF(OR(H346="遅延",K346="遅延"),"遅延","進行中"))</f>
        <v/>
      </c>
    </row>
    <row r="347">
      <c r="A347" s="57" t="n">
        <v>343</v>
      </c>
      <c r="B347" s="59" t="inlineStr">
        <is>
          <t>input/基盤チーム/ITB-I-002_ログ基盤.xlsx</t>
        </is>
      </c>
      <c r="C347" s="59" t="inlineStr">
        <is>
          <t>ITB-001_アクセスログ</t>
        </is>
      </c>
      <c r="D347" s="57" t="inlineStr">
        <is>
          <t>基盤</t>
        </is>
      </c>
      <c r="E347" s="57" t="inlineStr">
        <is>
          <t>ITB-001_アクセスログ-008</t>
        </is>
      </c>
      <c r="F347" s="109" t="n">
        <v>46175</v>
      </c>
      <c r="G347" s="57" t="inlineStr"/>
      <c r="H347" s="57">
        <f>IF(G347&lt;&gt;"","完了",IF(F347="","－",IF(F347&lt;=$L$2,"遅延","予定")))</f>
        <v/>
      </c>
      <c r="I347" s="109" t="n">
        <v>46177</v>
      </c>
      <c r="J347" s="57" t="inlineStr"/>
      <c r="K347" s="57">
        <f>IF(J347&lt;&gt;"","完了",IF(I347="","－",IF(I347&lt;=$L$2,"遅延","予定")))</f>
        <v/>
      </c>
      <c r="L347" s="57">
        <f>IF(AND(H347="完了",K347="完了"),"完了",IF(OR(H347="遅延",K347="遅延"),"遅延","進行中"))</f>
        <v/>
      </c>
    </row>
    <row r="348">
      <c r="A348" s="57" t="n">
        <v>344</v>
      </c>
      <c r="B348" s="59" t="inlineStr">
        <is>
          <t>input/基盤チーム/ITB-I-002_ログ基盤.xlsx</t>
        </is>
      </c>
      <c r="C348" s="59" t="inlineStr">
        <is>
          <t>ITB-002_エラーログ</t>
        </is>
      </c>
      <c r="D348" s="57" t="inlineStr">
        <is>
          <t>基盤</t>
        </is>
      </c>
      <c r="E348" s="57" t="inlineStr">
        <is>
          <t>ITB-002_エラーログ-001</t>
        </is>
      </c>
      <c r="F348" s="109" t="n">
        <v>46017</v>
      </c>
      <c r="G348" s="57" t="inlineStr"/>
      <c r="H348" s="57">
        <f>IF(G348&lt;&gt;"","完了",IF(F348="","－",IF(F348&lt;=$L$2,"遅延","予定")))</f>
        <v/>
      </c>
      <c r="I348" s="109" t="n">
        <v>46018</v>
      </c>
      <c r="J348" s="57" t="inlineStr"/>
      <c r="K348" s="57">
        <f>IF(J348&lt;&gt;"","完了",IF(I348="","－",IF(I348&lt;=$L$2,"遅延","予定")))</f>
        <v/>
      </c>
      <c r="L348" s="57">
        <f>IF(AND(H348="完了",K348="完了"),"完了",IF(OR(H348="遅延",K348="遅延"),"遅延","進行中"))</f>
        <v/>
      </c>
    </row>
    <row r="349">
      <c r="A349" s="57" t="n">
        <v>345</v>
      </c>
      <c r="B349" s="59" t="inlineStr">
        <is>
          <t>input/基盤チーム/ITB-I-002_ログ基盤.xlsx</t>
        </is>
      </c>
      <c r="C349" s="59" t="inlineStr">
        <is>
          <t>ITB-002_エラーログ</t>
        </is>
      </c>
      <c r="D349" s="57" t="inlineStr">
        <is>
          <t>基盤</t>
        </is>
      </c>
      <c r="E349" s="57" t="inlineStr">
        <is>
          <t>ITB-002_エラーログ-002</t>
        </is>
      </c>
      <c r="F349" s="109" t="n">
        <v>46033</v>
      </c>
      <c r="G349" s="109" t="n">
        <v>46035</v>
      </c>
      <c r="H349" s="57">
        <f>IF(G349&lt;&gt;"","完了",IF(F349="","－",IF(F349&lt;=$L$2,"遅延","予定")))</f>
        <v/>
      </c>
      <c r="I349" s="109" t="n">
        <v>46038</v>
      </c>
      <c r="J349" s="57" t="inlineStr"/>
      <c r="K349" s="57">
        <f>IF(J349&lt;&gt;"","完了",IF(I349="","－",IF(I349&lt;=$L$2,"遅延","予定")))</f>
        <v/>
      </c>
      <c r="L349" s="57">
        <f>IF(AND(H349="完了",K349="完了"),"完了",IF(OR(H349="遅延",K349="遅延"),"遅延","進行中"))</f>
        <v/>
      </c>
    </row>
    <row r="350">
      <c r="A350" s="57" t="n">
        <v>346</v>
      </c>
      <c r="B350" s="59" t="inlineStr">
        <is>
          <t>input/基盤チーム/ITB-I-002_ログ基盤.xlsx</t>
        </is>
      </c>
      <c r="C350" s="59" t="inlineStr">
        <is>
          <t>ITB-002_エラーログ</t>
        </is>
      </c>
      <c r="D350" s="57" t="inlineStr">
        <is>
          <t>基盤</t>
        </is>
      </c>
      <c r="E350" s="57" t="inlineStr">
        <is>
          <t>ITB-002_エラーログ-003</t>
        </is>
      </c>
      <c r="F350" s="109" t="n">
        <v>46061</v>
      </c>
      <c r="G350" s="109" t="n">
        <v>46063</v>
      </c>
      <c r="H350" s="57">
        <f>IF(G350&lt;&gt;"","完了",IF(F350="","－",IF(F350&lt;=$L$2,"遅延","予定")))</f>
        <v/>
      </c>
      <c r="I350" s="109" t="n">
        <v>46063</v>
      </c>
      <c r="J350" s="109" t="n">
        <v>46063</v>
      </c>
      <c r="K350" s="57">
        <f>IF(J350&lt;&gt;"","完了",IF(I350="","－",IF(I350&lt;=$L$2,"遅延","予定")))</f>
        <v/>
      </c>
      <c r="L350" s="57">
        <f>IF(AND(H350="完了",K350="完了"),"完了",IF(OR(H350="遅延",K350="遅延"),"遅延","進行中"))</f>
        <v/>
      </c>
    </row>
    <row r="351">
      <c r="A351" s="57" t="n">
        <v>347</v>
      </c>
      <c r="B351" s="59" t="inlineStr">
        <is>
          <t>input/基盤チーム/ITB-I-002_ログ基盤.xlsx</t>
        </is>
      </c>
      <c r="C351" s="59" t="inlineStr">
        <is>
          <t>ITB-002_エラーログ</t>
        </is>
      </c>
      <c r="D351" s="57" t="inlineStr">
        <is>
          <t>基盤</t>
        </is>
      </c>
      <c r="E351" s="57" t="inlineStr">
        <is>
          <t>ITB-002_エラーログ-004</t>
        </is>
      </c>
      <c r="F351" s="109" t="n">
        <v>46080</v>
      </c>
      <c r="G351" s="57" t="inlineStr"/>
      <c r="H351" s="57">
        <f>IF(G351&lt;&gt;"","完了",IF(F351="","－",IF(F351&lt;=$L$2,"遅延","予定")))</f>
        <v/>
      </c>
      <c r="I351" s="109" t="n">
        <v>46082</v>
      </c>
      <c r="J351" s="57" t="inlineStr"/>
      <c r="K351" s="57">
        <f>IF(J351&lt;&gt;"","完了",IF(I351="","－",IF(I351&lt;=$L$2,"遅延","予定")))</f>
        <v/>
      </c>
      <c r="L351" s="57">
        <f>IF(AND(H351="完了",K351="完了"),"完了",IF(OR(H351="遅延",K351="遅延"),"遅延","進行中"))</f>
        <v/>
      </c>
    </row>
    <row r="352">
      <c r="A352" s="57" t="n">
        <v>348</v>
      </c>
      <c r="B352" s="59" t="inlineStr">
        <is>
          <t>input/基盤チーム/ITB-I-002_ログ基盤.xlsx</t>
        </is>
      </c>
      <c r="C352" s="59" t="inlineStr">
        <is>
          <t>ITB-002_エラーログ</t>
        </is>
      </c>
      <c r="D352" s="57" t="inlineStr">
        <is>
          <t>基盤</t>
        </is>
      </c>
      <c r="E352" s="57" t="inlineStr">
        <is>
          <t>ITB-002_エラーログ-005</t>
        </is>
      </c>
      <c r="F352" s="109" t="n">
        <v>46106</v>
      </c>
      <c r="G352" s="57" t="inlineStr"/>
      <c r="H352" s="57">
        <f>IF(G352&lt;&gt;"","完了",IF(F352="","－",IF(F352&lt;=$L$2,"遅延","予定")))</f>
        <v/>
      </c>
      <c r="I352" s="109" t="n">
        <v>46109</v>
      </c>
      <c r="J352" s="57" t="inlineStr"/>
      <c r="K352" s="57">
        <f>IF(J352&lt;&gt;"","完了",IF(I352="","－",IF(I352&lt;=$L$2,"遅延","予定")))</f>
        <v/>
      </c>
      <c r="L352" s="57">
        <f>IF(AND(H352="完了",K352="完了"),"完了",IF(OR(H352="遅延",K352="遅延"),"遅延","進行中"))</f>
        <v/>
      </c>
    </row>
    <row r="353">
      <c r="A353" s="57" t="n">
        <v>349</v>
      </c>
      <c r="B353" s="59" t="inlineStr">
        <is>
          <t>input/基盤チーム/ITB-I-002_ログ基盤.xlsx</t>
        </is>
      </c>
      <c r="C353" s="59" t="inlineStr">
        <is>
          <t>ITB-002_エラーログ</t>
        </is>
      </c>
      <c r="D353" s="57" t="inlineStr">
        <is>
          <t>基盤</t>
        </is>
      </c>
      <c r="E353" s="57" t="inlineStr">
        <is>
          <t>ITB-002_エラーログ-006</t>
        </is>
      </c>
      <c r="F353" s="109" t="n">
        <v>46127</v>
      </c>
      <c r="G353" s="57" t="inlineStr"/>
      <c r="H353" s="57">
        <f>IF(G353&lt;&gt;"","完了",IF(F353="","－",IF(F353&lt;=$L$2,"遅延","予定")))</f>
        <v/>
      </c>
      <c r="I353" s="109" t="n">
        <v>46131</v>
      </c>
      <c r="J353" s="57" t="inlineStr"/>
      <c r="K353" s="57">
        <f>IF(J353&lt;&gt;"","完了",IF(I353="","－",IF(I353&lt;=$L$2,"遅延","予定")))</f>
        <v/>
      </c>
      <c r="L353" s="57">
        <f>IF(AND(H353="完了",K353="完了"),"完了",IF(OR(H353="遅延",K353="遅延"),"遅延","進行中"))</f>
        <v/>
      </c>
    </row>
    <row r="354">
      <c r="A354" s="57" t="n">
        <v>350</v>
      </c>
      <c r="B354" s="59" t="inlineStr">
        <is>
          <t>input/基盤チーム/ITB-I-002_ログ基盤.xlsx</t>
        </is>
      </c>
      <c r="C354" s="59" t="inlineStr">
        <is>
          <t>ITB-002_エラーログ</t>
        </is>
      </c>
      <c r="D354" s="57" t="inlineStr">
        <is>
          <t>基盤</t>
        </is>
      </c>
      <c r="E354" s="57" t="inlineStr">
        <is>
          <t>ITB-002_エラーログ-007</t>
        </is>
      </c>
      <c r="F354" s="109" t="n">
        <v>46153</v>
      </c>
      <c r="G354" s="57" t="inlineStr"/>
      <c r="H354" s="57">
        <f>IF(G354&lt;&gt;"","完了",IF(F354="","－",IF(F354&lt;=$L$2,"遅延","予定")))</f>
        <v/>
      </c>
      <c r="I354" s="109" t="n">
        <v>46156</v>
      </c>
      <c r="J354" s="57" t="inlineStr"/>
      <c r="K354" s="57">
        <f>IF(J354&lt;&gt;"","完了",IF(I354="","－",IF(I354&lt;=$L$2,"遅延","予定")))</f>
        <v/>
      </c>
      <c r="L354" s="57">
        <f>IF(AND(H354="完了",K354="完了"),"完了",IF(OR(H354="遅延",K354="遅延"),"遅延","進行中"))</f>
        <v/>
      </c>
    </row>
    <row r="355">
      <c r="A355" s="57" t="n">
        <v>351</v>
      </c>
      <c r="B355" s="59" t="inlineStr">
        <is>
          <t>input/基盤チーム/ITB-I-002_ログ基盤.xlsx</t>
        </is>
      </c>
      <c r="C355" s="59" t="inlineStr">
        <is>
          <t>ITB-002_エラーログ</t>
        </is>
      </c>
      <c r="D355" s="57" t="inlineStr">
        <is>
          <t>基盤</t>
        </is>
      </c>
      <c r="E355" s="57" t="inlineStr">
        <is>
          <t>ITB-002_エラーログ-008</t>
        </is>
      </c>
      <c r="F355" s="109" t="n">
        <v>46171</v>
      </c>
      <c r="G355" s="57" t="inlineStr"/>
      <c r="H355" s="57">
        <f>IF(G355&lt;&gt;"","完了",IF(F355="","－",IF(F355&lt;=$L$2,"遅延","予定")))</f>
        <v/>
      </c>
      <c r="I355" s="109" t="n">
        <v>46173</v>
      </c>
      <c r="J355" s="57" t="inlineStr"/>
      <c r="K355" s="57">
        <f>IF(J355&lt;&gt;"","完了",IF(I355="","－",IF(I355&lt;=$L$2,"遅延","予定")))</f>
        <v/>
      </c>
      <c r="L355" s="57">
        <f>IF(AND(H355="完了",K355="完了"),"完了",IF(OR(H355="遅延",K355="遅延"),"遅延","進行中"))</f>
        <v/>
      </c>
    </row>
    <row r="356">
      <c r="A356" s="57" t="n">
        <v>352</v>
      </c>
      <c r="B356" s="59" t="inlineStr">
        <is>
          <t>input/基盤チーム/ITB-I-002_ログ基盤.xlsx</t>
        </is>
      </c>
      <c r="C356" s="59" t="inlineStr">
        <is>
          <t>ITB-003_監査ログ</t>
        </is>
      </c>
      <c r="D356" s="57" t="inlineStr">
        <is>
          <t>基盤</t>
        </is>
      </c>
      <c r="E356" s="57" t="inlineStr">
        <is>
          <t>ITB-003_監査ログ-001</t>
        </is>
      </c>
      <c r="F356" s="109" t="n">
        <v>46012</v>
      </c>
      <c r="G356" s="109" t="n">
        <v>46011</v>
      </c>
      <c r="H356" s="57">
        <f>IF(G356&lt;&gt;"","完了",IF(F356="","－",IF(F356&lt;=$L$2,"遅延","予定")))</f>
        <v/>
      </c>
      <c r="I356" s="109" t="n">
        <v>46017</v>
      </c>
      <c r="J356" s="109" t="n">
        <v>46018</v>
      </c>
      <c r="K356" s="57">
        <f>IF(J356&lt;&gt;"","完了",IF(I356="","－",IF(I356&lt;=$L$2,"遅延","予定")))</f>
        <v/>
      </c>
      <c r="L356" s="57">
        <f>IF(AND(H356="完了",K356="完了"),"完了",IF(OR(H356="遅延",K356="遅延"),"遅延","進行中"))</f>
        <v/>
      </c>
    </row>
    <row r="357">
      <c r="A357" s="57" t="n">
        <v>353</v>
      </c>
      <c r="B357" s="59" t="inlineStr">
        <is>
          <t>input/基盤チーム/ITB-I-002_ログ基盤.xlsx</t>
        </is>
      </c>
      <c r="C357" s="59" t="inlineStr">
        <is>
          <t>ITB-003_監査ログ</t>
        </is>
      </c>
      <c r="D357" s="57" t="inlineStr">
        <is>
          <t>基盤</t>
        </is>
      </c>
      <c r="E357" s="57" t="inlineStr">
        <is>
          <t>ITB-003_監査ログ-002</t>
        </is>
      </c>
      <c r="F357" s="109" t="n">
        <v>46034</v>
      </c>
      <c r="G357" s="109" t="n">
        <v>46035</v>
      </c>
      <c r="H357" s="57">
        <f>IF(G357&lt;&gt;"","完了",IF(F357="","－",IF(F357&lt;=$L$2,"遅延","予定")))</f>
        <v/>
      </c>
      <c r="I357" s="109" t="n">
        <v>46037</v>
      </c>
      <c r="J357" s="57" t="inlineStr"/>
      <c r="K357" s="57">
        <f>IF(J357&lt;&gt;"","完了",IF(I357="","－",IF(I357&lt;=$L$2,"遅延","予定")))</f>
        <v/>
      </c>
      <c r="L357" s="57">
        <f>IF(AND(H357="完了",K357="完了"),"完了",IF(OR(H357="遅延",K357="遅延"),"遅延","進行中"))</f>
        <v/>
      </c>
    </row>
    <row r="358">
      <c r="A358" s="57" t="n">
        <v>354</v>
      </c>
      <c r="B358" s="59" t="inlineStr">
        <is>
          <t>input/基盤チーム/ITB-I-002_ログ基盤.xlsx</t>
        </is>
      </c>
      <c r="C358" s="59" t="inlineStr">
        <is>
          <t>ITB-003_監査ログ</t>
        </is>
      </c>
      <c r="D358" s="57" t="inlineStr">
        <is>
          <t>基盤</t>
        </is>
      </c>
      <c r="E358" s="57" t="inlineStr">
        <is>
          <t>ITB-003_監査ログ-003</t>
        </is>
      </c>
      <c r="F358" s="109" t="n">
        <v>46063</v>
      </c>
      <c r="G358" s="109" t="n">
        <v>46066</v>
      </c>
      <c r="H358" s="57">
        <f>IF(G358&lt;&gt;"","完了",IF(F358="","－",IF(F358&lt;=$L$2,"遅延","予定")))</f>
        <v/>
      </c>
      <c r="I358" s="109" t="n">
        <v>46065</v>
      </c>
      <c r="J358" s="109" t="n">
        <v>46067</v>
      </c>
      <c r="K358" s="57">
        <f>IF(J358&lt;&gt;"","完了",IF(I358="","－",IF(I358&lt;=$L$2,"遅延","予定")))</f>
        <v/>
      </c>
      <c r="L358" s="57">
        <f>IF(AND(H358="完了",K358="完了"),"完了",IF(OR(H358="遅延",K358="遅延"),"遅延","進行中"))</f>
        <v/>
      </c>
    </row>
    <row r="359">
      <c r="A359" s="57" t="n">
        <v>355</v>
      </c>
      <c r="B359" s="59" t="inlineStr">
        <is>
          <t>input/基盤チーム/ITB-I-002_ログ基盤.xlsx</t>
        </is>
      </c>
      <c r="C359" s="59" t="inlineStr">
        <is>
          <t>ITB-003_監査ログ</t>
        </is>
      </c>
      <c r="D359" s="57" t="inlineStr">
        <is>
          <t>基盤</t>
        </is>
      </c>
      <c r="E359" s="57" t="inlineStr">
        <is>
          <t>ITB-003_監査ログ-004</t>
        </is>
      </c>
      <c r="F359" s="109" t="n">
        <v>46083</v>
      </c>
      <c r="G359" s="109" t="n">
        <v>46085</v>
      </c>
      <c r="H359" s="57">
        <f>IF(G359&lt;&gt;"","完了",IF(F359="","－",IF(F359&lt;=$L$2,"遅延","予定")))</f>
        <v/>
      </c>
      <c r="I359" s="109" t="n">
        <v>46088</v>
      </c>
      <c r="J359" s="57" t="inlineStr"/>
      <c r="K359" s="57">
        <f>IF(J359&lt;&gt;"","完了",IF(I359="","－",IF(I359&lt;=$L$2,"遅延","予定")))</f>
        <v/>
      </c>
      <c r="L359" s="57">
        <f>IF(AND(H359="完了",K359="完了"),"完了",IF(OR(H359="遅延",K359="遅延"),"遅延","進行中"))</f>
        <v/>
      </c>
    </row>
    <row r="360">
      <c r="A360" s="57" t="n">
        <v>356</v>
      </c>
      <c r="B360" s="59" t="inlineStr">
        <is>
          <t>input/基盤チーム/ITB-I-002_ログ基盤.xlsx</t>
        </is>
      </c>
      <c r="C360" s="59" t="inlineStr">
        <is>
          <t>ITB-003_監査ログ</t>
        </is>
      </c>
      <c r="D360" s="57" t="inlineStr">
        <is>
          <t>基盤</t>
        </is>
      </c>
      <c r="E360" s="57" t="inlineStr">
        <is>
          <t>ITB-003_監査ログ-005</t>
        </is>
      </c>
      <c r="F360" s="109" t="n">
        <v>46106</v>
      </c>
      <c r="G360" s="57" t="inlineStr"/>
      <c r="H360" s="57">
        <f>IF(G360&lt;&gt;"","完了",IF(F360="","－",IF(F360&lt;=$L$2,"遅延","予定")))</f>
        <v/>
      </c>
      <c r="I360" s="109" t="n">
        <v>46107</v>
      </c>
      <c r="J360" s="57" t="inlineStr"/>
      <c r="K360" s="57">
        <f>IF(J360&lt;&gt;"","完了",IF(I360="","－",IF(I360&lt;=$L$2,"遅延","予定")))</f>
        <v/>
      </c>
      <c r="L360" s="57">
        <f>IF(AND(H360="完了",K360="完了"),"完了",IF(OR(H360="遅延",K360="遅延"),"遅延","進行中"))</f>
        <v/>
      </c>
    </row>
    <row r="361">
      <c r="A361" s="57" t="n">
        <v>357</v>
      </c>
      <c r="B361" s="59" t="inlineStr">
        <is>
          <t>input/基盤チーム/ITB-I-002_ログ基盤.xlsx</t>
        </is>
      </c>
      <c r="C361" s="59" t="inlineStr">
        <is>
          <t>ITB-003_監査ログ</t>
        </is>
      </c>
      <c r="D361" s="57" t="inlineStr">
        <is>
          <t>基盤</t>
        </is>
      </c>
      <c r="E361" s="57" t="inlineStr">
        <is>
          <t>ITB-003_監査ログ-006</t>
        </is>
      </c>
      <c r="F361" s="109" t="n">
        <v>46132</v>
      </c>
      <c r="G361" s="57" t="inlineStr"/>
      <c r="H361" s="57">
        <f>IF(G361&lt;&gt;"","完了",IF(F361="","－",IF(F361&lt;=$L$2,"遅延","予定")))</f>
        <v/>
      </c>
      <c r="I361" s="109" t="n">
        <v>46136</v>
      </c>
      <c r="J361" s="57" t="inlineStr"/>
      <c r="K361" s="57">
        <f>IF(J361&lt;&gt;"","完了",IF(I361="","－",IF(I361&lt;=$L$2,"遅延","予定")))</f>
        <v/>
      </c>
      <c r="L361" s="57">
        <f>IF(AND(H361="完了",K361="完了"),"完了",IF(OR(H361="遅延",K361="遅延"),"遅延","進行中"))</f>
        <v/>
      </c>
    </row>
    <row r="362">
      <c r="A362" s="57" t="n">
        <v>358</v>
      </c>
      <c r="B362" s="59" t="inlineStr">
        <is>
          <t>input/基盤チーム/ITB-I-002_ログ基盤.xlsx</t>
        </is>
      </c>
      <c r="C362" s="59" t="inlineStr">
        <is>
          <t>ITB-003_監査ログ</t>
        </is>
      </c>
      <c r="D362" s="57" t="inlineStr">
        <is>
          <t>基盤</t>
        </is>
      </c>
      <c r="E362" s="57" t="inlineStr">
        <is>
          <t>ITB-003_監査ログ-007</t>
        </is>
      </c>
      <c r="F362" s="109" t="n">
        <v>46146</v>
      </c>
      <c r="G362" s="57" t="inlineStr"/>
      <c r="H362" s="57">
        <f>IF(G362&lt;&gt;"","完了",IF(F362="","－",IF(F362&lt;=$L$2,"遅延","予定")))</f>
        <v/>
      </c>
      <c r="I362" s="109" t="n">
        <v>46149</v>
      </c>
      <c r="J362" s="57" t="inlineStr"/>
      <c r="K362" s="57">
        <f>IF(J362&lt;&gt;"","完了",IF(I362="","－",IF(I362&lt;=$L$2,"遅延","予定")))</f>
        <v/>
      </c>
      <c r="L362" s="57">
        <f>IF(AND(H362="完了",K362="完了"),"完了",IF(OR(H362="遅延",K362="遅延"),"遅延","進行中"))</f>
        <v/>
      </c>
    </row>
    <row r="363">
      <c r="A363" s="57" t="n">
        <v>359</v>
      </c>
      <c r="B363" s="59" t="inlineStr">
        <is>
          <t>input/基盤チーム/ITB-I-002_ログ基盤.xlsx</t>
        </is>
      </c>
      <c r="C363" s="59" t="inlineStr">
        <is>
          <t>ITB-003_監査ログ</t>
        </is>
      </c>
      <c r="D363" s="57" t="inlineStr">
        <is>
          <t>基盤</t>
        </is>
      </c>
      <c r="E363" s="57" t="inlineStr">
        <is>
          <t>ITB-003_監査ログ-008</t>
        </is>
      </c>
      <c r="F363" s="109" t="n">
        <v>46172</v>
      </c>
      <c r="G363" s="57" t="inlineStr"/>
      <c r="H363" s="57">
        <f>IF(G363&lt;&gt;"","完了",IF(F363="","－",IF(F363&lt;=$L$2,"遅延","予定")))</f>
        <v/>
      </c>
      <c r="I363" s="109" t="n">
        <v>46173</v>
      </c>
      <c r="J363" s="57" t="inlineStr"/>
      <c r="K363" s="57">
        <f>IF(J363&lt;&gt;"","完了",IF(I363="","－",IF(I363&lt;=$L$2,"遅延","予定")))</f>
        <v/>
      </c>
      <c r="L363" s="57">
        <f>IF(AND(H363="完了",K363="完了"),"完了",IF(OR(H363="遅延",K363="遅延"),"遅延","進行中"))</f>
        <v/>
      </c>
    </row>
  </sheetData>
  <mergeCells count="1">
    <mergeCell ref="A1:L1"/>
  </mergeCells>
  <conditionalFormatting sqref="H5:H363">
    <cfRule type="expression" priority="1" dxfId="1">
      <formula>H5="完了"</formula>
    </cfRule>
    <cfRule type="expression" priority="4" dxfId="0">
      <formula>H5="遅延"</formula>
    </cfRule>
    <cfRule type="expression" priority="7" dxfId="10">
      <formula>H5="予定"</formula>
    </cfRule>
  </conditionalFormatting>
  <conditionalFormatting sqref="K5:K363">
    <cfRule type="expression" priority="2" dxfId="1">
      <formula>K5="完了"</formula>
    </cfRule>
    <cfRule type="expression" priority="5" dxfId="0">
      <formula>K5="遅延"</formula>
    </cfRule>
    <cfRule type="expression" priority="8" dxfId="10">
      <formula>K5="予定"</formula>
    </cfRule>
  </conditionalFormatting>
  <conditionalFormatting sqref="L5:L363">
    <cfRule type="expression" priority="3" dxfId="1">
      <formula>L5="完了"</formula>
    </cfRule>
    <cfRule type="expression" priority="6" dxfId="0">
      <formula>L5="遅延"</formula>
    </cfRule>
    <cfRule type="expression" priority="9" dxfId="11">
      <formula>L5="進行中"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C1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</cols>
  <sheetData>
    <row r="1" ht="25" customHeight="1">
      <c r="A1" s="110" t="inlineStr">
        <is>
          <t>祝日マスタ</t>
        </is>
      </c>
    </row>
    <row r="2">
      <c r="A2" s="113" t="inlineStr">
        <is>
          <t>※ 祝日を追加・編集してください。日付形式: YYYY/MM/DD</t>
        </is>
      </c>
    </row>
    <row r="4">
      <c r="A4" s="64" t="inlineStr">
        <is>
          <t>日付</t>
        </is>
      </c>
      <c r="B4" s="64" t="inlineStr">
        <is>
          <t>祝日名</t>
        </is>
      </c>
      <c r="C4" s="64" t="inlineStr">
        <is>
          <t>備考</t>
        </is>
      </c>
    </row>
    <row r="5">
      <c r="A5" s="114" t="n">
        <v>45292</v>
      </c>
      <c r="B5" s="4" t="inlineStr">
        <is>
          <t>元日</t>
        </is>
      </c>
      <c r="C5" s="4" t="inlineStr"/>
    </row>
    <row r="6">
      <c r="A6" s="114" t="n">
        <v>45293</v>
      </c>
      <c r="B6" s="4" t="inlineStr">
        <is>
          <t>年始休暇</t>
        </is>
      </c>
      <c r="C6" s="4" t="inlineStr"/>
    </row>
    <row r="7">
      <c r="A7" s="114" t="n">
        <v>45294</v>
      </c>
      <c r="B7" s="4" t="inlineStr">
        <is>
          <t>年始休暇</t>
        </is>
      </c>
      <c r="C7" s="4" t="inlineStr"/>
    </row>
    <row r="8">
      <c r="A8" s="114" t="n">
        <v>45299</v>
      </c>
      <c r="B8" s="4" t="inlineStr">
        <is>
          <t>成人の日</t>
        </is>
      </c>
      <c r="C8" s="4" t="inlineStr"/>
    </row>
    <row r="9">
      <c r="A9" s="114" t="n">
        <v>45333</v>
      </c>
      <c r="B9" s="4" t="inlineStr">
        <is>
          <t>建国記念の日</t>
        </is>
      </c>
      <c r="C9" s="4" t="inlineStr"/>
    </row>
    <row r="10">
      <c r="A10" s="114" t="n">
        <v>45334</v>
      </c>
      <c r="B10" s="4" t="inlineStr">
        <is>
          <t>振替休日</t>
        </is>
      </c>
      <c r="C10" s="4" t="inlineStr"/>
    </row>
    <row r="11">
      <c r="A11" s="114" t="n">
        <v>45345</v>
      </c>
      <c r="B11" s="4" t="inlineStr">
        <is>
          <t>天皇誕生日</t>
        </is>
      </c>
      <c r="C11" s="4" t="inlineStr"/>
    </row>
    <row r="12">
      <c r="A12" s="114" t="n">
        <v>45371</v>
      </c>
      <c r="B12" s="4" t="inlineStr">
        <is>
          <t>春分の日</t>
        </is>
      </c>
      <c r="C12" s="4" t="inlineStr"/>
    </row>
    <row r="13">
      <c r="A13" s="114" t="n">
        <v>45411</v>
      </c>
      <c r="B13" s="4" t="inlineStr">
        <is>
          <t>昭和の日</t>
        </is>
      </c>
      <c r="C13" s="4" t="inlineStr"/>
    </row>
    <row r="14">
      <c r="A14" s="114" t="n">
        <v>45415</v>
      </c>
      <c r="B14" s="4" t="inlineStr">
        <is>
          <t>憲法記念日</t>
        </is>
      </c>
      <c r="C14" s="4" t="inlineStr"/>
    </row>
    <row r="15">
      <c r="A15" s="114" t="n">
        <v>45416</v>
      </c>
      <c r="B15" s="4" t="inlineStr">
        <is>
          <t>みどりの日</t>
        </is>
      </c>
      <c r="C15" s="4" t="inlineStr"/>
    </row>
    <row r="16">
      <c r="A16" s="114" t="n">
        <v>45417</v>
      </c>
      <c r="B16" s="4" t="inlineStr">
        <is>
          <t>こどもの日</t>
        </is>
      </c>
      <c r="C16" s="4" t="inlineStr"/>
    </row>
    <row r="17">
      <c r="A17" s="114" t="n">
        <v>45418</v>
      </c>
      <c r="B17" s="4" t="inlineStr">
        <is>
          <t>振替休日</t>
        </is>
      </c>
      <c r="C17" s="4" t="inlineStr"/>
    </row>
    <row r="18">
      <c r="A18" s="114" t="n">
        <v>45488</v>
      </c>
      <c r="B18" s="4" t="inlineStr">
        <is>
          <t>海の日</t>
        </is>
      </c>
      <c r="C18" s="4" t="inlineStr"/>
    </row>
    <row r="19">
      <c r="A19" s="114" t="n">
        <v>45515</v>
      </c>
      <c r="B19" s="4" t="inlineStr">
        <is>
          <t>山の日</t>
        </is>
      </c>
      <c r="C19" s="4" t="inlineStr"/>
    </row>
    <row r="20">
      <c r="A20" s="114" t="n">
        <v>45516</v>
      </c>
      <c r="B20" s="4" t="inlineStr">
        <is>
          <t>振替休日</t>
        </is>
      </c>
      <c r="C20" s="4" t="inlineStr"/>
    </row>
    <row r="21">
      <c r="A21" s="114" t="n">
        <v>45551</v>
      </c>
      <c r="B21" s="4" t="inlineStr">
        <is>
          <t>敬老の日</t>
        </is>
      </c>
      <c r="C21" s="4" t="inlineStr"/>
    </row>
    <row r="22">
      <c r="A22" s="114" t="n">
        <v>45557</v>
      </c>
      <c r="B22" s="4" t="inlineStr">
        <is>
          <t>秋分の日</t>
        </is>
      </c>
      <c r="C22" s="4" t="inlineStr"/>
    </row>
    <row r="23">
      <c r="A23" s="114" t="n">
        <v>45558</v>
      </c>
      <c r="B23" s="4" t="inlineStr">
        <is>
          <t>振替休日</t>
        </is>
      </c>
      <c r="C23" s="4" t="inlineStr"/>
    </row>
    <row r="24">
      <c r="A24" s="114" t="n">
        <v>45579</v>
      </c>
      <c r="B24" s="4" t="inlineStr">
        <is>
          <t>スポーツの日</t>
        </is>
      </c>
      <c r="C24" s="4" t="inlineStr"/>
    </row>
    <row r="25">
      <c r="A25" s="114" t="n">
        <v>45599</v>
      </c>
      <c r="B25" s="4" t="inlineStr">
        <is>
          <t>文化の日</t>
        </is>
      </c>
      <c r="C25" s="4" t="inlineStr"/>
    </row>
    <row r="26">
      <c r="A26" s="114" t="n">
        <v>45600</v>
      </c>
      <c r="B26" s="4" t="inlineStr">
        <is>
          <t>振替休日</t>
        </is>
      </c>
      <c r="C26" s="4" t="inlineStr"/>
    </row>
    <row r="27">
      <c r="A27" s="114" t="n">
        <v>45619</v>
      </c>
      <c r="B27" s="4" t="inlineStr">
        <is>
          <t>勤労感謝の日</t>
        </is>
      </c>
      <c r="C27" s="4" t="inlineStr"/>
    </row>
    <row r="28">
      <c r="A28" s="114" t="n">
        <v>45656</v>
      </c>
      <c r="B28" s="4" t="inlineStr">
        <is>
          <t>年末休暇</t>
        </is>
      </c>
      <c r="C28" s="4" t="inlineStr"/>
    </row>
    <row r="29">
      <c r="A29" s="114" t="n">
        <v>45657</v>
      </c>
      <c r="B29" s="4" t="inlineStr">
        <is>
          <t>年末休暇</t>
        </is>
      </c>
      <c r="C29" s="4" t="inlineStr"/>
    </row>
    <row r="30">
      <c r="A30" s="114" t="n">
        <v>45658</v>
      </c>
      <c r="B30" s="4" t="inlineStr">
        <is>
          <t>元日</t>
        </is>
      </c>
      <c r="C30" s="4" t="inlineStr"/>
    </row>
    <row r="31">
      <c r="A31" s="114" t="n">
        <v>45659</v>
      </c>
      <c r="B31" s="4" t="inlineStr">
        <is>
          <t>年始休暇</t>
        </is>
      </c>
      <c r="C31" s="4" t="inlineStr"/>
    </row>
    <row r="32">
      <c r="A32" s="114" t="n">
        <v>45660</v>
      </c>
      <c r="B32" s="4" t="inlineStr">
        <is>
          <t>年始休暇</t>
        </is>
      </c>
      <c r="C32" s="4" t="inlineStr"/>
    </row>
    <row r="33">
      <c r="A33" s="114" t="n">
        <v>45670</v>
      </c>
      <c r="B33" s="4" t="inlineStr">
        <is>
          <t>成人の日</t>
        </is>
      </c>
      <c r="C33" s="4" t="inlineStr"/>
    </row>
    <row r="34">
      <c r="A34" s="114" t="n">
        <v>45699</v>
      </c>
      <c r="B34" s="4" t="inlineStr">
        <is>
          <t>建国記念の日</t>
        </is>
      </c>
      <c r="C34" s="4" t="inlineStr"/>
    </row>
    <row r="35">
      <c r="A35" s="114" t="n">
        <v>45711</v>
      </c>
      <c r="B35" s="4" t="inlineStr">
        <is>
          <t>天皇誕生日</t>
        </is>
      </c>
      <c r="C35" s="4" t="inlineStr"/>
    </row>
    <row r="36">
      <c r="A36" s="114" t="n">
        <v>45712</v>
      </c>
      <c r="B36" s="4" t="inlineStr">
        <is>
          <t>振替休日</t>
        </is>
      </c>
      <c r="C36" s="4" t="inlineStr"/>
    </row>
    <row r="37">
      <c r="A37" s="114" t="n">
        <v>45736</v>
      </c>
      <c r="B37" s="4" t="inlineStr">
        <is>
          <t>春分の日</t>
        </is>
      </c>
      <c r="C37" s="4" t="inlineStr"/>
    </row>
    <row r="38">
      <c r="A38" s="114" t="n">
        <v>45776</v>
      </c>
      <c r="B38" s="4" t="inlineStr">
        <is>
          <t>昭和の日</t>
        </is>
      </c>
      <c r="C38" s="4" t="inlineStr"/>
    </row>
    <row r="39">
      <c r="A39" s="114" t="n">
        <v>45780</v>
      </c>
      <c r="B39" s="4" t="inlineStr">
        <is>
          <t>憲法記念日</t>
        </is>
      </c>
      <c r="C39" s="4" t="inlineStr"/>
    </row>
    <row r="40">
      <c r="A40" s="114" t="n">
        <v>45781</v>
      </c>
      <c r="B40" s="4" t="inlineStr">
        <is>
          <t>みどりの日</t>
        </is>
      </c>
      <c r="C40" s="4" t="inlineStr"/>
    </row>
    <row r="41">
      <c r="A41" s="114" t="n">
        <v>45782</v>
      </c>
      <c r="B41" s="4" t="inlineStr">
        <is>
          <t>こどもの日</t>
        </is>
      </c>
      <c r="C41" s="4" t="inlineStr"/>
    </row>
    <row r="42">
      <c r="A42" s="114" t="n">
        <v>45783</v>
      </c>
      <c r="B42" s="4" t="inlineStr">
        <is>
          <t>振替休日</t>
        </is>
      </c>
      <c r="C42" s="4" t="inlineStr"/>
    </row>
    <row r="43">
      <c r="A43" s="114" t="n">
        <v>45859</v>
      </c>
      <c r="B43" s="4" t="inlineStr">
        <is>
          <t>海の日</t>
        </is>
      </c>
      <c r="C43" s="4" t="inlineStr"/>
    </row>
    <row r="44">
      <c r="A44" s="114" t="n">
        <v>45880</v>
      </c>
      <c r="B44" s="4" t="inlineStr">
        <is>
          <t>山の日</t>
        </is>
      </c>
      <c r="C44" s="4" t="inlineStr"/>
    </row>
    <row r="45">
      <c r="A45" s="114" t="n">
        <v>45915</v>
      </c>
      <c r="B45" s="4" t="inlineStr">
        <is>
          <t>敬老の日</t>
        </is>
      </c>
      <c r="C45" s="4" t="inlineStr"/>
    </row>
    <row r="46">
      <c r="A46" s="114" t="n">
        <v>45923</v>
      </c>
      <c r="B46" s="4" t="inlineStr">
        <is>
          <t>秋分の日</t>
        </is>
      </c>
      <c r="C46" s="4" t="inlineStr"/>
    </row>
    <row r="47">
      <c r="A47" s="114" t="n">
        <v>45943</v>
      </c>
      <c r="B47" s="4" t="inlineStr">
        <is>
          <t>スポーツの日</t>
        </is>
      </c>
      <c r="C47" s="4" t="inlineStr"/>
    </row>
    <row r="48">
      <c r="A48" s="114" t="n">
        <v>45964</v>
      </c>
      <c r="B48" s="4" t="inlineStr">
        <is>
          <t>文化の日</t>
        </is>
      </c>
      <c r="C48" s="4" t="inlineStr"/>
    </row>
    <row r="49">
      <c r="A49" s="114" t="n">
        <v>45984</v>
      </c>
      <c r="B49" s="4" t="inlineStr">
        <is>
          <t>勤労感謝の日</t>
        </is>
      </c>
      <c r="C49" s="4" t="inlineStr"/>
    </row>
    <row r="50">
      <c r="A50" s="114" t="n">
        <v>45985</v>
      </c>
      <c r="B50" s="4" t="inlineStr">
        <is>
          <t>振替休日</t>
        </is>
      </c>
      <c r="C50" s="4" t="inlineStr"/>
    </row>
    <row r="51">
      <c r="A51" s="114" t="n">
        <v>46021</v>
      </c>
      <c r="B51" s="4" t="inlineStr">
        <is>
          <t>年末休暇</t>
        </is>
      </c>
      <c r="C51" s="4" t="inlineStr"/>
    </row>
    <row r="52">
      <c r="A52" s="114" t="n">
        <v>46022</v>
      </c>
      <c r="B52" s="4" t="inlineStr">
        <is>
          <t>年末休暇</t>
        </is>
      </c>
      <c r="C52" s="4" t="inlineStr"/>
    </row>
    <row r="53">
      <c r="A53" s="114" t="n">
        <v>46023</v>
      </c>
      <c r="B53" s="4" t="inlineStr">
        <is>
          <t>元日</t>
        </is>
      </c>
      <c r="C53" s="4" t="inlineStr"/>
    </row>
    <row r="54">
      <c r="A54" s="114" t="n">
        <v>46024</v>
      </c>
      <c r="B54" s="4" t="inlineStr">
        <is>
          <t>年始休暇</t>
        </is>
      </c>
      <c r="C54" s="4" t="inlineStr"/>
    </row>
    <row r="55">
      <c r="A55" s="114" t="n">
        <v>46025</v>
      </c>
      <c r="B55" s="4" t="inlineStr">
        <is>
          <t>年始休暇</t>
        </is>
      </c>
      <c r="C55" s="4" t="inlineStr"/>
    </row>
    <row r="56">
      <c r="A56" s="114" t="n">
        <v>46034</v>
      </c>
      <c r="B56" s="4" t="inlineStr">
        <is>
          <t>成人の日</t>
        </is>
      </c>
      <c r="C56" s="4" t="inlineStr"/>
    </row>
    <row r="57">
      <c r="A57" s="114" t="n">
        <v>46064</v>
      </c>
      <c r="B57" s="4" t="inlineStr">
        <is>
          <t>建国記念の日</t>
        </is>
      </c>
      <c r="C57" s="4" t="inlineStr"/>
    </row>
    <row r="58">
      <c r="A58" s="114" t="n">
        <v>46076</v>
      </c>
      <c r="B58" s="4" t="inlineStr">
        <is>
          <t>天皇誕生日</t>
        </is>
      </c>
      <c r="C58" s="4" t="inlineStr"/>
    </row>
    <row r="59">
      <c r="A59" s="114" t="n">
        <v>46101</v>
      </c>
      <c r="B59" s="4" t="inlineStr">
        <is>
          <t>春分の日</t>
        </is>
      </c>
      <c r="C59" s="4" t="inlineStr"/>
    </row>
    <row r="60">
      <c r="A60" s="114" t="n">
        <v>46141</v>
      </c>
      <c r="B60" s="4" t="inlineStr">
        <is>
          <t>昭和の日</t>
        </is>
      </c>
      <c r="C60" s="4" t="inlineStr"/>
    </row>
    <row r="61">
      <c r="A61" s="114" t="n">
        <v>46145</v>
      </c>
      <c r="B61" s="4" t="inlineStr">
        <is>
          <t>憲法記念日</t>
        </is>
      </c>
      <c r="C61" s="4" t="inlineStr"/>
    </row>
    <row r="62">
      <c r="A62" s="114" t="n">
        <v>46146</v>
      </c>
      <c r="B62" s="4" t="inlineStr">
        <is>
          <t>みどりの日</t>
        </is>
      </c>
      <c r="C62" s="4" t="inlineStr"/>
    </row>
    <row r="63">
      <c r="A63" s="114" t="n">
        <v>46147</v>
      </c>
      <c r="B63" s="4" t="inlineStr">
        <is>
          <t>こどもの日</t>
        </is>
      </c>
      <c r="C63" s="4" t="inlineStr"/>
    </row>
    <row r="64">
      <c r="A64" s="114" t="n">
        <v>46148</v>
      </c>
      <c r="B64" s="4" t="inlineStr">
        <is>
          <t>振替休日</t>
        </is>
      </c>
      <c r="C64" s="4" t="inlineStr"/>
    </row>
    <row r="65">
      <c r="A65" s="114" t="n">
        <v>46223</v>
      </c>
      <c r="B65" s="4" t="inlineStr">
        <is>
          <t>海の日</t>
        </is>
      </c>
      <c r="C65" s="4" t="inlineStr"/>
    </row>
    <row r="66">
      <c r="A66" s="114" t="n">
        <v>46245</v>
      </c>
      <c r="B66" s="4" t="inlineStr">
        <is>
          <t>山の日</t>
        </is>
      </c>
      <c r="C66" s="4" t="inlineStr"/>
    </row>
    <row r="67">
      <c r="A67" s="114" t="n">
        <v>46286</v>
      </c>
      <c r="B67" s="4" t="inlineStr">
        <is>
          <t>敬老の日</t>
        </is>
      </c>
      <c r="C67" s="4" t="inlineStr"/>
    </row>
    <row r="68">
      <c r="A68" s="114" t="n">
        <v>46287</v>
      </c>
      <c r="B68" s="4" t="inlineStr">
        <is>
          <t>国民の休日</t>
        </is>
      </c>
      <c r="C68" s="4" t="inlineStr"/>
    </row>
    <row r="69">
      <c r="A69" s="114" t="n">
        <v>46288</v>
      </c>
      <c r="B69" s="4" t="inlineStr">
        <is>
          <t>秋分の日</t>
        </is>
      </c>
      <c r="C69" s="4" t="inlineStr"/>
    </row>
    <row r="70">
      <c r="A70" s="114" t="n">
        <v>46307</v>
      </c>
      <c r="B70" s="4" t="inlineStr">
        <is>
          <t>スポーツの日</t>
        </is>
      </c>
      <c r="C70" s="4" t="inlineStr"/>
    </row>
    <row r="71">
      <c r="A71" s="114" t="n">
        <v>46329</v>
      </c>
      <c r="B71" s="4" t="inlineStr">
        <is>
          <t>文化の日</t>
        </is>
      </c>
      <c r="C71" s="4" t="inlineStr"/>
    </row>
    <row r="72">
      <c r="A72" s="114" t="n">
        <v>46349</v>
      </c>
      <c r="B72" s="4" t="inlineStr">
        <is>
          <t>勤労感謝の日</t>
        </is>
      </c>
      <c r="C72" s="4" t="inlineStr"/>
    </row>
    <row r="73">
      <c r="A73" s="114" t="n">
        <v>46386</v>
      </c>
      <c r="B73" s="4" t="inlineStr">
        <is>
          <t>年末休暇</t>
        </is>
      </c>
      <c r="C73" s="4" t="inlineStr"/>
    </row>
    <row r="74">
      <c r="A74" s="114" t="n">
        <v>46387</v>
      </c>
      <c r="B74" s="4" t="inlineStr">
        <is>
          <t>年末休暇</t>
        </is>
      </c>
      <c r="C74" s="4" t="inlineStr"/>
    </row>
    <row r="75">
      <c r="A75" s="114" t="n">
        <v>46388</v>
      </c>
      <c r="B75" s="4" t="inlineStr">
        <is>
          <t>元日</t>
        </is>
      </c>
      <c r="C75" s="4" t="inlineStr"/>
    </row>
    <row r="76">
      <c r="A76" s="114" t="n">
        <v>46389</v>
      </c>
      <c r="B76" s="4" t="inlineStr">
        <is>
          <t>年始休暇</t>
        </is>
      </c>
      <c r="C76" s="4" t="inlineStr"/>
    </row>
    <row r="77">
      <c r="A77" s="114" t="n">
        <v>46390</v>
      </c>
      <c r="B77" s="4" t="inlineStr">
        <is>
          <t>年始休暇</t>
        </is>
      </c>
      <c r="C77" s="4" t="inlineStr"/>
    </row>
    <row r="78">
      <c r="A78" s="114" t="n">
        <v>46398</v>
      </c>
      <c r="B78" s="4" t="inlineStr">
        <is>
          <t>成人の日</t>
        </is>
      </c>
      <c r="C78" s="4" t="inlineStr"/>
    </row>
    <row r="79">
      <c r="A79" s="114" t="n">
        <v>46429</v>
      </c>
      <c r="B79" s="4" t="inlineStr">
        <is>
          <t>建国記念の日</t>
        </is>
      </c>
      <c r="C79" s="4" t="inlineStr"/>
    </row>
    <row r="80">
      <c r="A80" s="114" t="n">
        <v>46441</v>
      </c>
      <c r="B80" s="4" t="inlineStr">
        <is>
          <t>天皇誕生日</t>
        </is>
      </c>
      <c r="C80" s="4" t="inlineStr"/>
    </row>
    <row r="81">
      <c r="A81" s="114" t="n">
        <v>46467</v>
      </c>
      <c r="B81" s="4" t="inlineStr">
        <is>
          <t>春分の日</t>
        </is>
      </c>
      <c r="C81" s="4" t="inlineStr"/>
    </row>
    <row r="82">
      <c r="A82" s="114" t="n">
        <v>46468</v>
      </c>
      <c r="B82" s="4" t="inlineStr">
        <is>
          <t>振替休日</t>
        </is>
      </c>
      <c r="C82" s="4" t="inlineStr"/>
    </row>
    <row r="83">
      <c r="A83" s="114" t="n">
        <v>46506</v>
      </c>
      <c r="B83" s="4" t="inlineStr">
        <is>
          <t>昭和の日</t>
        </is>
      </c>
      <c r="C83" s="4" t="inlineStr"/>
    </row>
    <row r="84">
      <c r="A84" s="114" t="n">
        <v>46510</v>
      </c>
      <c r="B84" s="4" t="inlineStr">
        <is>
          <t>憲法記念日</t>
        </is>
      </c>
      <c r="C84" s="4" t="inlineStr"/>
    </row>
    <row r="85">
      <c r="A85" s="114" t="n">
        <v>46511</v>
      </c>
      <c r="B85" s="4" t="inlineStr">
        <is>
          <t>みどりの日</t>
        </is>
      </c>
      <c r="C85" s="4" t="inlineStr"/>
    </row>
    <row r="86">
      <c r="A86" s="114" t="n">
        <v>46512</v>
      </c>
      <c r="B86" s="4" t="inlineStr">
        <is>
          <t>こどもの日</t>
        </is>
      </c>
      <c r="C86" s="4" t="inlineStr"/>
    </row>
    <row r="87">
      <c r="A87" s="114" t="n">
        <v>46587</v>
      </c>
      <c r="B87" s="4" t="inlineStr">
        <is>
          <t>海の日</t>
        </is>
      </c>
      <c r="C87" s="4" t="inlineStr"/>
    </row>
    <row r="88">
      <c r="A88" s="114" t="n">
        <v>46610</v>
      </c>
      <c r="B88" s="4" t="inlineStr">
        <is>
          <t>山の日</t>
        </is>
      </c>
      <c r="C88" s="4" t="inlineStr"/>
    </row>
    <row r="89">
      <c r="A89" s="114" t="n">
        <v>46650</v>
      </c>
      <c r="B89" s="4" t="inlineStr">
        <is>
          <t>敬老の日</t>
        </is>
      </c>
      <c r="C89" s="4" t="inlineStr"/>
    </row>
    <row r="90">
      <c r="A90" s="114" t="n">
        <v>46653</v>
      </c>
      <c r="B90" s="4" t="inlineStr">
        <is>
          <t>秋分の日</t>
        </is>
      </c>
      <c r="C90" s="4" t="inlineStr"/>
    </row>
    <row r="91">
      <c r="A91" s="114" t="n">
        <v>46671</v>
      </c>
      <c r="B91" s="4" t="inlineStr">
        <is>
          <t>スポーツの日</t>
        </is>
      </c>
      <c r="C91" s="4" t="inlineStr"/>
    </row>
    <row r="92">
      <c r="A92" s="114" t="n">
        <v>46694</v>
      </c>
      <c r="B92" s="4" t="inlineStr">
        <is>
          <t>文化の日</t>
        </is>
      </c>
      <c r="C92" s="4" t="inlineStr"/>
    </row>
    <row r="93">
      <c r="A93" s="114" t="n">
        <v>46714</v>
      </c>
      <c r="B93" s="4" t="inlineStr">
        <is>
          <t>勤労感謝の日</t>
        </is>
      </c>
      <c r="C93" s="4" t="inlineStr"/>
    </row>
    <row r="94">
      <c r="A94" s="114" t="n">
        <v>46751</v>
      </c>
      <c r="B94" s="4" t="inlineStr">
        <is>
          <t>年末休暇</t>
        </is>
      </c>
      <c r="C94" s="4" t="inlineStr"/>
    </row>
    <row r="95">
      <c r="A95" s="114" t="n">
        <v>46752</v>
      </c>
      <c r="B95" s="4" t="inlineStr">
        <is>
          <t>年末休暇</t>
        </is>
      </c>
      <c r="C95" s="4" t="inlineStr"/>
    </row>
    <row r="96">
      <c r="A96" s="114" t="n">
        <v>46753</v>
      </c>
      <c r="B96" s="4" t="inlineStr">
        <is>
          <t>元日</t>
        </is>
      </c>
      <c r="C96" s="4" t="inlineStr"/>
    </row>
    <row r="97">
      <c r="A97" s="114" t="n">
        <v>46754</v>
      </c>
      <c r="B97" s="4" t="inlineStr">
        <is>
          <t>年始休暇</t>
        </is>
      </c>
      <c r="C97" s="4" t="inlineStr"/>
    </row>
    <row r="98">
      <c r="A98" s="114" t="n">
        <v>46755</v>
      </c>
      <c r="B98" s="4" t="inlineStr">
        <is>
          <t>年始休暇</t>
        </is>
      </c>
      <c r="C98" s="4" t="inlineStr"/>
    </row>
    <row r="99">
      <c r="A99" s="114" t="n">
        <v>46762</v>
      </c>
      <c r="B99" s="4" t="inlineStr">
        <is>
          <t>成人の日</t>
        </is>
      </c>
      <c r="C99" s="4" t="inlineStr"/>
    </row>
    <row r="100">
      <c r="A100" s="114" t="n">
        <v>46794</v>
      </c>
      <c r="B100" s="4" t="inlineStr">
        <is>
          <t>建国記念の日</t>
        </is>
      </c>
      <c r="C100" s="4" t="inlineStr"/>
    </row>
    <row r="101">
      <c r="A101" s="114" t="n">
        <v>46806</v>
      </c>
      <c r="B101" s="4" t="inlineStr">
        <is>
          <t>天皇誕生日</t>
        </is>
      </c>
      <c r="C101" s="4" t="inlineStr"/>
    </row>
    <row r="102">
      <c r="A102" s="114" t="n">
        <v>46832</v>
      </c>
      <c r="B102" s="4" t="inlineStr">
        <is>
          <t>春分の日</t>
        </is>
      </c>
      <c r="C102" s="4" t="inlineStr"/>
    </row>
    <row r="103">
      <c r="A103" s="114" t="n">
        <v>46872</v>
      </c>
      <c r="B103" s="4" t="inlineStr">
        <is>
          <t>昭和の日</t>
        </is>
      </c>
      <c r="C103" s="4" t="inlineStr"/>
    </row>
    <row r="104">
      <c r="A104" s="114" t="n">
        <v>46876</v>
      </c>
      <c r="B104" s="4" t="inlineStr">
        <is>
          <t>憲法記念日</t>
        </is>
      </c>
      <c r="C104" s="4" t="inlineStr"/>
    </row>
    <row r="105">
      <c r="A105" s="114" t="n">
        <v>46877</v>
      </c>
      <c r="B105" s="4" t="inlineStr">
        <is>
          <t>みどりの日</t>
        </is>
      </c>
      <c r="C105" s="4" t="inlineStr"/>
    </row>
    <row r="106">
      <c r="A106" s="114" t="n">
        <v>46878</v>
      </c>
      <c r="B106" s="4" t="inlineStr">
        <is>
          <t>こどもの日</t>
        </is>
      </c>
      <c r="C106" s="4" t="inlineStr"/>
    </row>
    <row r="107">
      <c r="A107" s="114" t="n">
        <v>46951</v>
      </c>
      <c r="B107" s="4" t="inlineStr">
        <is>
          <t>海の日</t>
        </is>
      </c>
      <c r="C107" s="4" t="inlineStr"/>
    </row>
    <row r="108">
      <c r="A108" s="114" t="n">
        <v>46976</v>
      </c>
      <c r="B108" s="4" t="inlineStr">
        <is>
          <t>山の日</t>
        </is>
      </c>
      <c r="C108" s="4" t="inlineStr"/>
    </row>
    <row r="109">
      <c r="A109" s="114" t="n">
        <v>47014</v>
      </c>
      <c r="B109" s="4" t="inlineStr">
        <is>
          <t>敬老の日</t>
        </is>
      </c>
      <c r="C109" s="4" t="inlineStr"/>
    </row>
    <row r="110">
      <c r="A110" s="114" t="n">
        <v>47018</v>
      </c>
      <c r="B110" s="4" t="inlineStr">
        <is>
          <t>秋分の日</t>
        </is>
      </c>
      <c r="C110" s="4" t="inlineStr"/>
    </row>
    <row r="111">
      <c r="A111" s="114" t="n">
        <v>47035</v>
      </c>
      <c r="B111" s="4" t="inlineStr">
        <is>
          <t>スポーツの日</t>
        </is>
      </c>
      <c r="C111" s="4" t="inlineStr"/>
    </row>
    <row r="112">
      <c r="A112" s="114" t="n">
        <v>47060</v>
      </c>
      <c r="B112" s="4" t="inlineStr">
        <is>
          <t>文化の日</t>
        </is>
      </c>
      <c r="C112" s="4" t="inlineStr"/>
    </row>
    <row r="113">
      <c r="A113" s="114" t="n">
        <v>47080</v>
      </c>
      <c r="B113" s="4" t="inlineStr">
        <is>
          <t>勤労感謝の日</t>
        </is>
      </c>
      <c r="C113" s="4" t="inlineStr"/>
    </row>
    <row r="114">
      <c r="A114" s="114" t="n">
        <v>47117</v>
      </c>
      <c r="B114" s="4" t="inlineStr">
        <is>
          <t>年末休暇</t>
        </is>
      </c>
      <c r="C114" s="4" t="inlineStr"/>
    </row>
    <row r="115">
      <c r="A115" s="114" t="n">
        <v>47118</v>
      </c>
      <c r="B115" s="4" t="inlineStr">
        <is>
          <t>年末休暇</t>
        </is>
      </c>
      <c r="C115" s="4" t="inlineStr"/>
    </row>
    <row r="116">
      <c r="A116" s="114" t="n">
        <v>47119</v>
      </c>
      <c r="B116" s="4" t="inlineStr">
        <is>
          <t>元日</t>
        </is>
      </c>
      <c r="C116" s="4" t="inlineStr"/>
    </row>
    <row r="117">
      <c r="A117" s="114" t="n">
        <v>47120</v>
      </c>
      <c r="B117" s="4" t="inlineStr">
        <is>
          <t>年始休暇</t>
        </is>
      </c>
      <c r="C117" s="4" t="inlineStr"/>
    </row>
    <row r="118">
      <c r="A118" s="114" t="n">
        <v>47121</v>
      </c>
      <c r="B118" s="4" t="inlineStr">
        <is>
          <t>年始休暇</t>
        </is>
      </c>
      <c r="C118" s="4" t="inlineStr"/>
    </row>
    <row r="119">
      <c r="A119" s="114" t="n">
        <v>47126</v>
      </c>
      <c r="B119" s="4" t="inlineStr">
        <is>
          <t>成人の日</t>
        </is>
      </c>
      <c r="C119" s="4" t="inlineStr"/>
    </row>
    <row r="120">
      <c r="A120" s="114" t="n">
        <v>47160</v>
      </c>
      <c r="B120" s="4" t="inlineStr">
        <is>
          <t>建国記念の日</t>
        </is>
      </c>
      <c r="C120" s="4" t="inlineStr"/>
    </row>
    <row r="121">
      <c r="A121" s="114" t="n">
        <v>47161</v>
      </c>
      <c r="B121" s="4" t="inlineStr">
        <is>
          <t>振替休日</t>
        </is>
      </c>
      <c r="C121" s="4" t="inlineStr"/>
    </row>
    <row r="122">
      <c r="A122" s="114" t="n">
        <v>47172</v>
      </c>
      <c r="B122" s="4" t="inlineStr">
        <is>
          <t>天皇誕生日</t>
        </is>
      </c>
      <c r="C122" s="4" t="inlineStr"/>
    </row>
    <row r="123">
      <c r="A123" s="114" t="n">
        <v>47197</v>
      </c>
      <c r="B123" s="4" t="inlineStr">
        <is>
          <t>春分の日</t>
        </is>
      </c>
      <c r="C123" s="4" t="inlineStr"/>
    </row>
    <row r="124">
      <c r="A124" s="114" t="n">
        <v>47237</v>
      </c>
      <c r="B124" s="4" t="inlineStr">
        <is>
          <t>昭和の日</t>
        </is>
      </c>
      <c r="C124" s="4" t="inlineStr"/>
    </row>
    <row r="125">
      <c r="A125" s="114" t="n">
        <v>47238</v>
      </c>
      <c r="B125" s="4" t="inlineStr">
        <is>
          <t>振替休日</t>
        </is>
      </c>
      <c r="C125" s="4" t="inlineStr"/>
    </row>
    <row r="126">
      <c r="A126" s="114" t="n">
        <v>47241</v>
      </c>
      <c r="B126" s="4" t="inlineStr">
        <is>
          <t>憲法記念日</t>
        </is>
      </c>
      <c r="C126" s="4" t="inlineStr"/>
    </row>
    <row r="127">
      <c r="A127" s="114" t="n">
        <v>47242</v>
      </c>
      <c r="B127" s="4" t="inlineStr">
        <is>
          <t>みどりの日</t>
        </is>
      </c>
      <c r="C127" s="4" t="inlineStr"/>
    </row>
    <row r="128">
      <c r="A128" s="114" t="n">
        <v>47243</v>
      </c>
      <c r="B128" s="4" t="inlineStr">
        <is>
          <t>こどもの日</t>
        </is>
      </c>
      <c r="C128" s="4" t="inlineStr"/>
    </row>
    <row r="129">
      <c r="A129" s="114" t="n">
        <v>47315</v>
      </c>
      <c r="B129" s="4" t="inlineStr">
        <is>
          <t>海の日</t>
        </is>
      </c>
      <c r="C129" s="4" t="inlineStr"/>
    </row>
    <row r="130">
      <c r="A130" s="114" t="n">
        <v>47341</v>
      </c>
      <c r="B130" s="4" t="inlineStr">
        <is>
          <t>山の日</t>
        </is>
      </c>
      <c r="C130" s="4" t="inlineStr"/>
    </row>
    <row r="131">
      <c r="A131" s="114" t="n">
        <v>47378</v>
      </c>
      <c r="B131" s="4" t="inlineStr">
        <is>
          <t>敬老の日</t>
        </is>
      </c>
      <c r="C131" s="4" t="inlineStr"/>
    </row>
    <row r="132">
      <c r="A132" s="114" t="n">
        <v>47384</v>
      </c>
      <c r="B132" s="4" t="inlineStr">
        <is>
          <t>秋分の日</t>
        </is>
      </c>
      <c r="C132" s="4" t="inlineStr"/>
    </row>
    <row r="133">
      <c r="A133" s="114" t="n">
        <v>47385</v>
      </c>
      <c r="B133" s="4" t="inlineStr">
        <is>
          <t>振替休日</t>
        </is>
      </c>
      <c r="C133" s="4" t="inlineStr"/>
    </row>
    <row r="134">
      <c r="A134" s="114" t="n">
        <v>47399</v>
      </c>
      <c r="B134" s="4" t="inlineStr">
        <is>
          <t>スポーツの日</t>
        </is>
      </c>
      <c r="C134" s="4" t="inlineStr"/>
    </row>
    <row r="135">
      <c r="A135" s="114" t="n">
        <v>47425</v>
      </c>
      <c r="B135" s="4" t="inlineStr">
        <is>
          <t>文化の日</t>
        </is>
      </c>
      <c r="C135" s="4" t="inlineStr"/>
    </row>
    <row r="136">
      <c r="A136" s="114" t="n">
        <v>47445</v>
      </c>
      <c r="B136" s="4" t="inlineStr">
        <is>
          <t>勤労感謝の日</t>
        </is>
      </c>
      <c r="C136" s="4" t="inlineStr"/>
    </row>
    <row r="137">
      <c r="A137" s="114" t="n">
        <v>47482</v>
      </c>
      <c r="B137" s="4" t="inlineStr">
        <is>
          <t>年末休暇</t>
        </is>
      </c>
      <c r="C137" s="4" t="inlineStr"/>
    </row>
    <row r="138">
      <c r="A138" s="114" t="n">
        <v>47483</v>
      </c>
      <c r="B138" s="4" t="inlineStr">
        <is>
          <t>年末休暇</t>
        </is>
      </c>
      <c r="C138" s="4" t="inlineStr"/>
    </row>
    <row r="139">
      <c r="A139" s="114" t="n">
        <v>47484</v>
      </c>
      <c r="B139" s="4" t="inlineStr">
        <is>
          <t>元日</t>
        </is>
      </c>
      <c r="C139" s="4" t="inlineStr"/>
    </row>
    <row r="140">
      <c r="A140" s="114" t="n">
        <v>47485</v>
      </c>
      <c r="B140" s="4" t="inlineStr">
        <is>
          <t>年始休暇</t>
        </is>
      </c>
      <c r="C140" s="4" t="inlineStr"/>
    </row>
    <row r="141">
      <c r="A141" s="114" t="n">
        <v>47486</v>
      </c>
      <c r="B141" s="4" t="inlineStr">
        <is>
          <t>年始休暇</t>
        </is>
      </c>
      <c r="C141" s="4" t="inlineStr"/>
    </row>
    <row r="142">
      <c r="A142" s="114" t="n">
        <v>47497</v>
      </c>
      <c r="B142" s="4" t="inlineStr">
        <is>
          <t>成人の日</t>
        </is>
      </c>
      <c r="C142" s="4" t="inlineStr"/>
    </row>
    <row r="143">
      <c r="A143" s="114" t="n">
        <v>47525</v>
      </c>
      <c r="B143" s="4" t="inlineStr">
        <is>
          <t>建国記念の日</t>
        </is>
      </c>
      <c r="C143" s="4" t="inlineStr"/>
    </row>
    <row r="144">
      <c r="A144" s="114" t="n">
        <v>47537</v>
      </c>
      <c r="B144" s="4" t="inlineStr">
        <is>
          <t>天皇誕生日</t>
        </is>
      </c>
      <c r="C144" s="4" t="inlineStr"/>
    </row>
    <row r="145">
      <c r="A145" s="114" t="n">
        <v>47562</v>
      </c>
      <c r="B145" s="4" t="inlineStr">
        <is>
          <t>春分の日</t>
        </is>
      </c>
      <c r="C145" s="4" t="inlineStr"/>
    </row>
    <row r="146">
      <c r="A146" s="114" t="n">
        <v>47602</v>
      </c>
      <c r="B146" s="4" t="inlineStr">
        <is>
          <t>昭和の日</t>
        </is>
      </c>
      <c r="C146" s="4" t="inlineStr"/>
    </row>
    <row r="147">
      <c r="A147" s="114" t="n">
        <v>47606</v>
      </c>
      <c r="B147" s="4" t="inlineStr">
        <is>
          <t>憲法記念日</t>
        </is>
      </c>
      <c r="C147" s="4" t="inlineStr"/>
    </row>
    <row r="148">
      <c r="A148" s="114" t="n">
        <v>47607</v>
      </c>
      <c r="B148" s="4" t="inlineStr">
        <is>
          <t>みどりの日</t>
        </is>
      </c>
      <c r="C148" s="4" t="inlineStr"/>
    </row>
    <row r="149">
      <c r="A149" s="114" t="n">
        <v>47608</v>
      </c>
      <c r="B149" s="4" t="inlineStr">
        <is>
          <t>こどもの日</t>
        </is>
      </c>
      <c r="C149" s="4" t="inlineStr"/>
    </row>
    <row r="150">
      <c r="A150" s="114" t="n">
        <v>47609</v>
      </c>
      <c r="B150" s="4" t="inlineStr">
        <is>
          <t>振替休日</t>
        </is>
      </c>
      <c r="C150" s="4" t="inlineStr"/>
    </row>
    <row r="151">
      <c r="A151" s="114" t="n">
        <v>47679</v>
      </c>
      <c r="B151" s="4" t="inlineStr">
        <is>
          <t>海の日</t>
        </is>
      </c>
      <c r="C151" s="4" t="inlineStr"/>
    </row>
    <row r="152">
      <c r="A152" s="114" t="n">
        <v>47706</v>
      </c>
      <c r="B152" s="4" t="inlineStr">
        <is>
          <t>山の日</t>
        </is>
      </c>
      <c r="C152" s="4" t="inlineStr"/>
    </row>
    <row r="153">
      <c r="A153" s="114" t="n">
        <v>47707</v>
      </c>
      <c r="B153" s="4" t="inlineStr">
        <is>
          <t>振替休日</t>
        </is>
      </c>
      <c r="C153" s="4" t="inlineStr"/>
    </row>
    <row r="154">
      <c r="A154" s="114" t="n">
        <v>47742</v>
      </c>
      <c r="B154" s="4" t="inlineStr">
        <is>
          <t>敬老の日</t>
        </is>
      </c>
      <c r="C154" s="4" t="inlineStr"/>
    </row>
    <row r="155">
      <c r="A155" s="114" t="n">
        <v>47749</v>
      </c>
      <c r="B155" s="4" t="inlineStr">
        <is>
          <t>秋分の日</t>
        </is>
      </c>
      <c r="C155" s="4" t="inlineStr"/>
    </row>
    <row r="156">
      <c r="A156" s="114" t="n">
        <v>47770</v>
      </c>
      <c r="B156" s="4" t="inlineStr">
        <is>
          <t>スポーツの日</t>
        </is>
      </c>
      <c r="C156" s="4" t="inlineStr"/>
    </row>
    <row r="157">
      <c r="A157" s="114" t="n">
        <v>47790</v>
      </c>
      <c r="B157" s="4" t="inlineStr">
        <is>
          <t>文化の日</t>
        </is>
      </c>
      <c r="C157" s="4" t="inlineStr"/>
    </row>
    <row r="158">
      <c r="A158" s="114" t="n">
        <v>47791</v>
      </c>
      <c r="B158" s="4" t="inlineStr">
        <is>
          <t>振替休日</t>
        </is>
      </c>
      <c r="C158" s="4" t="inlineStr"/>
    </row>
    <row r="159">
      <c r="A159" s="114" t="n">
        <v>47810</v>
      </c>
      <c r="B159" s="4" t="inlineStr">
        <is>
          <t>勤労感謝の日</t>
        </is>
      </c>
      <c r="C159" s="4" t="inlineStr"/>
    </row>
    <row r="160">
      <c r="A160" s="114" t="n">
        <v>47847</v>
      </c>
      <c r="B160" s="4" t="inlineStr">
        <is>
          <t>年末休暇</t>
        </is>
      </c>
      <c r="C160" s="4" t="inlineStr"/>
    </row>
    <row r="161">
      <c r="A161" s="114" t="n">
        <v>47848</v>
      </c>
      <c r="B161" s="4" t="inlineStr">
        <is>
          <t>年末休暇</t>
        </is>
      </c>
      <c r="C161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2026-03-10T06:13:21Z</dcterms:created>
  <dcterms:modified xsi:type="dcterms:W3CDTF">2026-03-10T06:13:23Z</dcterms:modified>
</cp:coreProperties>
</file>